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come Statement" sheetId="2" state="visible" r:id="rId2"/>
    <sheet xmlns:r="http://schemas.openxmlformats.org/officeDocument/2006/relationships" name="DCF" sheetId="3" state="visible" r:id="rId3"/>
    <sheet xmlns:r="http://schemas.openxmlformats.org/officeDocument/2006/relationships" name="Valuation Summary" sheetId="4" state="visible" r:id="rId4"/>
    <sheet xmlns:r="http://schemas.openxmlformats.org/officeDocument/2006/relationships" name="Peer Comps" sheetId="5" state="visible" r:id="rId5"/>
  </sheets>
  <definedNames>
    <definedName name="_xlnm.Print_Area" localSheetId="0">'Overview'!$A$1:$E$60</definedName>
    <definedName name="_xlnm.Print_Area" localSheetId="1">'Income Statement'!$A$1:$K$26</definedName>
    <definedName name="_xlnm.Print_Area" localSheetId="2">'DCF'!$A$1:$F$33</definedName>
    <definedName name="_xlnm.Print_Area" localSheetId="3">'Valuation Summary'!$A$1:$G$80</definedName>
    <definedName name="_xlnm.Print_Area" localSheetId="4">'Peer Comps'!$A$1:$G$32</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Red]-#,##0"/>
    <numFmt numFmtId="168" formatCode="&quot;$&quot;0.00"/>
    <numFmt numFmtId="169" formatCode="0.00;[Red]-0.00"/>
  </numFmts>
  <fonts count="8">
    <font>
      <name val="Calibri"/>
      <family val="2"/>
      <color theme="1"/>
      <sz val="11"/>
      <scheme val="minor"/>
    </font>
    <font>
      <b val="1"/>
      <color rgb="001F3864"/>
      <sz val="14"/>
    </font>
    <font>
      <i val="1"/>
      <color rgb="00404040"/>
      <sz val="9"/>
    </font>
    <font>
      <b val="1"/>
      <color rgb="00FFFFFF"/>
      <sz val="10"/>
    </font>
    <font>
      <b val="1"/>
    </font>
    <font>
      <b val="1"/>
      <color rgb="001F3864"/>
      <sz val="13"/>
    </font>
    <font>
      <b val="1"/>
      <color rgb="001F3864"/>
      <sz val="12"/>
    </font>
    <font>
      <b val="1"/>
      <color rgb="00C0392B"/>
      <sz val="12"/>
    </font>
  </fonts>
  <fills count="4">
    <fill>
      <patternFill/>
    </fill>
    <fill>
      <patternFill patternType="gray125"/>
    </fill>
    <fill>
      <patternFill patternType="solid">
        <fgColor rgb="001A1A1A"/>
      </patternFill>
    </fill>
    <fill>
      <patternFill patternType="solid">
        <fgColor rgb="00F2F2F2"/>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0" pivotButton="0" quotePrefix="0" xfId="0"/>
    <xf numFmtId="0" fontId="2" fillId="0" borderId="0" pivotButton="0" quotePrefix="0" xfId="0"/>
    <xf numFmtId="3" fontId="0" fillId="0" borderId="0" pivotButton="0" quotePrefix="0" xfId="0"/>
    <xf numFmtId="0" fontId="4" fillId="3" borderId="0" pivotButton="0" quotePrefix="0" xfId="0"/>
    <xf numFmtId="0" fontId="5" fillId="0" borderId="0" pivotButton="0" quotePrefix="0" xfId="0"/>
    <xf numFmtId="0" fontId="4" fillId="0" borderId="0" pivotButton="0" quotePrefix="0" xfId="0"/>
    <xf numFmtId="164" fontId="0" fillId="0" borderId="0" pivotButton="0" quotePrefix="0" xfId="0"/>
    <xf numFmtId="2" fontId="0" fillId="0" borderId="0" pivotButton="0" quotePrefix="0" xfId="0"/>
    <xf numFmtId="10" fontId="0" fillId="0" borderId="0" pivotButton="0" quotePrefix="0" xfId="0"/>
    <xf numFmtId="10" fontId="4" fillId="0" borderId="0" pivotButton="0" quotePrefix="0" xfId="0"/>
    <xf numFmtId="165" fontId="0" fillId="0" borderId="0" pivotButton="0" quotePrefix="0" xfId="0"/>
    <xf numFmtId="9" fontId="0" fillId="0" borderId="0" pivotButton="0" quotePrefix="0" xfId="0"/>
    <xf numFmtId="3" fontId="4" fillId="0" borderId="0" pivotButton="0" quotePrefix="0" xfId="0"/>
    <xf numFmtId="2" fontId="6" fillId="0" borderId="0" pivotButton="0" quotePrefix="0" xfId="0"/>
    <xf numFmtId="2" fontId="4" fillId="0" borderId="0" pivotButton="0" quotePrefix="0" xfId="0"/>
    <xf numFmtId="166" fontId="0" fillId="0" borderId="0" pivotButton="0" quotePrefix="0" xfId="0"/>
    <xf numFmtId="164" fontId="4" fillId="0" borderId="0" pivotButton="0" quotePrefix="0" xfId="0"/>
    <xf numFmtId="0" fontId="7" fillId="0" borderId="0" pivotButton="0" quotePrefix="0" xfId="0"/>
    <xf numFmtId="167" fontId="0" fillId="0" borderId="0" pivotButton="0" quotePrefix="0" xfId="0"/>
    <xf numFmtId="168" fontId="4" fillId="0" borderId="0" pivotButton="0" quotePrefix="0" xfId="0"/>
    <xf numFmtId="169" fontId="4" fillId="0" borderId="0" pivotButton="0" quotePrefix="0" xfId="0"/>
    <xf numFmtId="4" fontId="4" fillId="0" borderId="0" pivotButton="0" quotePrefix="0" xfId="0"/>
    <xf numFmtId="0" fontId="2"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59"/>
  <sheetViews>
    <sheetView workbookViewId="0">
      <selection activeCell="A1" sqref="A1"/>
    </sheetView>
  </sheetViews>
  <sheetFormatPr baseColWidth="8" defaultRowHeight="15"/>
  <cols>
    <col width="53.6" customWidth="1" min="1" max="1"/>
    <col width="25.6" customWidth="1" min="2" max="2"/>
    <col width="23.6" customWidth="1" min="3" max="3"/>
    <col width="23.6" customWidth="1" min="4" max="4"/>
    <col width="23.6" customWidth="1" min="5" max="5"/>
  </cols>
  <sheetData>
    <row r="1">
      <c r="A1" s="1" t="inlineStr">
        <is>
          <t>NVIDIA Corporation (NASDAQ: NVDA) — Financial Model &amp; Valuation</t>
        </is>
      </c>
    </row>
    <row r="2" ht="34.5" customHeight="1">
      <c r="A2" s="28" t="inlineStr">
        <is>
          <t>Built on Q2 FY2027 actuals (reported 26-Aug-2026) and company guidance for Q3 and FY2028. Data Center was 92.5% of Q2 revenue. Note on presentation: Data Center and Edge Computing are market-platform revenue disclosures introduced with Q1 FY2027, not GAAP reportable segments — those remain Compute &amp; Networking and Graphics.</t>
        </is>
      </c>
    </row>
    <row r="4">
      <c r="A4" s="3" t="inlineStr">
        <is>
          <t>SNAPSHOT — all price-derived figures computed, not pasted</t>
        </is>
      </c>
      <c r="B4" s="4" t="n"/>
      <c r="C4" s="4" t="n"/>
      <c r="D4" s="4" t="n"/>
      <c r="E4" s="4" t="n"/>
    </row>
    <row r="6">
      <c r="A6" t="inlineStr">
        <is>
          <t>Live price ($, close 27-Aug-2026)</t>
        </is>
      </c>
      <c r="B6" s="5" t="n">
        <v>227.98</v>
      </c>
      <c r="C6" s="6" t="inlineStr">
        <is>
          <t>+8.74% on the print; verified two sources</t>
        </is>
      </c>
    </row>
    <row r="7">
      <c r="A7" t="inlineStr">
        <is>
          <t>Shares outstanding (m)</t>
        </is>
      </c>
      <c r="B7" s="5" t="n">
        <v>24150</v>
      </c>
      <c r="C7" s="6" t="inlineStr">
        <is>
          <t>per data provider post-buyback</t>
        </is>
      </c>
    </row>
    <row r="8">
      <c r="A8" t="inlineStr">
        <is>
          <t>Market capitalisation ($bn)</t>
        </is>
      </c>
      <c r="B8" s="5">
        <f>B6*B7/1000</f>
        <v/>
      </c>
      <c r="C8" s="6" t="inlineStr"/>
    </row>
    <row r="9">
      <c r="A9" t="inlineStr">
        <is>
          <t>Diluted shares, Q2 FY2027 actual (m)</t>
        </is>
      </c>
      <c r="B9" s="5" t="n">
        <v>24285</v>
      </c>
      <c r="C9" s="6" t="inlineStr">
        <is>
          <t>H1 weighted average 24,338</t>
        </is>
      </c>
    </row>
    <row r="10">
      <c r="A10" t="inlineStr">
        <is>
          <t>TTM revenue ($bn)</t>
        </is>
      </c>
      <c r="B10" s="5" t="n">
        <v>302.97</v>
      </c>
      <c r="C10" s="6" t="inlineStr">
        <is>
          <t>ties to Q3FY26+Q4FY26+Q1FY27+Q2FY27</t>
        </is>
      </c>
    </row>
    <row r="11">
      <c r="A11" t="inlineStr">
        <is>
          <t>TTM operating income ($bn)</t>
        </is>
      </c>
      <c r="B11" s="5" t="n">
        <v>197.58</v>
      </c>
      <c r="C11" s="6" t="inlineStr"/>
    </row>
    <row r="12">
      <c r="A12" t="inlineStr">
        <is>
          <t>TTM pretax income ($bn)</t>
        </is>
      </c>
      <c r="B12" s="5" t="n">
        <v>229.74</v>
      </c>
      <c r="C12" s="6" t="inlineStr">
        <is>
          <t>$32.2bn sits BELOW the operating line</t>
        </is>
      </c>
    </row>
    <row r="13">
      <c r="A13" t="inlineStr">
        <is>
          <t>TTM net income ($bn)</t>
        </is>
      </c>
      <c r="B13" s="5" t="n">
        <v>192.88</v>
      </c>
      <c r="C13" s="6" t="inlineStr">
        <is>
          <t>reported, includes investment gains</t>
        </is>
      </c>
    </row>
    <row r="14">
      <c r="A14" t="inlineStr">
        <is>
          <t>TTM reported EPS ($)</t>
        </is>
      </c>
      <c r="B14" s="5" t="n">
        <v>7.91</v>
      </c>
      <c r="C14" s="6" t="inlineStr"/>
    </row>
    <row r="15">
      <c r="A15" t="inlineStr">
        <is>
          <t>TTM core EPS ($, operating only, taxed 16.05%)</t>
        </is>
      </c>
      <c r="B15" s="5">
        <f>B11*(1-0.1605)/B9*1000</f>
        <v/>
      </c>
      <c r="C15" s="6" t="inlineStr"/>
    </row>
    <row r="16">
      <c r="A16" t="inlineStr">
        <is>
          <t>Trailing P/E on reported EPS (x)</t>
        </is>
      </c>
      <c r="B16" s="5">
        <f>B6/B14</f>
        <v/>
      </c>
      <c r="C16" s="6" t="inlineStr"/>
    </row>
    <row r="17">
      <c r="A17" t="inlineStr">
        <is>
          <t>Trailing P/E on core EPS (x)</t>
        </is>
      </c>
      <c r="B17" s="5">
        <f>B6/B15</f>
        <v/>
      </c>
      <c r="C17" s="6" t="inlineStr"/>
    </row>
    <row r="18">
      <c r="A18" t="inlineStr">
        <is>
          <t>Book value per share ($)</t>
        </is>
      </c>
      <c r="B18" s="5" t="n">
        <v>9.5</v>
      </c>
      <c r="C18" s="6" t="inlineStr"/>
    </row>
    <row r="19">
      <c r="A19" t="inlineStr">
        <is>
          <t>Price / book (x)</t>
        </is>
      </c>
      <c r="B19" s="5">
        <f>B6/B18</f>
        <v/>
      </c>
      <c r="C19" s="6" t="inlineStr"/>
    </row>
    <row r="20">
      <c r="A20" t="inlineStr">
        <is>
          <t>TTM free cash flow ($bn)</t>
        </is>
      </c>
      <c r="B20" s="5" t="n">
        <v>127.01</v>
      </c>
      <c r="C20" s="6" t="inlineStr">
        <is>
          <t>ROSE from $119.08bn; the MARGIN fell 46.97% -&gt; 41.92%</t>
        </is>
      </c>
    </row>
    <row r="21">
      <c r="A21" t="inlineStr">
        <is>
          <t>Return on invested capital (%)</t>
        </is>
      </c>
      <c r="B21" s="5" t="n">
        <v>92.03</v>
      </c>
      <c r="C21" s="6" t="inlineStr"/>
    </row>
    <row r="22">
      <c r="A22" t="inlineStr">
        <is>
          <t>Beta, 5-year (%)</t>
        </is>
      </c>
      <c r="B22" s="5" t="n">
        <v>2.21</v>
      </c>
      <c r="C22" s="6" t="inlineStr">
        <is>
          <t>model uses a forward beta of 1.50 — see DCF sheet</t>
        </is>
      </c>
    </row>
    <row r="23">
      <c r="A23" t="inlineStr">
        <is>
          <t>Dividend per share ($/yr)</t>
        </is>
      </c>
      <c r="B23" s="5" t="n">
        <v>1</v>
      </c>
      <c r="C23" s="6" t="inlineStr"/>
    </row>
    <row r="24">
      <c r="A24" t="inlineStr">
        <is>
          <t>Dividend yield (%)</t>
        </is>
      </c>
      <c r="B24" s="5">
        <f>B23/B6*100</f>
        <v/>
      </c>
      <c r="C24" s="6" t="inlineStr"/>
    </row>
    <row r="25">
      <c r="A25" t="inlineStr">
        <is>
          <t>US 10-yr Treasury (%, 26-Aug-2026)</t>
        </is>
      </c>
      <c r="B25" s="5" t="n">
        <v>4.66</v>
      </c>
      <c r="C25" s="6" t="inlineStr">
        <is>
          <t>Fed H.15; rating hurdle anchor</t>
        </is>
      </c>
    </row>
    <row r="27">
      <c r="A27" s="3" t="inlineStr">
        <is>
          <t>NET CASH — treasury liquidity only</t>
        </is>
      </c>
      <c r="B27" s="4" t="n"/>
      <c r="C27" s="4" t="n"/>
      <c r="D27" s="4" t="n"/>
      <c r="E27" s="4" t="n"/>
    </row>
    <row r="28">
      <c r="A28" t="inlineStr">
        <is>
          <t>Cash and cash equivalents ($m)</t>
        </is>
      </c>
      <c r="B28" s="7" t="n">
        <v>22443</v>
      </c>
    </row>
    <row r="29">
      <c r="A29" t="inlineStr">
        <is>
          <t>Marketable debt securities ($m)</t>
        </is>
      </c>
      <c r="B29" s="7" t="n">
        <v>34143</v>
      </c>
    </row>
    <row r="30">
      <c r="A30" t="inlineStr">
        <is>
          <t>Less: short-term debt ($m)</t>
        </is>
      </c>
      <c r="B30" s="7" t="n">
        <v>-1000</v>
      </c>
    </row>
    <row r="31">
      <c r="A31" t="inlineStr">
        <is>
          <t>Less: long-term debt ($m)</t>
        </is>
      </c>
      <c r="B31" s="7" t="n">
        <v>-32366</v>
      </c>
    </row>
    <row r="32">
      <c r="A32" t="inlineStr">
        <is>
          <t>NET CASH ($m)</t>
        </is>
      </c>
      <c r="B32" s="17">
        <f>SUM(B28:B31)</f>
        <v/>
      </c>
    </row>
    <row r="33" ht="46" customHeight="1">
      <c r="A33" s="28" t="inlineStr">
        <is>
          <t>Marketable EQUITY securities of $42,783m are deliberately EXCLUDED. They are stakes in AI counterparties, several of which Nvidia is helping to finance; they are marked through the income statement and are correlated with the operating business rather than diversifying it. Counting them as treasury cash while arguing elsewhere that they are not diversification would be incoherent, and would add $1.77 a share to fair value. Data providers that report roughly $99bn of 'cash' are including them.</t>
        </is>
      </c>
    </row>
    <row r="35">
      <c r="A35" s="3" t="inlineStr">
        <is>
          <t>Q2 FISCAL 2027 RESULTS (quarter ended 26-Jul-2026, reported 26-Aug-2026)</t>
        </is>
      </c>
      <c r="B35" s="4" t="n"/>
      <c r="C35" s="4" t="n"/>
      <c r="D35" s="4" t="n"/>
      <c r="E35" s="4" t="n"/>
    </row>
    <row r="36">
      <c r="A36" s="8" t="inlineStr">
        <is>
          <t>Metric</t>
        </is>
      </c>
      <c r="B36" s="8" t="inlineStr">
        <is>
          <t>Q2 FY27</t>
        </is>
      </c>
      <c r="C36" s="8" t="inlineStr">
        <is>
          <t>Q1 FY27</t>
        </is>
      </c>
      <c r="D36" s="8" t="inlineStr">
        <is>
          <t>Q2 FY26</t>
        </is>
      </c>
      <c r="E36" s="8" t="inlineStr">
        <is>
          <t>Y/Y</t>
        </is>
      </c>
    </row>
    <row r="37">
      <c r="A37" t="inlineStr">
        <is>
          <t>Revenue ($m)</t>
        </is>
      </c>
      <c r="B37" s="7" t="n">
        <v>96221</v>
      </c>
      <c r="C37" s="7" t="n">
        <v>81615</v>
      </c>
      <c r="D37" s="7" t="n">
        <v>46743</v>
      </c>
      <c r="E37" t="inlineStr">
        <is>
          <t>+106%</t>
        </is>
      </c>
    </row>
    <row r="38">
      <c r="A38" t="inlineStr">
        <is>
          <t>Data Center ($m)</t>
        </is>
      </c>
      <c r="B38" s="7" t="n">
        <v>89000</v>
      </c>
      <c r="C38" s="7" t="n">
        <v>75200</v>
      </c>
      <c r="D38" s="7" t="n">
        <v>41000</v>
      </c>
      <c r="E38" t="inlineStr">
        <is>
          <t>+117%</t>
        </is>
      </c>
    </row>
    <row r="39">
      <c r="A39" t="inlineStr">
        <is>
          <t>Edge Computing ($m)</t>
        </is>
      </c>
      <c r="B39" s="7" t="n">
        <v>7200</v>
      </c>
      <c r="C39" s="7" t="n">
        <v>6400</v>
      </c>
      <c r="D39" s="7" t="n">
        <v>5700</v>
      </c>
      <c r="E39" t="inlineStr">
        <is>
          <t>+26%</t>
        </is>
      </c>
    </row>
    <row r="40">
      <c r="A40" t="inlineStr">
        <is>
          <t>GAAP gross margin (%)</t>
        </is>
      </c>
      <c r="B40" s="5" t="n">
        <v>75</v>
      </c>
      <c r="C40" s="5" t="n">
        <v>74.90000000000001</v>
      </c>
      <c r="D40" s="5" t="n">
        <v>72.40000000000001</v>
      </c>
      <c r="E40" t="inlineStr">
        <is>
          <t>+2.6 pts</t>
        </is>
      </c>
    </row>
    <row r="41">
      <c r="A41" t="inlineStr">
        <is>
          <t>GAAP operating expenses ($m)</t>
        </is>
      </c>
      <c r="B41" s="7" t="n">
        <v>8408</v>
      </c>
      <c r="C41" s="7" t="n">
        <v>7621</v>
      </c>
      <c r="D41" s="7" t="n">
        <v>5413</v>
      </c>
      <c r="E41" t="inlineStr">
        <is>
          <t>+55%</t>
        </is>
      </c>
    </row>
    <row r="42">
      <c r="A42" t="inlineStr">
        <is>
          <t>GAAP operating income ($m)</t>
        </is>
      </c>
      <c r="B42" s="7" t="n">
        <v>63734</v>
      </c>
      <c r="C42" s="7" t="n">
        <v>53536</v>
      </c>
      <c r="D42" s="7" t="n">
        <v>28440</v>
      </c>
      <c r="E42" t="inlineStr">
        <is>
          <t>+124%</t>
        </is>
      </c>
    </row>
    <row r="43">
      <c r="A43" t="inlineStr">
        <is>
          <t>Other income, net ($m)</t>
        </is>
      </c>
      <c r="B43" s="7" t="n">
        <v>7773</v>
      </c>
      <c r="C43" s="7" t="n">
        <v>16367</v>
      </c>
      <c r="D43" s="7" t="n">
        <v>2766</v>
      </c>
    </row>
    <row r="44">
      <c r="A44" t="inlineStr">
        <is>
          <t xml:space="preserve">  of which equity-securities gains ($m)</t>
        </is>
      </c>
      <c r="B44" s="7" t="n">
        <v>7771</v>
      </c>
      <c r="C44" s="7" t="n">
        <v>15936</v>
      </c>
      <c r="D44" s="7" t="n">
        <v>2247</v>
      </c>
      <c r="E44" t="inlineStr">
        <is>
          <t>non-operating</t>
        </is>
      </c>
    </row>
    <row r="45">
      <c r="A45" t="inlineStr">
        <is>
          <t>Stock-based compensation ($m)</t>
        </is>
      </c>
      <c r="B45" s="7" t="n">
        <v>2027</v>
      </c>
      <c r="C45" s="7" t="n">
        <v>1927</v>
      </c>
      <c r="D45" s="7" t="n">
        <v>1624</v>
      </c>
    </row>
    <row r="46">
      <c r="A46" t="inlineStr">
        <is>
          <t>GAAP net income ($m)</t>
        </is>
      </c>
      <c r="B46" s="7" t="n">
        <v>59688</v>
      </c>
      <c r="C46" s="7" t="n">
        <v>58321</v>
      </c>
      <c r="D46" s="7" t="n">
        <v>26422</v>
      </c>
      <c r="E46" t="inlineStr">
        <is>
          <t>+126%</t>
        </is>
      </c>
    </row>
    <row r="47">
      <c r="A47" t="inlineStr">
        <is>
          <t>GAAP diluted EPS ($)</t>
        </is>
      </c>
      <c r="B47" s="5" t="n">
        <v>2.46</v>
      </c>
      <c r="C47" s="5" t="n">
        <v>2.39</v>
      </c>
      <c r="D47" s="5" t="n">
        <v>1.08</v>
      </c>
      <c r="E47" t="inlineStr">
        <is>
          <t>+128%</t>
        </is>
      </c>
    </row>
    <row r="48">
      <c r="A48" t="inlineStr">
        <is>
          <t>Non-GAAP diluted EPS ($)</t>
        </is>
      </c>
      <c r="B48" s="5" t="n">
        <v>2.22</v>
      </c>
      <c r="C48" s="5" t="n">
        <v>1.87</v>
      </c>
      <c r="D48" s="5" t="n">
        <v>1.01</v>
      </c>
      <c r="E48" t="inlineStr">
        <is>
          <t>+120%</t>
        </is>
      </c>
    </row>
    <row r="49">
      <c r="A49" t="inlineStr">
        <is>
          <t>Free cash flow, quarter ($m)</t>
        </is>
      </c>
      <c r="B49" s="7" t="n">
        <v>21300</v>
      </c>
      <c r="E49" t="inlineStr">
        <is>
          <t>vs $59,688m GAAP net income</t>
        </is>
      </c>
    </row>
    <row r="51" ht="46" customHeight="1">
      <c r="A51" s="28" t="inlineStr">
        <is>
          <t>GAAP EPS ($2.46) again exceeded non-GAAP ($2.22). The bridge: GAAP net income $59,688m LESS $7,771m of equity-securities gains PLUS $2,027m of stock-based compensation and small other items gives the $53,954m non-GAAP figure. The gains are why the ordering inverts; SBC offsets about a third, leaving a $5,734m net gap. Note also that Q2 free cash flow was $21.3bn against $59.7bn of GAAP net income — receivables rose $22.3bn to $63.1bn and inventories $5.8bn to $31.6bn. Growth is consuming cash faster than the income statement shows.</t>
        </is>
      </c>
    </row>
    <row r="53">
      <c r="A53" s="3" t="inlineStr">
        <is>
          <t>Q3 FISCAL 2027 GUIDANCE (company, 26-Aug-2026)</t>
        </is>
      </c>
      <c r="B53" s="4" t="n"/>
      <c r="C53" s="4" t="n"/>
      <c r="D53" s="4" t="n"/>
      <c r="E53" s="4" t="n"/>
    </row>
    <row r="54">
      <c r="A54" t="inlineStr">
        <is>
          <t>Revenue ($bn)</t>
        </is>
      </c>
      <c r="B54" t="inlineStr">
        <is>
          <t>108.0 ± 2%  (+12.2% sequential, +89% YoY)</t>
        </is>
      </c>
    </row>
    <row r="55">
      <c r="A55" t="inlineStr">
        <is>
          <t>GAAP / non-GAAP gross margin (%)</t>
        </is>
      </c>
      <c r="B55" t="inlineStr">
        <is>
          <t>74.0 / 74.0, ± 50bp  — first guided step-down</t>
        </is>
      </c>
    </row>
    <row r="56">
      <c r="A56" t="inlineStr">
        <is>
          <t>GAAP / non-GAAP operating expenses ($bn)</t>
        </is>
      </c>
      <c r="B56" t="inlineStr">
        <is>
          <t>9.2 / 9.0</t>
        </is>
      </c>
    </row>
    <row r="57">
      <c r="A57" t="inlineStr">
        <is>
          <t>China Data Center compute in guidance</t>
        </is>
      </c>
      <c r="B57" t="inlineStr">
        <is>
          <t>None assumed</t>
        </is>
      </c>
    </row>
    <row r="58">
      <c r="A58" t="inlineStr">
        <is>
          <t>FY2028 revenue growth — company guidance</t>
        </is>
      </c>
      <c r="B58" t="inlineStr">
        <is>
          <t>~70%  (first year-ahead forecast Nvidia has given; CFO Colette Kress, 26-Aug call)</t>
        </is>
      </c>
    </row>
    <row r="59">
      <c r="A59" t="inlineStr">
        <is>
          <t>Capital returned in Q2 ($bn)</t>
        </is>
      </c>
      <c r="B59" t="inlineStr">
        <is>
          <t>26.0 (buyback 19.7 + dividend 6.0); $99.0bn authorisation remaining</t>
        </is>
      </c>
    </row>
  </sheetData>
  <mergeCells count="3">
    <mergeCell ref="A2:E2"/>
    <mergeCell ref="A51:E51"/>
    <mergeCell ref="A33:E33"/>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K25"/>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3" customWidth="1" min="12" max="12"/>
    <col width="13" customWidth="1" min="13" max="13"/>
  </cols>
  <sheetData>
    <row r="1">
      <c r="A1" s="9" t="inlineStr">
        <is>
          <t>NVIDIA — Income Statement &amp; Forecast ($ millions, fiscal years ending late January)</t>
        </is>
      </c>
    </row>
    <row r="2">
      <c r="A2" s="6" t="inlineStr">
        <is>
          <t>FY2022–FY2026 reported. FY2027E = Q1 actual + Q2 actual + Q3 company guidance + our Q4 estimate. FY2028E–FY2031E are our forecasts.</t>
        </is>
      </c>
    </row>
    <row r="4">
      <c r="A4" s="8" t="inlineStr">
        <is>
          <t>($m)</t>
        </is>
      </c>
      <c r="B4" s="8" t="inlineStr">
        <is>
          <t>FY2022A</t>
        </is>
      </c>
      <c r="C4" s="8" t="inlineStr">
        <is>
          <t>FY2023A</t>
        </is>
      </c>
      <c r="D4" s="8" t="inlineStr">
        <is>
          <t>FY2024A</t>
        </is>
      </c>
      <c r="E4" s="8" t="inlineStr">
        <is>
          <t>FY2025A</t>
        </is>
      </c>
      <c r="F4" s="8" t="inlineStr">
        <is>
          <t>FY2026A</t>
        </is>
      </c>
      <c r="G4" s="8" t="inlineStr">
        <is>
          <t>FY2027E</t>
        </is>
      </c>
      <c r="H4" s="8" t="inlineStr">
        <is>
          <t>FY2028E</t>
        </is>
      </c>
      <c r="I4" s="8" t="inlineStr">
        <is>
          <t>FY2029E</t>
        </is>
      </c>
      <c r="J4" s="8" t="inlineStr">
        <is>
          <t>FY2030E</t>
        </is>
      </c>
      <c r="K4" s="8" t="inlineStr">
        <is>
          <t>FY2031E</t>
        </is>
      </c>
    </row>
    <row r="5">
      <c r="A5" s="10" t="inlineStr">
        <is>
          <t>Revenue</t>
        </is>
      </c>
      <c r="B5" t="n">
        <v>26914</v>
      </c>
      <c r="C5" t="n">
        <v>26974</v>
      </c>
      <c r="D5" t="n">
        <v>60922</v>
      </c>
      <c r="E5" t="n">
        <v>130497</v>
      </c>
      <c r="F5" t="n">
        <v>215900</v>
      </c>
      <c r="G5" t="n">
        <v>403600</v>
      </c>
      <c r="H5" t="n">
        <v>573112</v>
      </c>
      <c r="I5" t="n">
        <v>710659</v>
      </c>
      <c r="J5" t="n">
        <v>824364</v>
      </c>
      <c r="K5" t="n">
        <v>906801</v>
      </c>
    </row>
    <row r="6">
      <c r="A6" t="inlineStr">
        <is>
          <t xml:space="preserve">  growth (%)</t>
        </is>
      </c>
      <c r="C6" s="11">
        <f>C5/B5-1</f>
        <v/>
      </c>
      <c r="D6" s="11">
        <f>D5/C5-1</f>
        <v/>
      </c>
      <c r="E6" s="11">
        <f>E5/D5-1</f>
        <v/>
      </c>
      <c r="F6" s="11">
        <f>F5/E5-1</f>
        <v/>
      </c>
      <c r="G6" s="11">
        <f>G5/F5-1</f>
        <v/>
      </c>
      <c r="H6" s="11">
        <f>H5/G5-1</f>
        <v/>
      </c>
      <c r="I6" s="11">
        <f>I5/H5-1</f>
        <v/>
      </c>
      <c r="J6" s="11">
        <f>J5/I5-1</f>
        <v/>
      </c>
      <c r="K6" s="11">
        <f>K5/J5-1</f>
        <v/>
      </c>
    </row>
    <row r="7">
      <c r="A7" t="inlineStr">
        <is>
          <t>Gross margin (%)</t>
        </is>
      </c>
      <c r="B7" s="11" t="n">
        <v>0.6483</v>
      </c>
      <c r="C7" s="11" t="n">
        <v>0.5693</v>
      </c>
      <c r="D7" s="11" t="n">
        <v>0.7272</v>
      </c>
      <c r="E7" s="11" t="n">
        <v>0.75</v>
      </c>
      <c r="F7" s="11" t="n">
        <v>0.748</v>
      </c>
      <c r="G7" s="11" t="n">
        <v>0.7427</v>
      </c>
      <c r="H7" s="11" t="n">
        <v>0.735</v>
      </c>
      <c r="I7" s="11" t="n">
        <v>0.73</v>
      </c>
      <c r="J7" s="11" t="n">
        <v>0.725</v>
      </c>
      <c r="K7" s="11" t="n">
        <v>0.72</v>
      </c>
    </row>
    <row r="8">
      <c r="A8" t="inlineStr">
        <is>
          <t>Gross profit</t>
        </is>
      </c>
      <c r="B8" s="7">
        <f>B5*B7</f>
        <v/>
      </c>
      <c r="C8" s="7">
        <f>C5*C7</f>
        <v/>
      </c>
      <c r="D8" s="7">
        <f>D5*D7</f>
        <v/>
      </c>
      <c r="E8" s="7">
        <f>E5*E7</f>
        <v/>
      </c>
      <c r="F8" s="7">
        <f>F5*F7</f>
        <v/>
      </c>
      <c r="G8" s="7">
        <f>G5*G7</f>
        <v/>
      </c>
      <c r="H8" s="7">
        <f>H5*H7</f>
        <v/>
      </c>
      <c r="I8" s="7">
        <f>I5*I7</f>
        <v/>
      </c>
      <c r="J8" s="7">
        <f>J5*J7</f>
        <v/>
      </c>
      <c r="K8" s="7">
        <f>K5*K7</f>
        <v/>
      </c>
    </row>
    <row r="9">
      <c r="A9" t="inlineStr">
        <is>
          <t xml:space="preserve">  opex as % of revenue</t>
        </is>
      </c>
      <c r="B9" s="11" t="n">
        <v>0.2763</v>
      </c>
      <c r="C9" s="11" t="n">
        <v>0.4127</v>
      </c>
      <c r="D9" s="11" t="n">
        <v>0.1863</v>
      </c>
      <c r="E9" s="11" t="n">
        <v>0.125</v>
      </c>
      <c r="F9" s="11" t="n">
        <v>0.1029</v>
      </c>
      <c r="G9" s="11" t="n">
        <v>0.08699999999999999</v>
      </c>
      <c r="H9" s="11" t="n">
        <v>0.092</v>
      </c>
      <c r="I9" s="11" t="n">
        <v>0.098</v>
      </c>
      <c r="J9" s="11" t="n">
        <v>0.104</v>
      </c>
      <c r="K9" s="11" t="n">
        <v>0.11</v>
      </c>
    </row>
    <row r="10">
      <c r="A10" t="inlineStr">
        <is>
          <t>Operating expenses</t>
        </is>
      </c>
      <c r="B10" s="7">
        <f>B5*B9</f>
        <v/>
      </c>
      <c r="C10" s="7">
        <f>C5*C9</f>
        <v/>
      </c>
      <c r="D10" s="7">
        <f>D5*D9</f>
        <v/>
      </c>
      <c r="E10" s="7">
        <f>E5*E9</f>
        <v/>
      </c>
      <c r="F10" s="7">
        <f>F5*F9</f>
        <v/>
      </c>
      <c r="G10" s="7">
        <f>G5*G9</f>
        <v/>
      </c>
      <c r="H10" s="7">
        <f>H5*H9</f>
        <v/>
      </c>
      <c r="I10" s="7">
        <f>I5*I9</f>
        <v/>
      </c>
      <c r="J10" s="7">
        <f>J5*J9</f>
        <v/>
      </c>
      <c r="K10" s="7">
        <f>K5*K9</f>
        <v/>
      </c>
    </row>
    <row r="11">
      <c r="A11" s="10" t="inlineStr">
        <is>
          <t>Operating income</t>
        </is>
      </c>
      <c r="B11" s="7">
        <f>B8-B10</f>
        <v/>
      </c>
      <c r="C11" s="7">
        <f>C8-C10</f>
        <v/>
      </c>
      <c r="D11" s="7">
        <f>D8-D10</f>
        <v/>
      </c>
      <c r="E11" s="7">
        <f>E8-E10</f>
        <v/>
      </c>
      <c r="F11" s="7">
        <f>F8-F10</f>
        <v/>
      </c>
      <c r="G11" s="7">
        <f>G8-G10</f>
        <v/>
      </c>
      <c r="H11" s="7">
        <f>H8-H10</f>
        <v/>
      </c>
      <c r="I11" s="7">
        <f>I8-I10</f>
        <v/>
      </c>
      <c r="J11" s="7">
        <f>J8-J10</f>
        <v/>
      </c>
      <c r="K11" s="7">
        <f>K8-K10</f>
        <v/>
      </c>
    </row>
    <row r="12">
      <c r="A12" t="inlineStr">
        <is>
          <t xml:space="preserve">  operating margin (%)</t>
        </is>
      </c>
      <c r="B12" s="11">
        <f>B11/B5</f>
        <v/>
      </c>
      <c r="C12" s="11">
        <f>C11/C5</f>
        <v/>
      </c>
      <c r="D12" s="11">
        <f>D11/D5</f>
        <v/>
      </c>
      <c r="E12" s="11">
        <f>E11/E5</f>
        <v/>
      </c>
      <c r="F12" s="11">
        <f>F11/F5</f>
        <v/>
      </c>
      <c r="G12" s="11">
        <f>G11/G5</f>
        <v/>
      </c>
      <c r="H12" s="11">
        <f>H11/H5</f>
        <v/>
      </c>
      <c r="I12" s="11">
        <f>I11/I5</f>
        <v/>
      </c>
      <c r="J12" s="11">
        <f>J11/J5</f>
        <v/>
      </c>
      <c r="K12" s="11">
        <f>K11/K5</f>
        <v/>
      </c>
    </row>
    <row r="13">
      <c r="A13" s="10" t="inlineStr">
        <is>
          <t>Net income (core, ex investment gains)</t>
        </is>
      </c>
      <c r="B13" s="7">
        <f>B11*(1-B14)</f>
        <v/>
      </c>
      <c r="C13" s="7">
        <f>C11*(1-C14)</f>
        <v/>
      </c>
      <c r="D13" s="7">
        <f>D11*(1-D14)</f>
        <v/>
      </c>
      <c r="E13" s="7">
        <f>E11*(1-E14)</f>
        <v/>
      </c>
      <c r="F13" s="7">
        <f>F11*(1-F14)</f>
        <v/>
      </c>
      <c r="G13" s="7">
        <f>G11*(1-G14)</f>
        <v/>
      </c>
      <c r="H13" s="7">
        <f>H11*(1-H14)</f>
        <v/>
      </c>
      <c r="I13" s="7">
        <f>I11*(1-I14)</f>
        <v/>
      </c>
      <c r="J13" s="7">
        <f>J11*(1-J14)</f>
        <v/>
      </c>
      <c r="K13" s="7">
        <f>K11*(1-K14)</f>
        <v/>
      </c>
    </row>
    <row r="14">
      <c r="A14" t="inlineStr">
        <is>
          <t xml:space="preserve">  tax rate (%)</t>
        </is>
      </c>
      <c r="B14" s="11" t="n">
        <v>0.1605</v>
      </c>
      <c r="C14" s="11" t="n">
        <v>0.1605</v>
      </c>
      <c r="D14" s="11" t="n">
        <v>0.1605</v>
      </c>
      <c r="E14" s="11" t="n">
        <v>0.1605</v>
      </c>
      <c r="F14" s="11" t="n">
        <v>0.1605</v>
      </c>
      <c r="G14" s="11" t="n">
        <v>0.1605</v>
      </c>
      <c r="H14" s="11" t="n">
        <v>0.1605</v>
      </c>
      <c r="I14" s="11" t="n">
        <v>0.1605</v>
      </c>
      <c r="J14" s="11" t="n">
        <v>0.1605</v>
      </c>
      <c r="K14" s="11" t="n">
        <v>0.1605</v>
      </c>
    </row>
    <row r="15">
      <c r="A15" t="inlineStr">
        <is>
          <t>Diluted shares (m)</t>
        </is>
      </c>
      <c r="B15" s="7" t="n">
        <v>25350</v>
      </c>
      <c r="C15" s="7" t="n">
        <v>24940</v>
      </c>
      <c r="D15" s="7" t="n">
        <v>24690</v>
      </c>
      <c r="E15" s="7" t="n">
        <v>24800</v>
      </c>
      <c r="F15" s="7" t="n">
        <v>24500</v>
      </c>
      <c r="G15" s="7" t="n">
        <v>24338</v>
      </c>
      <c r="H15" s="7" t="n">
        <v>23957</v>
      </c>
      <c r="I15" s="7" t="n">
        <v>23634</v>
      </c>
      <c r="J15" s="7" t="n">
        <v>23315</v>
      </c>
      <c r="K15" s="7" t="n">
        <v>23000</v>
      </c>
    </row>
    <row r="16">
      <c r="A16" s="10" t="inlineStr">
        <is>
          <t>Core EPS ($)</t>
        </is>
      </c>
      <c r="B16" s="12">
        <f>B13/B15</f>
        <v/>
      </c>
      <c r="C16" s="12">
        <f>C13/C15</f>
        <v/>
      </c>
      <c r="D16" s="12">
        <f>D13/D15</f>
        <v/>
      </c>
      <c r="E16" s="12">
        <f>E13/E15</f>
        <v/>
      </c>
      <c r="F16" s="12">
        <f>F13/F15</f>
        <v/>
      </c>
      <c r="G16" s="12">
        <f>G13/G15</f>
        <v/>
      </c>
      <c r="H16" s="12">
        <f>H13/H15</f>
        <v/>
      </c>
      <c r="I16" s="12">
        <f>I13/I15</f>
        <v/>
      </c>
      <c r="J16" s="12">
        <f>J13/J15</f>
        <v/>
      </c>
      <c r="K16" s="12">
        <f>K13/K15</f>
        <v/>
      </c>
    </row>
    <row r="17" ht="34.5" customHeight="1">
      <c r="A17" s="28" t="inlineStr">
        <is>
          <t>Core EPS strips non-operating investment gains and taxes operating income at 16.05%, the TTM effective rate and inside company FY2027 guidance of 16–18%. Reported EPS is higher: TTM reported EPS was $7.91 against core EPS of $6.80, because $32.2bn of TTM pretax income sat below the operating line. We value the operating business and treat the investment book separately.</t>
        </is>
      </c>
    </row>
    <row r="18">
      <c r="A18" s="10" t="inlineStr">
        <is>
          <t>CHECK — reported operating income ($m)</t>
        </is>
      </c>
      <c r="B18" s="7" t="n">
        <v>10041</v>
      </c>
      <c r="C18" s="7" t="n">
        <v>4224</v>
      </c>
      <c r="D18" s="7" t="n">
        <v>32972</v>
      </c>
      <c r="E18" s="7" t="n">
        <v>81453</v>
      </c>
      <c r="F18" s="7" t="n">
        <v>139300</v>
      </c>
    </row>
    <row r="19">
      <c r="A19" t="inlineStr">
        <is>
          <t xml:space="preserve">  modelled less reported</t>
        </is>
      </c>
      <c r="B19" s="23">
        <f>B11-B18</f>
        <v/>
      </c>
      <c r="C19" s="23">
        <f>C11-C18</f>
        <v/>
      </c>
      <c r="D19" s="23">
        <f>D11-D18</f>
        <v/>
      </c>
      <c r="E19" s="23">
        <f>E11-E18</f>
        <v/>
      </c>
      <c r="F19" s="23">
        <f>F11-F18</f>
        <v/>
      </c>
    </row>
    <row r="20">
      <c r="A20" s="27" t="n"/>
      <c r="B20" s="4" t="n"/>
      <c r="C20" s="4" t="n"/>
      <c r="D20" s="4" t="n"/>
      <c r="E20" s="4" t="n"/>
      <c r="F20" s="4" t="n"/>
      <c r="G20" s="4" t="n"/>
      <c r="H20" s="4" t="n"/>
      <c r="I20" s="4" t="n"/>
    </row>
    <row r="21">
      <c r="A21" s="3" t="inlineStr">
        <is>
          <t>WHAT Q2 CHANGED, AND WHY THE FORECAST STILL DECELERATES</t>
        </is>
      </c>
      <c r="B21" s="4" t="n"/>
      <c r="C21" s="4" t="n"/>
      <c r="D21" s="4" t="n"/>
      <c r="E21" s="4" t="n"/>
      <c r="F21" s="4" t="n"/>
      <c r="G21" s="4" t="n"/>
      <c r="H21" s="4" t="n"/>
      <c r="I21" s="4" t="n"/>
      <c r="J21" s="4" t="n"/>
      <c r="K21" s="4" t="n"/>
    </row>
    <row r="22" ht="34.5" customHeight="1">
      <c r="A22" s="28" t="inlineStr">
        <is>
          <t>Q2 forced two revisions in opposite directions. Revenue: the $96.2bn print beat the $91.0bn guide by 5.7% and Q3 is guided to $108.0bn, so FY2027E rises to $403.6bn, +87%. Margin and cash conversion: gross margin is guided DOWN to 74.0% in Q3 from 75.0% delivered — the first guided step-down of this cycle — and TTM free cash flow margin has fallen from 46.97% to 41.92% while revenue grew 19.5%. Growth is consuming working capital.</t>
        </is>
      </c>
    </row>
    <row r="23" ht="46" customHeight="1">
      <c r="A23" s="28" t="inlineStr">
        <is>
          <t>On FY2028 we revised UP and want to be explicit about why. Our pre-print forecast of +35% did not survive its own arithmetic: it required roughly 4% sequential quarterly growth against the 18% delivered in Q2 and the 12% implied by Q3 guidance. Building the quarters explicitly, sequential decay from 8% to 4% gives +38% and decay from 10% to 6% gives +44%; we use +42%, just below the roughly 44% analysts carried into the print. Nvidia itself then guided FY2028 revenue growth to about 70% on the 26 August call — its first year-ahead forecast — and we are well below that. At 70% our own model returns $251 and an ACCUMULATE.</t>
        </is>
      </c>
    </row>
    <row r="24" ht="57.5" customHeight="1">
      <c r="A24" s="28" t="inlineStr">
        <is>
          <t>The deceleration we forecast sits in FY2029-FY2031 (+24%, +16%, +10%) and has a physical mechanism rather than an assertion. Gartner projected in November 2024 that 40% of EXISTING AI data centres would be power-constrained by 2027 — a forecast now nearly two years old. Roughly 2,060 GW of generation and storage sat in US interconnection queues at end-2025, down about 10% and falling for a second year, which cuts against us; federal environmental review for the minority of transmission lines requiring it has averaged 4.3 years. Capital is not the binding constraint — Nvidia itself secured land, power and shell capacity from SB Energy in Ohio and arranged a $500bn third-party financing platform. Electricity is. Our FY2029E of $711bn sits 27% below what consensus implies.</t>
        </is>
      </c>
    </row>
    <row r="25" ht="23" customHeight="1">
      <c r="A25" s="28" t="inlineStr">
        <is>
          <t>Share counts to FY2026 are reported. FY2027E uses the actual H1 weighted-average diluted count of 24,338m; FY2028E onward assume a 1.44% annual reduction, the pace implied by $19.7bn of quarterly buyback at the current price against $99.0bn remaining on the authorisation.</t>
        </is>
      </c>
    </row>
  </sheetData>
  <mergeCells count="5">
    <mergeCell ref="A22:K22"/>
    <mergeCell ref="A25:K25"/>
    <mergeCell ref="A17:K17"/>
    <mergeCell ref="A24:K24"/>
    <mergeCell ref="A23:K23"/>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I32"/>
  <sheetViews>
    <sheetView workbookViewId="0">
      <selection activeCell="A1" sqref="A1"/>
    </sheetView>
  </sheetViews>
  <sheetFormatPr baseColWidth="8" defaultRowHeight="15"/>
  <cols>
    <col width="48.33333333333334" customWidth="1" min="1" max="1"/>
    <col width="20.33333333333333" customWidth="1" min="2" max="2"/>
    <col width="20.33333333333333" customWidth="1" min="3" max="3"/>
    <col width="20.33333333333333" customWidth="1" min="4" max="4"/>
    <col width="20.33333333333333" customWidth="1" min="5" max="5"/>
    <col width="20.3333333333333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9" t="inlineStr">
        <is>
          <t>NVIDIA — Free Cash Flow to the Firm ($ millions)</t>
        </is>
      </c>
    </row>
    <row r="3">
      <c r="A3" s="3" t="inlineStr">
        <is>
          <t>DISCOUNT RATE</t>
        </is>
      </c>
      <c r="B3" s="4" t="n"/>
      <c r="C3" s="4" t="n"/>
      <c r="D3" s="4" t="n"/>
      <c r="E3" s="4" t="n"/>
      <c r="F3" s="4" t="n"/>
      <c r="G3" s="4" t="n"/>
      <c r="H3" s="4" t="n"/>
      <c r="I3" s="4" t="n"/>
    </row>
    <row r="4">
      <c r="A4" t="inlineStr">
        <is>
          <t>Risk-free rate — US 10-yr Treasury, 24-Aug-2026</t>
        </is>
      </c>
      <c r="B4" s="13" t="n">
        <v>0.0466</v>
      </c>
      <c r="C4" s="6" t="inlineStr">
        <is>
          <t>Fed H.15, 26-Aug-2026 (was using a stale 24-Aug 4.72%)</t>
        </is>
      </c>
    </row>
    <row r="5">
      <c r="A5" t="inlineStr">
        <is>
          <t>Beta used</t>
        </is>
      </c>
      <c r="B5" s="12" t="n">
        <v>1.5</v>
      </c>
      <c r="C5" s="6" t="inlineStr">
        <is>
          <t>5-year realised beta is 2.21; see note</t>
        </is>
      </c>
    </row>
    <row r="6">
      <c r="A6" t="inlineStr">
        <is>
          <t>Equity risk premium</t>
        </is>
      </c>
      <c r="B6" s="13" t="n">
        <v>0.045</v>
      </c>
      <c r="C6" s="6" t="inlineStr">
        <is>
          <t>Damodaran-range mature-market ERP</t>
        </is>
      </c>
    </row>
    <row r="7">
      <c r="A7" t="inlineStr">
        <is>
          <t>Cost of equity</t>
        </is>
      </c>
      <c r="B7" s="14">
        <f>B4+B5*B6</f>
        <v/>
      </c>
      <c r="C7" s="6" t="inlineStr">
        <is>
          <t>risk-free + beta x equity risk premium</t>
        </is>
      </c>
    </row>
    <row r="8">
      <c r="A8" t="inlineStr">
        <is>
          <t>Debt weight</t>
        </is>
      </c>
      <c r="B8" s="13" t="n">
        <v>0</v>
      </c>
      <c r="C8" s="6" t="inlineStr">
        <is>
          <t>net cash is treasury only — see Overview</t>
        </is>
      </c>
    </row>
    <row r="9">
      <c r="A9" t="inlineStr">
        <is>
          <t>WACC used</t>
        </is>
      </c>
      <c r="B9" s="14">
        <f>B7</f>
        <v/>
      </c>
      <c r="C9" s="6" t="inlineStr">
        <is>
          <t>equals cost of equity (no debt weight)</t>
        </is>
      </c>
    </row>
    <row r="10">
      <c r="A10" t="inlineStr">
        <is>
          <t>Terminal growth</t>
        </is>
      </c>
      <c r="B10" s="13" t="n">
        <v>0.04</v>
      </c>
      <c r="C10" s="6" t="inlineStr">
        <is>
          <t>4.0%; CBO-implied long-run US nominal GDP is ~3.8-4.0%. 4.5% would flatter this DCF.</t>
        </is>
      </c>
    </row>
    <row r="12" ht="34.5" customHeight="1">
      <c r="A12" s="28" t="inlineStr">
        <is>
          <t>Beta note: Nvidia's realised 5-year beta is 2.21, inflated by the AI re-rating itself. Using it raw would give a 14.67% cost of equity and a much lower value. We use 1.50 — a forward-looking semiconductor beta — because a 2.21 beta plus a below-consensus revenue forecast would stack two bearish assumptions on top of each other. The sensitivity grid shows what the raw beta does.</t>
        </is>
      </c>
    </row>
    <row r="14">
      <c r="A14" s="3" t="inlineStr">
        <is>
          <t>FREE CASH FLOW BUILD</t>
        </is>
      </c>
      <c r="B14" s="4" t="n"/>
      <c r="C14" s="4" t="n"/>
      <c r="D14" s="4" t="n"/>
      <c r="E14" s="4" t="n"/>
      <c r="F14" s="4" t="n"/>
      <c r="G14" s="4" t="n"/>
      <c r="H14" s="4" t="n"/>
      <c r="I14" s="4" t="n"/>
    </row>
    <row r="15">
      <c r="A15" s="8" t="inlineStr"/>
      <c r="B15" s="8" t="inlineStr">
        <is>
          <t>FY2027E</t>
        </is>
      </c>
      <c r="C15" s="8" t="inlineStr">
        <is>
          <t>FY2028E</t>
        </is>
      </c>
      <c r="D15" s="8" t="inlineStr">
        <is>
          <t>FY2029E</t>
        </is>
      </c>
      <c r="E15" s="8" t="inlineStr">
        <is>
          <t>FY2030E</t>
        </is>
      </c>
      <c r="F15" s="8" t="inlineStr">
        <is>
          <t>FY2031E</t>
        </is>
      </c>
    </row>
    <row r="16">
      <c r="A16" t="inlineStr">
        <is>
          <t>Revenue</t>
        </is>
      </c>
      <c r="B16" s="7">
        <f>'Income Statement'!G5</f>
        <v/>
      </c>
      <c r="C16" s="7">
        <f>'Income Statement'!H5</f>
        <v/>
      </c>
      <c r="D16" s="7">
        <f>'Income Statement'!I5</f>
        <v/>
      </c>
      <c r="E16" s="7">
        <f>'Income Statement'!J5</f>
        <v/>
      </c>
      <c r="F16" s="7">
        <f>'Income Statement'!K5</f>
        <v/>
      </c>
    </row>
    <row r="17">
      <c r="A17" t="inlineStr">
        <is>
          <t>FCF margin (%)</t>
        </is>
      </c>
      <c r="B17" s="11" t="n">
        <v>0.42</v>
      </c>
      <c r="C17" s="11" t="n">
        <v>0.41</v>
      </c>
      <c r="D17" s="11" t="n">
        <v>0.4</v>
      </c>
      <c r="E17" s="11" t="n">
        <v>0.39</v>
      </c>
      <c r="F17" s="11" t="n">
        <v>0.38</v>
      </c>
    </row>
    <row r="18">
      <c r="A18" s="10" t="inlineStr">
        <is>
          <t>Free cash flow</t>
        </is>
      </c>
      <c r="B18" s="7">
        <f>B16*B17</f>
        <v/>
      </c>
      <c r="C18" s="7">
        <f>C16*C17</f>
        <v/>
      </c>
      <c r="D18" s="7">
        <f>D16*D17</f>
        <v/>
      </c>
      <c r="E18" s="7">
        <f>E16*E17</f>
        <v/>
      </c>
      <c r="F18" s="7">
        <f>F16*F17</f>
        <v/>
      </c>
    </row>
    <row r="19">
      <c r="A19" t="inlineStr">
        <is>
          <t>Discount factor</t>
        </is>
      </c>
      <c r="B19" s="15">
        <f>1/(1+$B$9)^1</f>
        <v/>
      </c>
      <c r="C19" s="15">
        <f>1/(1+$B$9)^2</f>
        <v/>
      </c>
      <c r="D19" s="15">
        <f>1/(1+$B$9)^3</f>
        <v/>
      </c>
      <c r="E19" s="15">
        <f>1/(1+$B$9)^4</f>
        <v/>
      </c>
      <c r="F19" s="15">
        <f>1/(1+$B$9)^5</f>
        <v/>
      </c>
    </row>
    <row r="20">
      <c r="A20" s="10" t="inlineStr">
        <is>
          <t>PV of FCF</t>
        </is>
      </c>
      <c r="B20" s="7">
        <f>B18*B19</f>
        <v/>
      </c>
      <c r="C20" s="7">
        <f>C18*C19</f>
        <v/>
      </c>
      <c r="D20" s="7">
        <f>D18*D19</f>
        <v/>
      </c>
      <c r="E20" s="7">
        <f>E18*E19</f>
        <v/>
      </c>
      <c r="F20" s="7">
        <f>F18*F19</f>
        <v/>
      </c>
    </row>
    <row r="22">
      <c r="A22" t="inlineStr">
        <is>
          <t>Sum of PV, explicit period</t>
        </is>
      </c>
      <c r="B22" s="7">
        <f>SUM(B20:F20)</f>
        <v/>
      </c>
    </row>
    <row r="23">
      <c r="A23" t="inlineStr">
        <is>
          <t>Terminal value (Gordon on FY2031E FCF)</t>
        </is>
      </c>
      <c r="B23" s="7">
        <f>F18*(1+B10)/(B9-B10)</f>
        <v/>
      </c>
    </row>
    <row r="24">
      <c r="A24" t="inlineStr">
        <is>
          <t>PV of terminal value</t>
        </is>
      </c>
      <c r="B24" s="7">
        <f>B23*F19</f>
        <v/>
      </c>
    </row>
    <row r="25">
      <c r="A25" t="inlineStr">
        <is>
          <t xml:space="preserve">  terminal share of enterprise value</t>
        </is>
      </c>
      <c r="B25" s="16">
        <f>B24/(B22+B24)</f>
        <v/>
      </c>
    </row>
    <row r="26">
      <c r="A26" t="inlineStr">
        <is>
          <t>Enterprise value</t>
        </is>
      </c>
      <c r="B26" s="17">
        <f>B22+B24</f>
        <v/>
      </c>
    </row>
    <row r="27">
      <c r="A27" t="inlineStr">
        <is>
          <t>Add: net cash</t>
        </is>
      </c>
      <c r="B27" s="7">
        <f>Overview!B32</f>
        <v/>
      </c>
    </row>
    <row r="28">
      <c r="A28" t="inlineStr">
        <is>
          <t>Equity value</t>
        </is>
      </c>
      <c r="B28" s="17">
        <f>B26+B27</f>
        <v/>
      </c>
    </row>
    <row r="29">
      <c r="A29" t="inlineStr">
        <is>
          <t>Shares outstanding (m)</t>
        </is>
      </c>
      <c r="B29" s="7">
        <f>Overview!B7</f>
        <v/>
      </c>
    </row>
    <row r="30">
      <c r="A30" t="inlineStr">
        <is>
          <t>DCF VALUE PER SHARE ($)</t>
        </is>
      </c>
      <c r="B30" s="18">
        <f>B28/B29</f>
        <v/>
      </c>
    </row>
    <row r="32" ht="34.5" customHeight="1">
      <c r="A32" s="28" t="inlineStr">
        <is>
          <t>FCF margins are anchored to the 41.92% actually delivered over the trailing twelve months. Note the trailing FCF dollar figure ROSE, from $119.08bn to $127.01bn; it is the margin that fell, because revenue grew faster. Terminal value is roughly three quarters of enterprise value, which is why this method carries 40% weight rather than the majority — and why the rating is a duration call rather than a multiple call.</t>
        </is>
      </c>
    </row>
  </sheetData>
  <mergeCells count="2">
    <mergeCell ref="A12:F12"/>
    <mergeCell ref="A32:F32"/>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I79"/>
  <sheetViews>
    <sheetView workbookViewId="0">
      <selection activeCell="A1" sqref="A1"/>
    </sheetView>
  </sheetViews>
  <sheetFormatPr baseColWidth="8" defaultRowHeight="15"/>
  <cols>
    <col width="47.14285714285715" customWidth="1" min="1" max="1"/>
    <col width="23.14285714285714" customWidth="1" min="2" max="2"/>
    <col width="21.14285714285714" customWidth="1" min="3" max="3"/>
    <col width="13.14285714285714" customWidth="1" min="4" max="4"/>
    <col width="17.14285714285714" customWidth="1" min="5" max="5"/>
    <col width="14.14285714285714" customWidth="1" min="6" max="6"/>
    <col width="14.14285714285714"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NVIDIA — Multi-Method Valuation</t>
        </is>
      </c>
    </row>
    <row r="2" ht="23" customHeight="1">
      <c r="A2" s="28" t="inlineStr">
        <is>
          <t>Three methods, weighted 40/35/25, on Q2 FY2027 actuals and Q3 guidance. The relative methods are struck on FY2028E and discounted back two years at the cost of equity, so all three are stated in today's money and are directly comparable.</t>
        </is>
      </c>
    </row>
    <row r="3"/>
    <row r="4">
      <c r="A4" s="3" t="inlineStr">
        <is>
          <t>KEY INPUTS</t>
        </is>
      </c>
      <c r="B4" s="4" t="n"/>
      <c r="C4" s="4" t="n"/>
      <c r="D4" s="4" t="n"/>
      <c r="E4" s="4" t="n"/>
      <c r="F4" s="4" t="n"/>
      <c r="G4" s="4" t="n"/>
      <c r="H4" s="4" t="n"/>
      <c r="I4" s="4" t="n"/>
    </row>
    <row r="5">
      <c r="A5" t="inlineStr">
        <is>
          <t>Live price ($, close 27-Aug-2026, post-print)</t>
        </is>
      </c>
      <c r="B5" s="5">
        <f>Overview!B6</f>
        <v/>
      </c>
    </row>
    <row r="6">
      <c r="A6" t="inlineStr">
        <is>
          <t>Shares outstanding (m)</t>
        </is>
      </c>
      <c r="B6" s="5">
        <f>Overview!B7</f>
        <v/>
      </c>
    </row>
    <row r="7">
      <c r="A7" t="inlineStr">
        <is>
          <t>Diluted shares (m)</t>
        </is>
      </c>
      <c r="B7" s="5" t="n">
        <v>24338</v>
      </c>
    </row>
    <row r="8">
      <c r="A8" t="inlineStr">
        <is>
          <t>Net cash ($m)</t>
        </is>
      </c>
      <c r="B8" s="5">
        <f>Overview!B32</f>
        <v/>
      </c>
    </row>
    <row r="9">
      <c r="A9" t="inlineStr">
        <is>
          <t>Risk-free rate (US 10-yr, 24-Aug-2026)</t>
        </is>
      </c>
      <c r="B9" s="13">
        <f>DCF!B4</f>
        <v/>
      </c>
    </row>
    <row r="10">
      <c r="A10" t="inlineStr">
        <is>
          <t>Cost of equity</t>
        </is>
      </c>
      <c r="B10" s="14">
        <f>DCF!B7</f>
        <v/>
      </c>
    </row>
    <row r="11">
      <c r="A11" t="inlineStr">
        <is>
          <t>Terminal growth</t>
        </is>
      </c>
      <c r="B11" s="13">
        <f>DCF!B10</f>
        <v/>
      </c>
    </row>
    <row r="12">
      <c r="A12" t="inlineStr">
        <is>
          <t>Dividend yield</t>
        </is>
      </c>
      <c r="B12" s="13">
        <f>Overview!B24/100</f>
        <v/>
      </c>
    </row>
    <row r="13"/>
    <row r="14">
      <c r="A14" s="3" t="inlineStr">
        <is>
          <t>METHOD 1 — FCFF DISCOUNTED CASH FLOW (40% weight)</t>
        </is>
      </c>
      <c r="B14" s="4" t="n"/>
      <c r="C14" s="4" t="n"/>
      <c r="D14" s="4" t="n"/>
      <c r="E14" s="4" t="n"/>
      <c r="F14" s="4" t="n"/>
      <c r="G14" s="4" t="n"/>
      <c r="H14" s="4" t="n"/>
      <c r="I14" s="4" t="n"/>
    </row>
    <row r="15">
      <c r="A15" s="6" t="inlineStr">
        <is>
          <t>Five-year explicit forecast, Gordon terminal, treasury-only net cash of $23.2bn added. Full build on the DCF sheet.</t>
        </is>
      </c>
    </row>
    <row r="16">
      <c r="A16" t="inlineStr">
        <is>
          <t>DCF value per share ($)</t>
        </is>
      </c>
      <c r="B16" s="19">
        <f>DCF!B30</f>
        <v/>
      </c>
    </row>
    <row r="17"/>
    <row r="18">
      <c r="A18" s="3" t="inlineStr">
        <is>
          <t>METHOD 2 — FORWARD P/E ON FY2028E, DISCOUNTED BACK (35% weight)</t>
        </is>
      </c>
      <c r="B18" s="4" t="n"/>
      <c r="C18" s="4" t="n"/>
      <c r="D18" s="4" t="n"/>
      <c r="E18" s="4" t="n"/>
      <c r="F18" s="4" t="n"/>
      <c r="G18" s="4" t="n"/>
      <c r="H18" s="4" t="n"/>
      <c r="I18" s="4" t="n"/>
    </row>
    <row r="19">
      <c r="A19" t="inlineStr">
        <is>
          <t>FY2028E core EPS ($)</t>
        </is>
      </c>
      <c r="B19" s="12">
        <f>'Income Statement'!H16</f>
        <v/>
      </c>
    </row>
    <row r="20">
      <c r="A20" t="inlineStr">
        <is>
          <t>Target multiple (x)</t>
        </is>
      </c>
      <c r="B20" s="20" t="n">
        <v>22</v>
      </c>
      <c r="C20" s="6" t="inlineStr">
        <is>
          <t>22x for a business growing 10-16% in the outer years with operating margins in the low sixties. Nvidia trades on 19.1x forward today.</t>
        </is>
      </c>
    </row>
    <row r="21">
      <c r="A21" t="inlineStr">
        <is>
          <t>Implied FY2028 price ($)</t>
        </is>
      </c>
      <c r="B21" s="12">
        <f>B19*B20</f>
        <v/>
      </c>
    </row>
    <row r="22">
      <c r="A22" t="inlineStr">
        <is>
          <t>Discounted two years to today ($)</t>
        </is>
      </c>
      <c r="B22" s="19">
        <f>B21/(1+B10)^2</f>
        <v/>
      </c>
    </row>
    <row r="23"/>
    <row r="24">
      <c r="A24" s="3" t="inlineStr">
        <is>
          <t>METHOD 3 — EV/EBITDA ON FY2028E, DISCOUNTED BACK (25% weight)</t>
        </is>
      </c>
      <c r="B24" s="4" t="n"/>
      <c r="C24" s="4" t="n"/>
      <c r="D24" s="4" t="n"/>
      <c r="E24" s="4" t="n"/>
      <c r="F24" s="4" t="n"/>
      <c r="G24" s="4" t="n"/>
      <c r="H24" s="4" t="n"/>
      <c r="I24" s="4" t="n"/>
    </row>
    <row r="25">
      <c r="A25" t="inlineStr">
        <is>
          <t>FY2028E revenue ($m)</t>
        </is>
      </c>
      <c r="B25" s="7">
        <f>'Income Statement'!H5</f>
        <v/>
      </c>
    </row>
    <row r="26">
      <c r="A26" t="inlineStr">
        <is>
          <t>EBITDA margin (%)</t>
        </is>
      </c>
      <c r="B26" s="11" t="n">
        <v>0.66</v>
      </c>
    </row>
    <row r="27">
      <c r="A27" t="inlineStr">
        <is>
          <t>FY2028E EBITDA ($m)</t>
        </is>
      </c>
      <c r="B27" s="7">
        <f>B25*B26</f>
        <v/>
      </c>
    </row>
    <row r="28">
      <c r="A28" t="inlineStr">
        <is>
          <t>Target EV/EBITDA (x)</t>
        </is>
      </c>
      <c r="B28" s="20" t="n">
        <v>18</v>
      </c>
    </row>
    <row r="29">
      <c r="A29" t="inlineStr">
        <is>
          <t>Implied FY2028 equity value ($m)</t>
        </is>
      </c>
      <c r="B29" s="7">
        <f>B27*B28+B8</f>
        <v/>
      </c>
    </row>
    <row r="30">
      <c r="A30" t="inlineStr">
        <is>
          <t>Implied FY2028 price ($)</t>
        </is>
      </c>
      <c r="B30" s="12">
        <f>B29/'Income Statement'!H15</f>
        <v/>
      </c>
      <c r="C30" s="6" t="inlineStr">
        <is>
          <t>uses the FY2028E share count, consistent with the EPS in Method 2</t>
        </is>
      </c>
    </row>
    <row r="31">
      <c r="A31" t="inlineStr">
        <is>
          <t>Discounted two years to today ($)</t>
        </is>
      </c>
      <c r="B31" s="19">
        <f>B30/(1+B10)^2</f>
        <v/>
      </c>
    </row>
    <row r="32"/>
    <row r="33">
      <c r="A33" s="3" t="inlineStr">
        <is>
          <t>BLENDED VALUATION &amp; RATING</t>
        </is>
      </c>
      <c r="B33" s="4" t="n"/>
      <c r="C33" s="4" t="n"/>
      <c r="D33" s="4" t="n"/>
      <c r="E33" s="4" t="n"/>
      <c r="F33" s="4" t="n"/>
      <c r="G33" s="4" t="n"/>
      <c r="H33" s="4" t="n"/>
      <c r="I33" s="4" t="n"/>
    </row>
    <row r="34">
      <c r="A34" s="8" t="inlineStr">
        <is>
          <t>Method</t>
        </is>
      </c>
      <c r="B34" s="8" t="inlineStr">
        <is>
          <t>Value/share ($)</t>
        </is>
      </c>
      <c r="C34" s="8" t="inlineStr">
        <is>
          <t>vs price</t>
        </is>
      </c>
      <c r="D34" s="8" t="inlineStr">
        <is>
          <t>Weight</t>
        </is>
      </c>
    </row>
    <row r="35">
      <c r="A35" t="inlineStr">
        <is>
          <t>FCFF DCF</t>
        </is>
      </c>
      <c r="B35" s="12">
        <f>B16</f>
        <v/>
      </c>
      <c r="C35" s="11">
        <f>B35/$B$5-1</f>
        <v/>
      </c>
      <c r="D35" s="16" t="n">
        <v>0.4</v>
      </c>
    </row>
    <row r="36">
      <c r="A36" t="inlineStr">
        <is>
          <t>Forward P/E on FY2028E</t>
        </is>
      </c>
      <c r="B36" s="12">
        <f>B22</f>
        <v/>
      </c>
      <c r="C36" s="11">
        <f>B36/$B$5-1</f>
        <v/>
      </c>
      <c r="D36" s="16" t="n">
        <v>0.35</v>
      </c>
    </row>
    <row r="37">
      <c r="A37" t="inlineStr">
        <is>
          <t>EV/EBITDA on FY2028E</t>
        </is>
      </c>
      <c r="B37" s="12">
        <f>B31</f>
        <v/>
      </c>
      <c r="C37" s="11">
        <f>B37/$B$5-1</f>
        <v/>
      </c>
      <c r="D37" s="16" t="n">
        <v>0.25</v>
      </c>
    </row>
    <row r="38"/>
    <row r="39">
      <c r="A39" t="inlineStr">
        <is>
          <t>Blended fair value ($)</t>
        </is>
      </c>
      <c r="B39" s="18">
        <f>SUMPRODUCT(B35:B37,D35:D37)</f>
        <v/>
      </c>
    </row>
    <row r="40">
      <c r="A40" t="inlineStr">
        <is>
          <t>Upside / (downside)</t>
        </is>
      </c>
      <c r="B40" s="11">
        <f>B39/B5-1</f>
        <v/>
      </c>
    </row>
    <row r="41">
      <c r="A41" t="inlineStr">
        <is>
          <t>Add: dividend yield</t>
        </is>
      </c>
      <c r="B41" s="13">
        <f>B12</f>
        <v/>
      </c>
    </row>
    <row r="42">
      <c r="A42" t="inlineStr">
        <is>
          <t>Total expected return</t>
        </is>
      </c>
      <c r="B42" s="21">
        <f>B40+B41</f>
        <v/>
      </c>
    </row>
    <row r="43">
      <c r="A43" t="inlineStr">
        <is>
          <t>Cost of equity (BUY hurdle)</t>
        </is>
      </c>
      <c r="B43" s="11">
        <f>B10</f>
        <v/>
      </c>
    </row>
    <row r="44">
      <c r="A44" t="inlineStr">
        <is>
          <t>ACCUMULATE hurdle (RF + 2pp)</t>
        </is>
      </c>
      <c r="B44" s="11">
        <f>B9+0.02</f>
        <v/>
      </c>
    </row>
    <row r="45">
      <c r="A45" t="inlineStr">
        <is>
          <t>RATING</t>
        </is>
      </c>
      <c r="B45" s="22">
        <f>IF(B42&gt;B43,"BUY",IF(B42&gt;B44,"ACCUMULATE",IF(B42&gt;0,"HOLD","REDUCE")))</f>
        <v/>
      </c>
    </row>
    <row r="46"/>
    <row r="47" ht="23" customHeight="1">
      <c r="A47" s="28" t="inlineStr">
        <is>
          <t>Rating bands are anchored to the US 10-year Treasury at 4.66% (26-Aug-2026, Fed H.15): BUY above the cost of equity, ACCUMULATE above risk-free plus two points, HOLD between zero and that hurdle, REDUCE below zero. Struck on the 27-Aug close of $227.98, up 8.74% on the print.</t>
        </is>
      </c>
    </row>
    <row r="48"/>
    <row r="49">
      <c r="A49" s="3" t="inlineStr">
        <is>
          <t>SENSITIVITY — blended fair value ($) vs DCF value and the FY2028E multiple</t>
        </is>
      </c>
      <c r="B49" s="4" t="n"/>
      <c r="C49" s="4" t="n"/>
      <c r="D49" s="4" t="n"/>
      <c r="E49" s="4" t="n"/>
      <c r="F49" s="4" t="n"/>
      <c r="G49" s="4" t="n"/>
      <c r="H49" s="4" t="n"/>
      <c r="I49" s="4" t="n"/>
    </row>
    <row r="50">
      <c r="A50" t="inlineStr">
        <is>
          <t>Fwd P/E (x) \ DCF value/share</t>
        </is>
      </c>
      <c r="B50" s="24">
        <f>$B$16-30</f>
        <v/>
      </c>
      <c r="C50" s="24">
        <f>$B$16-15</f>
        <v/>
      </c>
      <c r="D50" s="24">
        <f>B16</f>
        <v/>
      </c>
      <c r="E50" s="24">
        <f>$B$16+15</f>
        <v/>
      </c>
      <c r="F50" s="24">
        <f>$B$16+30</f>
        <v/>
      </c>
    </row>
    <row r="51">
      <c r="A51" s="10" t="inlineStr">
        <is>
          <t>18x</t>
        </is>
      </c>
      <c r="B51" s="12">
        <f>$D$35*B$50+$D$36*($B$19*18)/(1+$B$10)^2+$D$37*$B$31</f>
        <v/>
      </c>
      <c r="C51" s="12">
        <f>$D$35*C$50+$D$36*($B$19*18)/(1+$B$10)^2+$D$37*$B$31</f>
        <v/>
      </c>
      <c r="D51" s="12">
        <f>$D$35*D$50+$D$36*($B$19*18)/(1+$B$10)^2+$D$37*$B$31</f>
        <v/>
      </c>
      <c r="E51" s="12">
        <f>$D$35*E$50+$D$36*($B$19*18)/(1+$B$10)^2+$D$37*$B$31</f>
        <v/>
      </c>
      <c r="F51" s="12">
        <f>$D$35*F$50+$D$36*($B$19*18)/(1+$B$10)^2+$D$37*$B$31</f>
        <v/>
      </c>
    </row>
    <row r="52">
      <c r="A52" s="10" t="inlineStr">
        <is>
          <t>20x</t>
        </is>
      </c>
      <c r="B52" s="12">
        <f>$D$35*B$50+$D$36*($B$19*20)/(1+$B$10)^2+$D$37*$B$31</f>
        <v/>
      </c>
      <c r="C52" s="12">
        <f>$D$35*C$50+$D$36*($B$19*20)/(1+$B$10)^2+$D$37*$B$31</f>
        <v/>
      </c>
      <c r="D52" s="12">
        <f>$D$35*D$50+$D$36*($B$19*20)/(1+$B$10)^2+$D$37*$B$31</f>
        <v/>
      </c>
      <c r="E52" s="12">
        <f>$D$35*E$50+$D$36*($B$19*20)/(1+$B$10)^2+$D$37*$B$31</f>
        <v/>
      </c>
      <c r="F52" s="12">
        <f>$D$35*F$50+$D$36*($B$19*20)/(1+$B$10)^2+$D$37*$B$31</f>
        <v/>
      </c>
    </row>
    <row r="53">
      <c r="A53" s="10" t="inlineStr">
        <is>
          <t>22x</t>
        </is>
      </c>
      <c r="B53" s="12">
        <f>$D$35*B$50+$D$36*($B$19*22)/(1+$B$10)^2+$D$37*$B$31</f>
        <v/>
      </c>
      <c r="C53" s="12">
        <f>$D$35*C$50+$D$36*($B$19*22)/(1+$B$10)^2+$D$37*$B$31</f>
        <v/>
      </c>
      <c r="D53" s="12">
        <f>$D$35*D$50+$D$36*($B$19*22)/(1+$B$10)^2+$D$37*$B$31</f>
        <v/>
      </c>
      <c r="E53" s="12">
        <f>$D$35*E$50+$D$36*($B$19*22)/(1+$B$10)^2+$D$37*$B$31</f>
        <v/>
      </c>
      <c r="F53" s="12">
        <f>$D$35*F$50+$D$36*($B$19*22)/(1+$B$10)^2+$D$37*$B$31</f>
        <v/>
      </c>
    </row>
    <row r="54">
      <c r="A54" s="10" t="inlineStr">
        <is>
          <t>24x</t>
        </is>
      </c>
      <c r="B54" s="12">
        <f>$D$35*B$50+$D$36*($B$19*24)/(1+$B$10)^2+$D$37*$B$31</f>
        <v/>
      </c>
      <c r="C54" s="12">
        <f>$D$35*C$50+$D$36*($B$19*24)/(1+$B$10)^2+$D$37*$B$31</f>
        <v/>
      </c>
      <c r="D54" s="12">
        <f>$D$35*D$50+$D$36*($B$19*24)/(1+$B$10)^2+$D$37*$B$31</f>
        <v/>
      </c>
      <c r="E54" s="12">
        <f>$D$35*E$50+$D$36*($B$19*24)/(1+$B$10)^2+$D$37*$B$31</f>
        <v/>
      </c>
      <c r="F54" s="12">
        <f>$D$35*F$50+$D$36*($B$19*24)/(1+$B$10)^2+$D$37*$B$31</f>
        <v/>
      </c>
    </row>
    <row r="55">
      <c r="A55" s="10" t="inlineStr">
        <is>
          <t>26x</t>
        </is>
      </c>
      <c r="B55" s="12">
        <f>$D$35*B$50+$D$36*($B$19*26)/(1+$B$10)^2+$D$37*$B$31</f>
        <v/>
      </c>
      <c r="C55" s="12">
        <f>$D$35*C$50+$D$36*($B$19*26)/(1+$B$10)^2+$D$37*$B$31</f>
        <v/>
      </c>
      <c r="D55" s="12">
        <f>$D$35*D$50+$D$36*($B$19*26)/(1+$B$10)^2+$D$37*$B$31</f>
        <v/>
      </c>
      <c r="E55" s="12">
        <f>$D$35*E$50+$D$36*($B$19*26)/(1+$B$10)^2+$D$37*$B$31</f>
        <v/>
      </c>
      <c r="F55" s="12">
        <f>$D$35*F$50+$D$36*($B$19*26)/(1+$B$10)^2+$D$37*$B$31</f>
        <v/>
      </c>
    </row>
    <row r="56"/>
    <row r="57" ht="23" customHeight="1">
      <c r="A57" s="28" t="inlineStr">
        <is>
          <t>The centre cell is built from the same inputs as the blend above, so it agrees by construction — it is a wiring check, not a validation of the inputs themselves. The bear and bull rows below are independent recomputations and are the ones worth interrogating.</t>
        </is>
      </c>
    </row>
    <row r="58">
      <c r="A58" t="inlineStr">
        <is>
          <t>CHECK: centre cell less blended fair value</t>
        </is>
      </c>
      <c r="B58" s="25">
        <f>D53-B39</f>
        <v/>
      </c>
    </row>
    <row r="59"/>
    <row r="60">
      <c r="A60" s="3" t="inlineStr">
        <is>
          <t>SCENARIOS — the rating rests on the revenue path, not the discount rate</t>
        </is>
      </c>
      <c r="B60" s="4" t="n"/>
      <c r="C60" s="4" t="n"/>
      <c r="D60" s="4" t="n"/>
      <c r="E60" s="4" t="n"/>
      <c r="F60" s="4" t="n"/>
      <c r="G60" s="4" t="n"/>
      <c r="H60" s="4" t="n"/>
      <c r="I60" s="4" t="n"/>
    </row>
    <row r="61">
      <c r="A61" s="8" t="inlineStr">
        <is>
          <t>Scenario</t>
        </is>
      </c>
      <c r="B61" s="8" t="inlineStr">
        <is>
          <t>FY2029E revenue ($bn)</t>
        </is>
      </c>
      <c r="C61" s="8" t="inlineStr">
        <is>
          <t>FY2028E core EPS ($)</t>
        </is>
      </c>
      <c r="D61" s="8" t="inlineStr">
        <is>
          <t>DCF ($)</t>
        </is>
      </c>
      <c r="E61" s="8" t="inlineStr">
        <is>
          <t>Blended FV ($)</t>
        </is>
      </c>
      <c r="F61" s="8" t="inlineStr">
        <is>
          <t>Total return</t>
        </is>
      </c>
      <c r="G61" s="8" t="inlineStr">
        <is>
          <t>Rating</t>
        </is>
      </c>
    </row>
    <row r="62">
      <c r="A62" t="inlineStr">
        <is>
          <t>Bear — FY28 +25%, power-capped thereafter (margins degraded)</t>
        </is>
      </c>
      <c r="B62" s="7" t="n">
        <v>555</v>
      </c>
      <c r="C62" s="12" t="n">
        <v>10.87237827148641</v>
      </c>
      <c r="D62" s="12" t="n">
        <v>98.8373519319462</v>
      </c>
      <c r="E62" s="12" t="n">
        <v>155.2765388777927</v>
      </c>
      <c r="F62" s="11">
        <f>E62/$B$5-1+$B$12</f>
        <v/>
      </c>
      <c r="G62">
        <f>IF(F62&gt;$B$43,"BUY",IF(F62&gt;$B$44,"ACCUMULATE",IF(F62&gt;0,"HOLD","REDUCE")))</f>
        <v/>
      </c>
    </row>
    <row r="63">
      <c r="A63" t="inlineStr">
        <is>
          <t>Base — FY28 +42%, fading to +10% by FY2031</t>
        </is>
      </c>
      <c r="B63" s="7" t="n">
        <v>711</v>
      </c>
      <c r="C63" s="12">
        <f>B19</f>
        <v/>
      </c>
      <c r="D63" s="12">
        <f>B16</f>
        <v/>
      </c>
      <c r="E63" s="12">
        <f>B39</f>
        <v/>
      </c>
      <c r="F63" s="11">
        <f>E63/$B$5-1+$B$12</f>
        <v/>
      </c>
      <c r="G63">
        <f>IF(F63&gt;$B$43,"BUY",IF(F63&gt;$B$44,"ACCUMULATE",IF(F63&gt;0,"HOLD","REDUCE")))</f>
        <v/>
      </c>
    </row>
    <row r="64">
      <c r="A64" t="inlineStr">
        <is>
          <t>Bull — FY28 +70% per company guidance, sustained</t>
        </is>
      </c>
      <c r="B64" s="7" t="n">
        <v>926</v>
      </c>
      <c r="C64" s="12" t="n">
        <v>15.45963796886087</v>
      </c>
      <c r="D64" s="12" t="n">
        <v>217.1481073529989</v>
      </c>
      <c r="E64" s="12" t="n">
        <v>251.4887736634122</v>
      </c>
      <c r="F64" s="11">
        <f>E64/$B$5-1+$B$12</f>
        <v/>
      </c>
      <c r="G64">
        <f>IF(F64&gt;$B$43,"BUY",IF(F64&gt;$B$44,"ACCUMULATE",IF(F64&gt;0,"HOLD","REDUCE")))</f>
        <v/>
      </c>
    </row>
    <row r="65"/>
    <row r="66">
      <c r="A66" t="inlineStr">
        <is>
          <t>CHECK: Base scenario blend less headline blended fair value</t>
        </is>
      </c>
      <c r="B66" s="25">
        <f>E63-B39</f>
        <v/>
      </c>
    </row>
    <row r="67"/>
    <row r="68" ht="46" customHeight="1">
      <c r="A68" s="28" t="inlineStr">
        <is>
          <t>Nvidia guided FY2028 revenue growth to roughly 70% on the 26 August call — the first year-ahead forecast the company has given. Run that through our own machinery and it returns $251 and an ACCUMULATE. The break-even is what matters: fair value equals the market price at FY2028 growth of about 56%. Our REDUCE survives our own +42% and the +44% the Street carried into the print; it does not survive the company's own 70%. Note the bear column degrades gross margin to 71.5% and opex to 10.0% of revenue — it is NOT a revenue-only sensitivity, and we should not claim otherwise.</t>
        </is>
      </c>
    </row>
    <row r="69"/>
    <row r="70" ht="46" customHeight="1">
      <c r="A70" s="28" t="inlineStr">
        <is>
          <t>What changed on audit. Net cash was restated from $61.0bn to $23.2bn: the larger figure counted $42.8bn of marketable EQUITY securities as treasury liquidity, which contradicts this note's own argument that the equity book is not diversification. Terminal growth was cut from 4.5% to 4.0%, since CBO-implied long-run US nominal GDP is roughly 3.8-4.0%. The risk-free rate was refreshed from a stale 24-Aug 4.72% to the 26-Aug 4.66% H.15 print. Method 3 was struck on the FY2028E share count for consistency with Method 2. Together these took fair value from $203 to $200.</t>
        </is>
      </c>
    </row>
    <row r="71"/>
    <row r="72">
      <c r="A72" s="3" t="inlineStr">
        <is>
          <t>HOLDING-PERIOD TEST — return to FY2031E on OUR OWN forecast, by exit multiple</t>
        </is>
      </c>
      <c r="B72" s="4" t="n"/>
      <c r="C72" s="4" t="n"/>
      <c r="D72" s="4" t="n"/>
      <c r="E72" s="4" t="n"/>
      <c r="F72" s="4" t="n"/>
      <c r="G72" s="4" t="n"/>
    </row>
    <row r="73">
      <c r="A73" s="8" t="inlineStr">
        <is>
          <t>Exit multiple on FY2031E core EPS</t>
        </is>
      </c>
      <c r="B73" s="8" t="inlineStr">
        <is>
          <t>Implied price ($)</t>
        </is>
      </c>
      <c r="C73" s="8" t="inlineStr">
        <is>
          <t>Total return</t>
        </is>
      </c>
      <c r="D73" s="8" t="inlineStr">
        <is>
          <t>Annualised (4.4 yrs)</t>
        </is>
      </c>
      <c r="E73" s="8" t="inlineStr">
        <is>
          <t>vs 11.41% cost of equity</t>
        </is>
      </c>
    </row>
    <row r="74">
      <c r="A74" t="inlineStr">
        <is>
          <t>14x</t>
        </is>
      </c>
      <c r="B74" s="12">
        <f>14*'Income Statement'!K16</f>
        <v/>
      </c>
      <c r="C74" s="11">
        <f>B74/$B$5-1</f>
        <v/>
      </c>
      <c r="D74" s="11">
        <f>(B74/$B$5)^(1/4.4)-1</f>
        <v/>
      </c>
      <c r="E74">
        <f>IF(D74&gt;$B$43,"clears","below")</f>
        <v/>
      </c>
    </row>
    <row r="75">
      <c r="A75" t="inlineStr">
        <is>
          <t>16x</t>
        </is>
      </c>
      <c r="B75" s="12">
        <f>16*'Income Statement'!K16</f>
        <v/>
      </c>
      <c r="C75" s="11">
        <f>B75/$B$5-1</f>
        <v/>
      </c>
      <c r="D75" s="11">
        <f>(B75/$B$5)^(1/4.4)-1</f>
        <v/>
      </c>
      <c r="E75">
        <f>IF(D75&gt;$B$43,"clears","below")</f>
        <v/>
      </c>
    </row>
    <row r="76">
      <c r="A76" t="inlineStr">
        <is>
          <t>18x</t>
        </is>
      </c>
      <c r="B76" s="12">
        <f>18*'Income Statement'!K16</f>
        <v/>
      </c>
      <c r="C76" s="11">
        <f>B76/$B$5-1</f>
        <v/>
      </c>
      <c r="D76" s="11">
        <f>(B76/$B$5)^(1/4.4)-1</f>
        <v/>
      </c>
      <c r="E76">
        <f>IF(D76&gt;$B$43,"clears","below")</f>
        <v/>
      </c>
    </row>
    <row r="77">
      <c r="A77" t="inlineStr">
        <is>
          <t>20x</t>
        </is>
      </c>
      <c r="B77" s="12">
        <f>20*'Income Statement'!K16</f>
        <v/>
      </c>
      <c r="C77" s="11">
        <f>B77/$B$5-1</f>
        <v/>
      </c>
      <c r="D77" s="11">
        <f>(B77/$B$5)^(1/4.4)-1</f>
        <v/>
      </c>
      <c r="E77">
        <f>IF(D77&gt;$B$43,"clears","below")</f>
        <v/>
      </c>
    </row>
    <row r="78">
      <c r="A78" t="inlineStr">
        <is>
          <t>22x</t>
        </is>
      </c>
      <c r="B78" s="12">
        <f>22*'Income Statement'!K16</f>
        <v/>
      </c>
      <c r="C78" s="11">
        <f>B78/$B$5-1</f>
        <v/>
      </c>
      <c r="D78" s="11">
        <f>(B78/$B$5)^(1/4.4)-1</f>
        <v/>
      </c>
      <c r="E78">
        <f>IF(D78&gt;$B$43,"clears","below")</f>
        <v/>
      </c>
    </row>
    <row r="79" ht="23" customHeight="1">
      <c r="A79" s="28" t="inlineStr">
        <is>
          <t>Our REDUCE is a twelve-month judgement about price, not a claim that the business is a poor long-term holding. On our own forecast a 20x exit in FY2031 returns more than the cost of equity. We separate the two statements rather than letting the rating imply more than it can support.</t>
        </is>
      </c>
    </row>
  </sheetData>
  <mergeCells count="6">
    <mergeCell ref="A70:G70"/>
    <mergeCell ref="A79:G79"/>
    <mergeCell ref="A2:G2"/>
    <mergeCell ref="A57:G57"/>
    <mergeCell ref="A68:G68"/>
    <mergeCell ref="A47:G47"/>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G31"/>
  <sheetViews>
    <sheetView workbookViewId="0">
      <selection activeCell="A1" sqref="A1"/>
    </sheetView>
  </sheetViews>
  <sheetFormatPr baseColWidth="8" defaultRowHeight="15"/>
  <cols>
    <col width="44" customWidth="1" min="1" max="1"/>
    <col width="10" customWidth="1" min="2" max="2"/>
    <col width="18" customWidth="1" min="3" max="3"/>
    <col width="12" customWidth="1" min="4" max="4"/>
    <col width="16" customWidth="1" min="5" max="5"/>
    <col width="18" customWidth="1" min="6" max="6"/>
    <col width="44" customWidth="1" min="7" max="7"/>
    <col width="13" customWidth="1" min="8" max="8"/>
    <col width="13" customWidth="1" min="9" max="9"/>
    <col width="13" customWidth="1" min="10" max="10"/>
    <col width="13" customWidth="1" min="11" max="11"/>
    <col width="13" customWidth="1" min="12" max="12"/>
    <col width="13" customWidth="1" min="13" max="13"/>
  </cols>
  <sheetData>
    <row r="1">
      <c r="A1" s="9" t="inlineStr">
        <is>
          <t>NVIDIA — Peer Comparison and Street View</t>
        </is>
      </c>
    </row>
    <row r="2" ht="23" customHeight="1">
      <c r="A2" s="28" t="inlineStr">
        <is>
          <t>All rows at the 27-Aug-2026 close, the session after Nvidia's Q2 FY2027 report. The whole complex rallied on the print. Source: StockAnalysis / S&amp;P Global Market Intelligence.</t>
        </is>
      </c>
    </row>
    <row r="4">
      <c r="A4" s="8" t="inlineStr">
        <is>
          <t>Company</t>
        </is>
      </c>
      <c r="B4" s="8" t="inlineStr">
        <is>
          <t>Ticker</t>
        </is>
      </c>
      <c r="C4" s="8" t="inlineStr">
        <is>
          <t>Market cap ($bn)</t>
        </is>
      </c>
      <c r="D4" s="8" t="inlineStr">
        <is>
          <t>Price ($)</t>
        </is>
      </c>
      <c r="E4" s="8" t="inlineStr">
        <is>
          <t>Trailing P/E (x)</t>
        </is>
      </c>
      <c r="F4" s="8" t="inlineStr">
        <is>
          <t>TTM revenue ($bn)</t>
        </is>
      </c>
      <c r="G4" s="8" t="inlineStr">
        <is>
          <t>Comment</t>
        </is>
      </c>
    </row>
    <row r="5">
      <c r="A5" s="10" t="inlineStr">
        <is>
          <t>NVIDIA</t>
        </is>
      </c>
      <c r="B5" s="10" t="inlineStr">
        <is>
          <t>NVDA</t>
        </is>
      </c>
      <c r="C5" s="17" t="n">
        <v>5506</v>
      </c>
      <c r="D5" s="26" t="n">
        <v>227.98</v>
      </c>
      <c r="E5" s="26" t="n">
        <v>28.83</v>
      </c>
      <c r="F5" s="26" t="n">
        <v>302.97</v>
      </c>
      <c r="G5" s="10" t="inlineStr">
        <is>
          <t>subject; +8.74% on the print; forward P/E 19.1x</t>
        </is>
      </c>
    </row>
    <row r="6">
      <c r="A6" t="inlineStr">
        <is>
          <t>Broadcom</t>
        </is>
      </c>
      <c r="B6" t="inlineStr">
        <is>
          <t>AVGO</t>
        </is>
      </c>
      <c r="C6" s="7" t="n">
        <v>1770</v>
      </c>
      <c r="D6" s="5" t="n">
        <v>371.54</v>
      </c>
      <c r="E6" s="5" t="n">
        <v>59.18</v>
      </c>
      <c r="F6" s="5" t="n">
        <v>75.47</v>
      </c>
      <c r="G6" t="inlineStr">
        <is>
          <t>+4.49%; custom accelerators, the closest structural threat</t>
        </is>
      </c>
    </row>
    <row r="7">
      <c r="A7" t="inlineStr">
        <is>
          <t>Taiwan Semiconductor</t>
        </is>
      </c>
      <c r="B7" t="inlineStr">
        <is>
          <t>TSM</t>
        </is>
      </c>
      <c r="C7" s="7" t="n">
        <v>1970</v>
      </c>
      <c r="D7" s="5" t="n">
        <v>427.3</v>
      </c>
      <c r="E7" s="5" t="n">
        <v>28.31</v>
      </c>
      <c r="F7" s="5" t="n">
        <v>139.57</v>
      </c>
      <c r="G7" t="inlineStr">
        <is>
          <t>+2.30%; manufactures for Nvidia; the only comparably priced name</t>
        </is>
      </c>
    </row>
    <row r="8">
      <c r="A8" t="inlineStr">
        <is>
          <t>Advanced Micro Devices</t>
        </is>
      </c>
      <c r="B8" t="inlineStr">
        <is>
          <t>AMD</t>
        </is>
      </c>
      <c r="C8" s="7" t="n">
        <v>778</v>
      </c>
      <c r="D8" s="5" t="n">
        <v>476.67</v>
      </c>
      <c r="E8" s="5" t="n">
        <v>122.75</v>
      </c>
      <c r="F8" s="5" t="n">
        <v>41.31</v>
      </c>
      <c r="G8" t="inlineStr">
        <is>
          <t>−0.89%; earnings still small relative to the multiple</t>
        </is>
      </c>
    </row>
    <row r="9">
      <c r="A9" t="inlineStr">
        <is>
          <t>Marvell</t>
        </is>
      </c>
      <c r="B9" t="inlineStr">
        <is>
          <t>MRVL</t>
        </is>
      </c>
      <c r="C9" s="7" t="n">
        <v>212</v>
      </c>
      <c r="D9" s="5" t="n">
        <v>241.45</v>
      </c>
      <c r="E9" s="5" t="n">
        <v>81.12</v>
      </c>
      <c r="F9" s="5" t="n">
        <v>9.449999999999999</v>
      </c>
      <c r="G9" t="inlineStr">
        <is>
          <t>−1.49%; custom silicon for hyperscalers</t>
        </is>
      </c>
    </row>
    <row r="10">
      <c r="A10" t="inlineStr">
        <is>
          <t>Intel</t>
        </is>
      </c>
      <c r="B10" t="inlineStr">
        <is>
          <t>INTC</t>
        </is>
      </c>
      <c r="C10" s="7" t="n">
        <v>484</v>
      </c>
      <c r="D10" s="5" t="n">
        <v>92.09</v>
      </c>
      <c r="E10" t="inlineStr">
        <is>
          <t>n/m</t>
        </is>
      </c>
      <c r="F10" s="5" t="n">
        <v>57.03</v>
      </c>
      <c r="G10" t="inlineStr">
        <is>
          <t>+4.36%; loss-making; not meaningful</t>
        </is>
      </c>
    </row>
    <row r="12">
      <c r="A12" t="inlineStr">
        <is>
          <t>Peer average trailing P/E, excluding Nvidia and Intel</t>
        </is>
      </c>
      <c r="B12" s="19">
        <f>AVERAGE(E6:E9)</f>
        <v/>
      </c>
    </row>
    <row r="13">
      <c r="A13" t="inlineStr">
        <is>
          <t>Nvidia premium / (discount) to that average</t>
        </is>
      </c>
      <c r="B13" s="21">
        <f>E5/B12-1</f>
        <v/>
      </c>
    </row>
    <row r="15">
      <c r="A15" s="3" t="inlineStr">
        <is>
          <t>THE STRONGEST ARGUMENT AGAINST OUR RATING</t>
        </is>
      </c>
      <c r="B15" s="4" t="n"/>
      <c r="C15" s="4" t="n"/>
      <c r="D15" s="4" t="n"/>
      <c r="E15" s="4" t="n"/>
      <c r="F15" s="4" t="n"/>
      <c r="G15" s="4" t="n"/>
    </row>
    <row r="16" ht="57.5" customHeight="1">
      <c r="A16" s="28" t="inlineStr">
        <is>
          <t>Nvidia at 28.8 times trailing earnings remains among the cheapest AI-exposed names in this table. Broadcom is at 59.2x, Marvell at 81.1x, AMD at 122.8x; only TSMC, the foundry that manufactures for Nvidia, is comparable at 28.3x. The average of the four excluding Nvidia and loss-making Intel is 72.8x, so Nvidia trades at a 60% discount to its own peer group while growing faster and earning higher margins than any of them. Forward P/E is 19.1x, ROIC 92%, net margin 63.7%, with $23bn of net treasury cash. Sixty-one analysts cover it, the consensus is Strong Buy and the average target sits well above the market. On every conventional screen this is a cheap stock and our REDUCE is the outlier.</t>
        </is>
      </c>
    </row>
    <row r="18">
      <c r="A18" s="3" t="inlineStr">
        <is>
          <t>OUR ANSWER</t>
        </is>
      </c>
      <c r="B18" s="4" t="n"/>
      <c r="C18" s="4" t="n"/>
      <c r="D18" s="4" t="n"/>
      <c r="E18" s="4" t="n"/>
      <c r="F18" s="4" t="n"/>
      <c r="G18" s="4" t="n"/>
    </row>
    <row r="19" ht="46" customHeight="1">
      <c r="A19" s="28" t="inlineStr">
        <is>
          <t>Two responses. First, a price/earnings ratio is a fraction and Nvidia's denominator is now $193bn of annual profit. AMD at 122.8x is expensive on $41bn of revenue and a far smaller earnings base; that multiple says almost nothing about whether Nvidia's $193bn can compound. Second, these are not independent observations — Broadcom, AMD, Marvell and TSMC are priced off the same AI capital-expenditure cycle. Benchmarking Nvidia against them asks whether it is cheap relative to other bets on an identical outcome. Nvidia is cheap if AI capex compounds and expensive if it does not, and so is every name on that list. The peer group is one trade, not five.</t>
        </is>
      </c>
    </row>
    <row r="21">
      <c r="A21" s="3" t="inlineStr">
        <is>
          <t>STREET DISPERSION</t>
        </is>
      </c>
      <c r="B21" s="4" t="n"/>
      <c r="C21" s="4" t="n"/>
      <c r="D21" s="4" t="n"/>
      <c r="E21" s="4" t="n"/>
      <c r="F21" s="4" t="n"/>
      <c r="G21" s="4" t="n"/>
    </row>
    <row r="22">
      <c r="A22" t="inlineStr">
        <is>
          <t>Analysts covering</t>
        </is>
      </c>
      <c r="C22" t="n">
        <v>61</v>
      </c>
    </row>
    <row r="23">
      <c r="A23" t="inlineStr">
        <is>
          <t>Consensus rating</t>
        </is>
      </c>
      <c r="C23" t="inlineStr">
        <is>
          <t>Strong Buy</t>
        </is>
      </c>
    </row>
    <row r="24">
      <c r="A24" t="inlineStr">
        <is>
          <t>Average target ($)</t>
        </is>
      </c>
      <c r="C24" s="5" t="n">
        <v>320.77</v>
      </c>
    </row>
    <row r="25">
      <c r="A25" t="inlineStr">
        <is>
          <t>Implied upside from the $227.98 close</t>
        </is>
      </c>
      <c r="C25" s="11">
        <f>C24/227.98-1</f>
        <v/>
      </c>
    </row>
    <row r="26">
      <c r="A26" t="inlineStr">
        <is>
          <t>Consensus 3-yr revenue CAGR (%)</t>
        </is>
      </c>
      <c r="C26" s="5" t="n">
        <v>55.4</v>
      </c>
    </row>
    <row r="27">
      <c r="A27" t="inlineStr">
        <is>
          <t>Consensus 3-yr EPS CAGR (%)</t>
        </is>
      </c>
      <c r="C27" s="5" t="n">
        <v>58.73</v>
      </c>
    </row>
    <row r="28">
      <c r="A28" t="inlineStr">
        <is>
          <t>Our blended fair value ($)</t>
        </is>
      </c>
      <c r="C28">
        <f>'Valuation Summary'!B39</f>
        <v/>
      </c>
    </row>
    <row r="30">
      <c r="A30" t="inlineStr">
        <is>
          <t>Our implied FY2029E revenue ($bn)</t>
        </is>
      </c>
      <c r="C30" t="n">
        <v>711</v>
      </c>
    </row>
    <row r="31" ht="23" customHeight="1">
      <c r="A31" s="28" t="inlineStr">
        <is>
          <t>We sit far below the Street. Our FY2029E of $711bn against a consensus 3-year revenue CAGR of 55.4%, and against the company's own ~70% FY2028 guidance. Peer prices are the 27-Aug-2026 close; Marvell reported after that close and fell in after-hours, so its multiple here is already stale.</t>
        </is>
      </c>
    </row>
  </sheetData>
  <mergeCells count="4">
    <mergeCell ref="A31:G31"/>
    <mergeCell ref="A19:G19"/>
    <mergeCell ref="A16:G16"/>
    <mergeCell ref="A2:G2"/>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Debjit Mukherjee</dc:creator>
  <dc:title xmlns:dc="http://purl.org/dc/elements/1.1/">NVIDIA Corporation — Financial Model &amp; Valuation (post Q2 FY2027)</dc:title>
  <dcterms:created xmlns:dcterms="http://purl.org/dc/terms/" xmlns:xsi="http://www.w3.org/2001/XMLSchema-instance" xsi:type="dcterms:W3CDTF">2026-08-24T13:29:33Z</dcterms:created>
  <dcterms:modified xmlns:dcterms="http://purl.org/dc/terms/" xmlns:xsi="http://www.w3.org/2001/XMLSchema-instance" xsi:type="dcterms:W3CDTF">2026-08-28T08:03:51Z</dcterms:modified>
  <cp:lastModifiedBy>Debjit Mukherjee</cp:lastModifiedBy>
</cp:coreProperties>
</file>