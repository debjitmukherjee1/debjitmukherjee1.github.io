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ro-Forma P&amp;L" sheetId="2" state="visible" r:id="rId2"/>
    <sheet xmlns:r="http://schemas.openxmlformats.org/officeDocument/2006/relationships" name="Valuation" sheetId="3" state="visible" r:id="rId3"/>
    <sheet xmlns:r="http://schemas.openxmlformats.org/officeDocument/2006/relationships" name="DCF Build" sheetId="4" state="visible" r:id="rId4"/>
    <sheet xmlns:r="http://schemas.openxmlformats.org/officeDocument/2006/relationships" name="Peers &amp; Street" sheetId="5" state="visible" r:id="rId5"/>
  </sheets>
  <definedNames>
    <definedName name="_xlnm.Print_Area" localSheetId="0">'Overview'!$A$1:$D$66</definedName>
    <definedName name="_xlnm.Print_Area" localSheetId="1">'Pro-Forma P&amp;L'!$A$1:$G$37</definedName>
    <definedName name="_xlnm.Print_Area" localSheetId="2">'Valuation'!$A$1:$J$109</definedName>
    <definedName name="_xlnm.Print_Area" localSheetId="3">'DCF Build'!$A$1:$H$51</definedName>
    <definedName name="_xlnm.Print_Area" localSheetId="4">'Peers &amp; Street'!$A$1:$G$56</definedName>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
    <numFmt numFmtId="167" formatCode="0.0000"/>
    <numFmt numFmtId="168" formatCode="0.0&quot;x&quot;"/>
  </numFmts>
  <fonts count="13">
    <font>
      <name val="Calibri"/>
      <family val="2"/>
      <color theme="1"/>
      <sz val="11"/>
      <scheme val="minor"/>
    </font>
    <font>
      <b val="1"/>
      <color rgb="001F3864"/>
      <sz val="14"/>
    </font>
    <font>
      <i val="1"/>
      <color rgb="00404040"/>
      <sz val="9"/>
    </font>
    <font>
      <b val="1"/>
      <color rgb="00FFFFFF"/>
      <sz val="10"/>
    </font>
    <font>
      <b val="1"/>
    </font>
    <font>
      <b val="1"/>
      <color rgb="001F3864"/>
      <sz val="13"/>
    </font>
    <font>
      <b val="1"/>
      <color rgb="001F3864"/>
      <sz val="12"/>
    </font>
    <font>
      <b val="1"/>
      <color rgb="00C0392B"/>
      <sz val="12"/>
    </font>
    <font>
      <b val="1"/>
      <color rgb="00FFFFFF"/>
      <sz val="9"/>
    </font>
    <font>
      <color rgb="00C00000"/>
    </font>
    <font>
      <b val="1"/>
      <color rgb="001F3864"/>
    </font>
    <font/>
    <font>
      <b val="1"/>
      <color rgb="00006100"/>
    </font>
  </fonts>
  <fills count="5">
    <fill>
      <patternFill/>
    </fill>
    <fill>
      <patternFill patternType="gray125"/>
    </fill>
    <fill>
      <patternFill patternType="solid">
        <fgColor rgb="001A1A1A"/>
      </patternFill>
    </fill>
    <fill>
      <patternFill patternType="solid">
        <fgColor rgb="00F2F2F2"/>
      </patternFill>
    </fill>
    <fill>
      <patternFill patternType="solid">
        <fgColor rgb="001F3864"/>
      </patternFill>
    </fill>
  </fills>
  <borders count="1">
    <border>
      <left/>
      <right/>
      <top/>
      <bottom/>
      <diagonal/>
    </border>
  </borders>
  <cellStyleXfs count="1">
    <xf numFmtId="0" fontId="0" fillId="0" borderId="0"/>
  </cellStyleXfs>
  <cellXfs count="4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4" fontId="0" fillId="0" borderId="0" pivotButton="0" quotePrefix="0" xfId="0"/>
    <xf numFmtId="3" fontId="0" fillId="0" borderId="0" pivotButton="0" quotePrefix="0" xfId="0"/>
    <xf numFmtId="0" fontId="4" fillId="3" borderId="0" pivotButton="0" quotePrefix="0" xfId="0"/>
    <xf numFmtId="164" fontId="0" fillId="0" borderId="0" pivotButton="0" quotePrefix="0" xfId="0"/>
    <xf numFmtId="0" fontId="5" fillId="0" borderId="0" pivotButton="0" quotePrefix="0" xfId="0"/>
    <xf numFmtId="0" fontId="4" fillId="0" borderId="0" pivotButton="0" quotePrefix="0" xfId="0"/>
    <xf numFmtId="165" fontId="0" fillId="0" borderId="0" pivotButton="0" quotePrefix="0" xfId="0"/>
    <xf numFmtId="2" fontId="0" fillId="0" borderId="0" pivotButton="0" quotePrefix="0" xfId="0"/>
    <xf numFmtId="10" fontId="0" fillId="0" borderId="0" pivotButton="0" quotePrefix="0" xfId="0"/>
    <xf numFmtId="10" fontId="4" fillId="0" borderId="0" pivotButton="0" quotePrefix="0" xfId="0"/>
    <xf numFmtId="2" fontId="4" fillId="0" borderId="0" pivotButton="0" quotePrefix="0" xfId="0"/>
    <xf numFmtId="166" fontId="0" fillId="0" borderId="0" pivotButton="0" quotePrefix="0" xfId="0"/>
    <xf numFmtId="9" fontId="0" fillId="0" borderId="0" pivotButton="0" quotePrefix="0" xfId="0"/>
    <xf numFmtId="2" fontId="6" fillId="0" borderId="0" pivotButton="0" quotePrefix="0" xfId="0"/>
    <xf numFmtId="165" fontId="4" fillId="0" borderId="0" pivotButton="0" quotePrefix="0" xfId="0"/>
    <xf numFmtId="0" fontId="7" fillId="0" borderId="0" pivotButton="0" quotePrefix="0" xfId="0"/>
    <xf numFmtId="0" fontId="2" fillId="0" borderId="0" applyAlignment="1" pivotButton="0" quotePrefix="0" xfId="0">
      <alignment vertical="top" wrapText="1"/>
    </xf>
    <xf numFmtId="49" fontId="4" fillId="0" borderId="0" pivotButton="0" quotePrefix="0" xfId="0"/>
    <xf numFmtId="4" fontId="4" fillId="0" borderId="0" pivotButton="0" quotePrefix="0" xfId="0"/>
    <xf numFmtId="3" fontId="4" fillId="0" borderId="0" pivotButton="0" quotePrefix="0" xfId="0"/>
    <xf numFmtId="49" fontId="0" fillId="0" borderId="0" pivotButton="0" quotePrefix="0" xfId="0"/>
    <xf numFmtId="167" fontId="0" fillId="0" borderId="0" pivotButton="0" quotePrefix="0" xfId="0"/>
    <xf numFmtId="4" fontId="6" fillId="0" borderId="0" pivotButton="0" quotePrefix="0" xfId="0"/>
    <xf numFmtId="0" fontId="8" fillId="4" borderId="0" pivotButton="0" quotePrefix="0" xfId="0"/>
    <xf numFmtId="3" fontId="9" fillId="0" borderId="0" pivotButton="0" quotePrefix="0" xfId="0"/>
    <xf numFmtId="0" fontId="0" fillId="0" borderId="0" applyAlignment="1" pivotButton="0" quotePrefix="0" xfId="0">
      <alignment vertical="center"/>
    </xf>
    <xf numFmtId="2" fontId="0" fillId="0" borderId="0" applyAlignment="1" pivotButton="0" quotePrefix="0" xfId="0">
      <alignment vertical="center"/>
    </xf>
    <xf numFmtId="168" fontId="0" fillId="0" borderId="0" applyAlignment="1" pivotButton="0" quotePrefix="0" xfId="0">
      <alignment vertical="center"/>
    </xf>
    <xf numFmtId="4" fontId="0" fillId="0" borderId="0" applyAlignment="1" pivotButton="0" quotePrefix="0" xfId="0">
      <alignment vertical="center"/>
    </xf>
    <xf numFmtId="165" fontId="0" fillId="0" borderId="0" applyAlignment="1" pivotButton="0" quotePrefix="0" xfId="0">
      <alignment vertical="center"/>
    </xf>
    <xf numFmtId="0" fontId="4" fillId="0" borderId="0" applyAlignment="1" pivotButton="0" quotePrefix="0" xfId="0">
      <alignment vertical="center"/>
    </xf>
    <xf numFmtId="165" fontId="10" fillId="0" borderId="0" pivotButton="0" quotePrefix="0" xfId="0"/>
    <xf numFmtId="3" fontId="0" fillId="2" borderId="0" pivotButton="0" quotePrefix="0" xfId="0"/>
    <xf numFmtId="0" fontId="2" fillId="2" borderId="0" pivotButton="0" quotePrefix="0" xfId="0"/>
    <xf numFmtId="3" fontId="4" fillId="3" borderId="0" pivotButton="0" quotePrefix="0" xfId="0"/>
    <xf numFmtId="0" fontId="11" fillId="0" borderId="0" pivotButton="0" quotePrefix="0" xfId="0"/>
    <xf numFmtId="3" fontId="11" fillId="0" borderId="0" pivotButton="0" quotePrefix="0" xfId="0"/>
    <xf numFmtId="3" fontId="11" fillId="2" borderId="0" pivotButton="0" quotePrefix="0" xfId="0"/>
    <xf numFmtId="0" fontId="11" fillId="2" borderId="0" pivotButton="0" quotePrefix="0" xfId="0"/>
    <xf numFmtId="165" fontId="4" fillId="0" borderId="0" applyAlignment="1" pivotButton="0" quotePrefix="0" xfId="0">
      <alignment vertical="center"/>
    </xf>
    <xf numFmtId="3" fontId="12" fillId="0" borderId="0" pivotButton="0" quotePrefix="0" xfId="0"/>
    <xf numFmtId="166"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66"/>
  <sheetViews>
    <sheetView workbookViewId="0">
      <selection activeCell="A1" sqref="A1"/>
    </sheetView>
  </sheetViews>
  <sheetFormatPr baseColWidth="8" defaultRowHeight="15"/>
  <cols>
    <col width="48" customWidth="1" min="1" max="1"/>
    <col width="18" customWidth="1" min="2" max="2"/>
    <col width="17" customWidth="1" min="3" max="3"/>
    <col width="17" customWidth="1" min="4" max="4"/>
    <col width="17" customWidth="1" min="5" max="5"/>
    <col width="17" customWidth="1" min="6" max="6"/>
  </cols>
  <sheetData>
    <row r="1">
      <c r="A1" s="1" t="inlineStr">
        <is>
          <t>Sun Pharmaceutical Industries (NSE: SUNPHARMA) — Pro-Forma Model &amp; Valuation</t>
        </is>
      </c>
    </row>
    <row r="2" ht="46" customHeight="1">
      <c r="A2" s="21" t="inlineStr">
        <is>
          <t>This model values Sun Pharma AS IT WILL BE, not as it is. On 27 April 2026 Sun agreed to acquire Organon &amp; Co. for US$11.75bn enterprise value, all cash at $14.00 per share. Organon shareholders approved on 23 July 2026 and the deal closes in early calendar 2027 — inside FY2027E. Sun syndicated over US$10bn of debt across eleven banks on 30 June 2026. A standalone valuation of this company is now obsolete.</t>
        </is>
      </c>
    </row>
    <row r="4">
      <c r="A4" s="3" t="inlineStr">
        <is>
          <t>SNAPSHOT</t>
        </is>
      </c>
      <c r="B4" s="4" t="n"/>
      <c r="C4" s="4" t="n"/>
      <c r="D4" s="4" t="n"/>
      <c r="E4" s="4" t="n"/>
      <c r="F4" s="4" t="n"/>
    </row>
    <row r="6">
      <c r="A6" t="inlineStr">
        <is>
          <t>Live price (₹, close 04-Sep-2026)</t>
        </is>
      </c>
      <c r="B6" s="5" t="n">
        <v>1899</v>
      </c>
      <c r="C6" s="2" t="inlineStr">
        <is>
          <t>−0.89% on the day; the note is struck at this close and dated 07-Sep-2026, before the Monday open</t>
        </is>
      </c>
    </row>
    <row r="7">
      <c r="A7" t="inlineStr">
        <is>
          <t>Shares outstanding (cr)</t>
        </is>
      </c>
      <c r="B7" s="5" t="n">
        <v>239.93</v>
      </c>
      <c r="C7" s="2" t="inlineStr">
        <is>
          <t>derived from market cap ÷ price</t>
        </is>
      </c>
    </row>
    <row r="8">
      <c r="A8" t="inlineStr">
        <is>
          <t>Market capitalisation (₹ cr)</t>
        </is>
      </c>
      <c r="B8" s="5">
        <f>B6*B7</f>
        <v/>
      </c>
      <c r="C8" s="2" t="inlineStr"/>
    </row>
    <row r="9">
      <c r="A9" t="inlineStr">
        <is>
          <t>52-week range (₹)</t>
        </is>
      </c>
      <c r="B9" t="inlineStr">
        <is>
          <t>1,547 / 2,048</t>
        </is>
      </c>
      <c r="C9" s="2" t="inlineStr">
        <is>
          <t>Screener basis; Investing.com shows 1,548 / 2,046.90</t>
        </is>
      </c>
    </row>
    <row r="10">
      <c r="A10" t="inlineStr">
        <is>
          <t>FY2026 EPS (₹)</t>
        </is>
      </c>
      <c r="B10" s="5" t="n">
        <v>47.84</v>
      </c>
      <c r="C10" s="2" t="inlineStr"/>
    </row>
    <row r="11">
      <c r="A11" t="inlineStr">
        <is>
          <t>TTM EPS (₹)</t>
        </is>
      </c>
      <c r="B11" s="5" t="n">
        <v>50.41</v>
      </c>
      <c r="C11" s="2" t="inlineStr"/>
    </row>
    <row r="12">
      <c r="A12" t="inlineStr">
        <is>
          <t>Trailing P/E, computed (x)</t>
        </is>
      </c>
      <c r="B12" s="5">
        <f>B6/B11</f>
        <v/>
      </c>
      <c r="C12" s="2" t="inlineStr">
        <is>
          <t>Screener prints 36.4x on a different earnings base</t>
        </is>
      </c>
    </row>
    <row r="13">
      <c r="A13" t="inlineStr">
        <is>
          <t>Book value per share (₹)</t>
        </is>
      </c>
      <c r="B13" s="5" t="n">
        <v>348</v>
      </c>
      <c r="C13" s="2" t="inlineStr"/>
    </row>
    <row r="14">
      <c r="A14" t="inlineStr">
        <is>
          <t>TTM revenue (₹ cr)</t>
        </is>
      </c>
      <c r="B14" s="5" t="n">
        <v>59911</v>
      </c>
      <c r="C14" s="2" t="inlineStr"/>
    </row>
    <row r="15">
      <c r="A15" t="inlineStr">
        <is>
          <t>TTM net profit (₹ cr)</t>
        </is>
      </c>
      <c r="B15" s="5" t="n">
        <v>12117</v>
      </c>
      <c r="C15" s="2" t="inlineStr"/>
    </row>
    <row r="16">
      <c r="A16" t="inlineStr">
        <is>
          <t>FY2026 free cash flow (₹ cr)</t>
        </is>
      </c>
      <c r="B16" s="5" t="n">
        <v>8906</v>
      </c>
      <c r="C16" s="2" t="inlineStr">
        <is>
          <t>fell 26% from ₹12,005 cr in FY2025</t>
        </is>
      </c>
    </row>
    <row r="17">
      <c r="A17" t="inlineStr">
        <is>
          <t>Return on capital employed (%)</t>
        </is>
      </c>
      <c r="B17" s="5" t="n">
        <v>20.53</v>
      </c>
      <c r="C17" s="2" t="inlineStr"/>
    </row>
    <row r="18">
      <c r="A18" t="inlineStr">
        <is>
          <t>Dividend yield (%)</t>
        </is>
      </c>
      <c r="B18" s="5" t="n">
        <v>0.84</v>
      </c>
      <c r="C18" s="2" t="inlineStr"/>
    </row>
    <row r="19">
      <c r="A19" t="inlineStr">
        <is>
          <t>Promoter holding (%, Jun-2026)</t>
        </is>
      </c>
      <c r="B19" s="5" t="n">
        <v>54.48</v>
      </c>
      <c r="C19" s="2" t="inlineStr">
        <is>
          <t>FII 14.54% from 17.96% Mar-25; DII 22.06%</t>
        </is>
      </c>
    </row>
    <row r="20">
      <c r="A20" t="inlineStr">
        <is>
          <t>India 10-yr G-sec (%, 04-Sep-2026)</t>
        </is>
      </c>
      <c r="B20" s="5" t="n">
        <v>6.95</v>
      </c>
      <c r="C20" s="2" t="inlineStr">
        <is>
          <t>6.95% on 3-Sep, 6.96% on 4-Sep; we hold 6.95%</t>
        </is>
      </c>
    </row>
    <row r="21">
      <c r="B21" s="5" t="n"/>
      <c r="C21" s="2" t="n"/>
    </row>
    <row r="22">
      <c r="A22" s="3" t="inlineStr">
        <is>
          <t>THE ORGANON ACQUISITION — the reason this model is pro-forma</t>
        </is>
      </c>
      <c r="B22" s="4" t="n"/>
      <c r="C22" s="4" t="n"/>
      <c r="D22" s="4" t="n"/>
      <c r="E22" s="4" t="n"/>
      <c r="F22" s="4" t="n"/>
    </row>
    <row r="23">
      <c r="A23" t="inlineStr">
        <is>
          <t>Announced</t>
        </is>
      </c>
      <c r="B23" t="inlineStr">
        <is>
          <t>31-Aug-2026 US / 27-Apr-2026 signing</t>
        </is>
      </c>
    </row>
    <row r="24">
      <c r="A24" t="inlineStr">
        <is>
          <t>Enterprise value (US$bn)</t>
        </is>
      </c>
      <c r="B24" s="5" t="n">
        <v>11.75</v>
      </c>
    </row>
    <row r="25">
      <c r="A25" t="inlineStr">
        <is>
          <t xml:space="preserve">  = ₹ cr at 88.5</t>
        </is>
      </c>
      <c r="B25" s="6" t="n">
        <v>103988</v>
      </c>
    </row>
    <row r="26">
      <c r="A26" t="inlineStr">
        <is>
          <t>Consideration</t>
        </is>
      </c>
      <c r="B26" t="inlineStr">
        <is>
          <t>$14.00 per share, all cash</t>
        </is>
      </c>
    </row>
    <row r="27">
      <c r="A27" t="inlineStr">
        <is>
          <t>Organon net debt assumed/refinanced (US$bn)</t>
        </is>
      </c>
      <c r="B27" s="5" t="n">
        <v>8.07</v>
      </c>
    </row>
    <row r="28">
      <c r="A28" t="inlineStr">
        <is>
          <t>Implied equity consideration (US$bn)</t>
        </is>
      </c>
      <c r="B28" s="5" t="n">
        <v>3.68</v>
      </c>
    </row>
    <row r="29">
      <c r="A29" t="inlineStr">
        <is>
          <t>Sun debt syndication (US$bn)</t>
        </is>
      </c>
      <c r="B29" t="inlineStr">
        <is>
          <t>over 10.0 — 11 banks, ~$1bn each, closed 30-Jun-2026</t>
        </is>
      </c>
    </row>
    <row r="30">
      <c r="A30" t="inlineStr">
        <is>
          <t>Acquisition debt (₹ cr, at 88.5)</t>
        </is>
      </c>
      <c r="B30" s="6" t="n">
        <v>88500</v>
      </c>
    </row>
    <row r="31">
      <c r="A31" t="inlineStr">
        <is>
          <t>Stockholder approval</t>
        </is>
      </c>
      <c r="B31" t="inlineStr">
        <is>
          <t>23-Jul-2026</t>
        </is>
      </c>
    </row>
    <row r="32">
      <c r="A32" t="inlineStr">
        <is>
          <t>Expected close</t>
        </is>
      </c>
      <c r="B32" t="inlineStr">
        <is>
          <t>early calendar 2027 — Q4 FY2027</t>
        </is>
      </c>
    </row>
    <row r="33">
      <c r="A33" t="inlineStr">
        <is>
          <t>Organon FY2026E revenue (US$bn)</t>
        </is>
      </c>
      <c r="B33" s="5" t="n">
        <v>6.2</v>
      </c>
    </row>
    <row r="34">
      <c r="A34" t="inlineStr">
        <is>
          <t>Organon FY2026E adjusted EBITDA (US$bn)</t>
        </is>
      </c>
      <c r="B34" s="5" t="n">
        <v>1.9</v>
      </c>
    </row>
    <row r="35">
      <c r="A35" t="inlineStr">
        <is>
          <t>Organon EBITDA margin (%)</t>
        </is>
      </c>
      <c r="B35" s="5" t="n">
        <v>30.6</v>
      </c>
    </row>
    <row r="36">
      <c r="A36" t="inlineStr">
        <is>
          <t>Organon revenue trend</t>
        </is>
      </c>
      <c r="B36" t="inlineStr">
        <is>
          <t>−3% in 2025, guided FLAT for 2026 — a no-growth asset</t>
        </is>
      </c>
    </row>
    <row r="37">
      <c r="A37" t="inlineStr">
        <is>
          <t>ACQUISITION MULTIPLE (x EV/EBITDA)</t>
        </is>
      </c>
      <c r="B37" s="5" t="n">
        <v>6.2</v>
      </c>
    </row>
    <row r="38">
      <c r="A38" t="inlineStr">
        <is>
          <t>Sun's own EV/EBITDA (x)</t>
        </is>
      </c>
      <c r="B38" s="5" t="n">
        <v>23.9</v>
      </c>
    </row>
    <row r="39">
      <c r="A39" t="inlineStr">
        <is>
          <t>Combined revenue per the release (US$bn)</t>
        </is>
      </c>
      <c r="B39" s="5" t="n">
        <v>12.4</v>
      </c>
    </row>
    <row r="40" ht="46" customHeight="1">
      <c r="A40" s="21" t="inlineStr">
        <is>
          <t>The balance sheet inverts. Sun stands today with roughly ₹20,096 cr of NET CASH — investments of ₹24,723 cr against borrowings of ₹4,627 cr. On completion it carries roughly ₹88,500 cr of acquisition debt, about 2.4 times combined EBITDA gross, 2.3 times net. Any valuation that adds Sun's net cash to equity value, or calls the company 'almost debt-free', is describing a company that will not exist by the middle of the forecast period.</t>
        </is>
      </c>
    </row>
    <row r="41">
      <c r="A41" s="40" t="n"/>
      <c r="B41" s="41" t="n"/>
      <c r="C41" s="40" t="n"/>
      <c r="D41" s="40" t="n"/>
    </row>
    <row r="42">
      <c r="A42" s="3" t="inlineStr">
        <is>
          <t>Q1 FY2027 — READ THE ADJUSTED LINE</t>
        </is>
      </c>
      <c r="B42" s="42" t="n"/>
      <c r="C42" s="43" t="n"/>
      <c r="D42" s="43" t="n"/>
      <c r="E42" s="4" t="n"/>
      <c r="F42" s="4" t="n"/>
      <c r="G42" s="4" t="n"/>
    </row>
    <row r="43">
      <c r="A43" s="7" t="inlineStr">
        <is>
          <t>Metric</t>
        </is>
      </c>
      <c r="B43" s="39" t="inlineStr">
        <is>
          <t>Q1 FY27</t>
        </is>
      </c>
      <c r="C43" s="7" t="inlineStr">
        <is>
          <t>Q1 FY26</t>
        </is>
      </c>
      <c r="D43" s="7" t="inlineStr">
        <is>
          <t>Y/Y</t>
        </is>
      </c>
    </row>
    <row r="44">
      <c r="A44" s="40" t="inlineStr">
        <is>
          <t>Revenue (₹ cr, screener series)</t>
        </is>
      </c>
      <c r="B44" s="41" t="n">
        <v>15300</v>
      </c>
      <c r="C44" s="41" t="n">
        <v>13851</v>
      </c>
      <c r="D44" s="40" t="inlineStr">
        <is>
          <t>+10.5%</t>
        </is>
      </c>
    </row>
    <row r="45">
      <c r="A45" s="40" t="inlineStr">
        <is>
          <t>Revenue as company reported (₹ mn)</t>
        </is>
      </c>
      <c r="B45" s="41" t="n">
        <v>151836</v>
      </c>
      <c r="C45" s="41" t="n"/>
      <c r="D45" s="40" t="inlineStr">
        <is>
          <t>+10.1%</t>
        </is>
      </c>
    </row>
    <row r="46">
      <c r="A46" t="inlineStr">
        <is>
          <t>Operating profit (₹ cr)</t>
        </is>
      </c>
      <c r="B46" s="6" t="n">
        <v>4418</v>
      </c>
      <c r="C46" s="6" t="n">
        <v>4302</v>
      </c>
      <c r="D46" t="inlineStr">
        <is>
          <t>+2.7%</t>
        </is>
      </c>
    </row>
    <row r="47">
      <c r="A47" t="inlineStr">
        <is>
          <t>Operating margin (%)</t>
        </is>
      </c>
      <c r="B47" s="8" t="n">
        <v>28.9</v>
      </c>
      <c r="C47" s="8" t="n">
        <v>31.1</v>
      </c>
      <c r="D47" t="inlineStr">
        <is>
          <t>−2.2 pts</t>
        </is>
      </c>
    </row>
    <row r="48">
      <c r="A48" t="inlineStr">
        <is>
          <t>Reported net profit (₹ cr)</t>
        </is>
      </c>
      <c r="B48" s="6" t="n">
        <v>2901</v>
      </c>
      <c r="C48" s="6" t="n">
        <v>2293</v>
      </c>
      <c r="D48" t="inlineStr">
        <is>
          <t>+26.5%</t>
        </is>
      </c>
    </row>
    <row r="49">
      <c r="A49" t="inlineStr">
        <is>
          <t>ADJUSTED net profit growth (%)</t>
        </is>
      </c>
      <c r="B49" s="8" t="n">
        <v>3.1</v>
      </c>
      <c r="D49" t="inlineStr">
        <is>
          <t>the number that matters</t>
        </is>
      </c>
    </row>
    <row r="50">
      <c r="A50" t="inlineStr">
        <is>
          <t>ADJUSTED EBITDA growth (%)</t>
        </is>
      </c>
      <c r="B50" s="8" t="n">
        <v>2.7</v>
      </c>
    </row>
    <row r="51">
      <c r="A51" t="inlineStr">
        <is>
          <t>Other income (₹ cr)</t>
        </is>
      </c>
      <c r="B51" s="6" t="n">
        <v>520</v>
      </c>
      <c r="C51" s="6" t="n">
        <v>-354</v>
      </c>
      <c r="D51" t="inlineStr">
        <is>
          <t>Screener's line, NET of exceptional items — see the note below; the company's own other income rose ~₹260 cr</t>
        </is>
      </c>
    </row>
    <row r="52">
      <c r="A52" t="inlineStr">
        <is>
          <t>Global Innovative Medicines (US$ m)</t>
        </is>
      </c>
      <c r="B52" s="6" t="n">
        <v>351</v>
      </c>
      <c r="C52" s="6" t="n">
        <v>311</v>
      </c>
      <c r="D52" t="inlineStr">
        <is>
          <t>+12.9%; 21.9% of sales — GLOBAL, not US</t>
        </is>
      </c>
    </row>
    <row r="53">
      <c r="A53" t="inlineStr">
        <is>
          <t>US business as % of sales</t>
        </is>
      </c>
      <c r="B53" s="8" t="n">
        <v>26.6</v>
      </c>
      <c r="D53" t="inlineStr">
        <is>
          <t>US formulations US$427m, DOWN 9.7%</t>
        </is>
      </c>
    </row>
    <row r="54">
      <c r="A54" t="inlineStr">
        <is>
          <t>India formulations growth (%)</t>
        </is>
      </c>
      <c r="B54" s="8" t="n">
        <v>16</v>
      </c>
      <c r="D54" t="inlineStr">
        <is>
          <t>the actual growth driver this quarter</t>
        </is>
      </c>
    </row>
    <row r="55">
      <c r="A55" t="inlineStr">
        <is>
          <t>Reported net profit growth, company basis (%)</t>
        </is>
      </c>
      <c r="B55" s="16" t="n">
        <v>27</v>
      </c>
      <c r="D55" s="2" t="inlineStr">
        <is>
          <t>₹2,894.8 cr vs ₹2,278.6 cr per the 31-Jul-2026 release; Screener's series gives +26.5% on a slightly different base</t>
        </is>
      </c>
    </row>
    <row r="56" ht="57.5" customHeight="1">
      <c r="A56" s="21" t="inlineStr">
        <is>
          <t>The +27.0% reported profit growth (26.5% on Screener's base) is a below-the-operating-line effect. An earlier version of this model attributed it to an ₹874 cr swing in other income; that is Screener's other-income line net of exceptional items, not the company's. The company's other income rose about ₹260 cr and the larger driver was a much lower exceptional charge than the year-ago quarter. On the company's own adjusted basis net profit grew 3.1% and EBITDA 2.7%, with the margin at 28.9% against 31.1% — 220bp, not the 155bp an earlier draft quoted from Motilal Oswal's own EBITDA definition. Quoting the reported figure without the adjusted one overstates the quarter by nearly nine times. Note also that the growth driver was India formulations at +16%, and that the $351m innovative figure is GLOBAL, not US — US formulations fell 9.7%.</t>
        </is>
      </c>
    </row>
    <row r="58">
      <c r="A58" s="3" t="inlineStr">
        <is>
          <t>BALANCE SHEET — TODAY vs ON COMPLETION</t>
        </is>
      </c>
      <c r="B58" s="4" t="n"/>
      <c r="C58" s="4" t="n"/>
      <c r="D58" s="4" t="n"/>
      <c r="E58" s="4" t="n"/>
      <c r="F58" s="4" t="n"/>
      <c r="G58" s="4" t="n"/>
    </row>
    <row r="59">
      <c r="A59" t="inlineStr">
        <is>
          <t>Investments / treasury book today (₹ cr)</t>
        </is>
      </c>
      <c r="B59" s="6" t="n">
        <v>24723</v>
      </c>
    </row>
    <row r="60">
      <c r="A60" t="inlineStr">
        <is>
          <t>Borrowings today (₹ cr)</t>
        </is>
      </c>
      <c r="B60" s="6" t="n">
        <v>4627</v>
      </c>
    </row>
    <row r="61">
      <c r="A61" t="inlineStr">
        <is>
          <t>NET CASH today (₹ cr)</t>
        </is>
      </c>
      <c r="B61" s="24">
        <f>B59-B60</f>
        <v/>
      </c>
      <c r="C61" s="2" t="inlineStr">
        <is>
          <t>the figure the withheld draft added to fair value; it does not survive completion</t>
        </is>
      </c>
    </row>
    <row r="62">
      <c r="A62" t="inlineStr">
        <is>
          <t>Acquisition debt raised (₹ cr)</t>
        </is>
      </c>
      <c r="B62" s="6">
        <f>B30</f>
        <v/>
      </c>
    </row>
    <row r="63">
      <c r="A63" t="inlineStr">
        <is>
          <t>Residual cash funding the balance (₹ cr)</t>
        </is>
      </c>
      <c r="B63" s="6">
        <f>B25-B30</f>
        <v/>
      </c>
      <c r="C63" s="2" t="inlineStr">
        <is>
          <t>EV less the debt raised, met from the investment book</t>
        </is>
      </c>
    </row>
    <row r="64">
      <c r="A64" t="inlineStr">
        <is>
          <t>POST-COMPLETION NET DEBT (₹ cr)</t>
        </is>
      </c>
      <c r="B64" s="24">
        <f>B62+B60-(B59-B63)</f>
        <v/>
      </c>
      <c r="C64" s="2" t="inlineStr">
        <is>
          <t>acquisition debt + existing borrowings less the investment book that survives. We still deduct the full ₹88,500 cr in the DCF — deliberately about ₹19/share harsh on that method, ₹6 on the blend.</t>
        </is>
      </c>
    </row>
    <row r="65">
      <c r="A65" t="inlineStr">
        <is>
          <t>Post-deal enterprise value at ₹1,916 (₹ cr)</t>
        </is>
      </c>
      <c r="B65" s="24">
        <f>B8+B30</f>
        <v/>
      </c>
      <c r="C65" s="2" t="inlineStr">
        <is>
          <t>market capitalisation plus acquisition debt — the EV cross-check in the note</t>
        </is>
      </c>
    </row>
    <row r="66">
      <c r="A66" t="inlineStr">
        <is>
          <t>Post-deal EV / FY2028E combined EBITDA (x)</t>
        </is>
      </c>
      <c r="B66" s="12">
        <f>B65/'Pro-Forma P&amp;L'!C22</f>
        <v/>
      </c>
      <c r="D66" s="2" t="inlineStr">
        <is>
          <t>the cross-check in the note: what the market pays today against the 14.0x our sum-of-the-parts calls fair</t>
        </is>
      </c>
    </row>
  </sheetData>
  <mergeCells count="3">
    <mergeCell ref="A2:E2"/>
    <mergeCell ref="A40:E40"/>
    <mergeCell ref="A56:E56"/>
  </mergeCells>
  <pageMargins left="0.3" right="0.3" top="0.4" bottom="0.4"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37"/>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9" t="inlineStr">
        <is>
          <t>Sun Pharma — Pro-Forma Income Statement (₹ crore, fiscal years ending March)</t>
        </is>
      </c>
    </row>
    <row r="2">
      <c r="A2" s="2" t="inlineStr">
        <is>
          <t>Sun standalone anchored to company guidance of high single-digit FY2027 growth. Organon consolidated from Q4 FY2027 (one quarter), full from FY2028E.</t>
        </is>
      </c>
    </row>
    <row r="4">
      <c r="A4" s="7" t="inlineStr">
        <is>
          <t>(₹ cr)</t>
        </is>
      </c>
      <c r="B4" s="7" t="inlineStr">
        <is>
          <t>FY2027E</t>
        </is>
      </c>
      <c r="C4" s="7" t="inlineStr">
        <is>
          <t>FY2028E</t>
        </is>
      </c>
      <c r="D4" s="7" t="inlineStr">
        <is>
          <t>FY2029E</t>
        </is>
      </c>
      <c r="E4" s="7" t="inlineStr">
        <is>
          <t>FY2030E</t>
        </is>
      </c>
      <c r="F4" s="7" t="inlineStr">
        <is>
          <t>FY2031E</t>
        </is>
      </c>
    </row>
    <row r="5">
      <c r="A5" s="10" t="inlineStr">
        <is>
          <t>SUN STANDALONE</t>
        </is>
      </c>
    </row>
    <row r="6">
      <c r="A6" t="inlineStr">
        <is>
          <t>Revenue</t>
        </is>
      </c>
      <c r="B6" s="6" t="n">
        <v>63724</v>
      </c>
      <c r="C6" s="6" t="n">
        <v>69778</v>
      </c>
      <c r="D6" s="6" t="n">
        <v>75919</v>
      </c>
      <c r="E6" s="6" t="n">
        <v>82296</v>
      </c>
      <c r="F6" s="6" t="n">
        <v>88880</v>
      </c>
    </row>
    <row r="7">
      <c r="A7" t="inlineStr">
        <is>
          <t xml:space="preserve">  growth (%)</t>
        </is>
      </c>
      <c r="B7" s="11" t="n"/>
      <c r="C7" s="11">
        <f>C6/B6-1</f>
        <v/>
      </c>
      <c r="D7" s="11">
        <f>D6/C6-1</f>
        <v/>
      </c>
      <c r="E7" s="11">
        <f>E6/D6-1</f>
        <v/>
      </c>
      <c r="F7" s="11">
        <f>F6/E6-1</f>
        <v/>
      </c>
    </row>
    <row r="8">
      <c r="A8" t="inlineStr">
        <is>
          <t>Operating margin (%)</t>
        </is>
      </c>
      <c r="B8" s="11" t="n">
        <v>0.289</v>
      </c>
      <c r="C8" s="11" t="n">
        <v>0.287</v>
      </c>
      <c r="D8" s="11" t="n">
        <v>0.285</v>
      </c>
      <c r="E8" s="11" t="n">
        <v>0.283</v>
      </c>
      <c r="F8" s="11" t="n">
        <v>0.281</v>
      </c>
    </row>
    <row r="9">
      <c r="A9" t="inlineStr">
        <is>
          <t>EBITDA</t>
        </is>
      </c>
      <c r="B9" s="6">
        <f>B6*B8</f>
        <v/>
      </c>
      <c r="C9" s="6">
        <f>C6*C8</f>
        <v/>
      </c>
      <c r="D9" s="6">
        <f>D6*D8</f>
        <v/>
      </c>
      <c r="E9" s="6">
        <f>E6*E8</f>
        <v/>
      </c>
      <c r="F9" s="6">
        <f>F6*F8</f>
        <v/>
      </c>
    </row>
    <row r="10">
      <c r="A10" s="10" t="inlineStr">
        <is>
          <t>ORGANON</t>
        </is>
      </c>
    </row>
    <row r="11">
      <c r="A11" t="inlineStr">
        <is>
          <t>Revenue (100%)</t>
        </is>
      </c>
      <c r="B11" s="6" t="n">
        <v>54870</v>
      </c>
      <c r="C11" s="6" t="n">
        <v>54321</v>
      </c>
      <c r="D11" s="6" t="n">
        <v>53778</v>
      </c>
      <c r="E11" s="6" t="n">
        <v>53240</v>
      </c>
      <c r="F11" s="6" t="n">
        <v>52708</v>
      </c>
    </row>
    <row r="12">
      <c r="A12" t="inlineStr">
        <is>
          <t>Consolidation fraction</t>
        </is>
      </c>
      <c r="B12" s="12" t="n">
        <v>0.25</v>
      </c>
      <c r="C12" s="12" t="n">
        <v>1</v>
      </c>
      <c r="D12" s="12" t="n">
        <v>1</v>
      </c>
      <c r="E12" s="12" t="n">
        <v>1</v>
      </c>
      <c r="F12" s="12" t="n">
        <v>1</v>
      </c>
    </row>
    <row r="13">
      <c r="A13" t="inlineStr">
        <is>
          <t>Revenue consolidated</t>
        </is>
      </c>
      <c r="B13" s="6">
        <f>B11*B12</f>
        <v/>
      </c>
      <c r="C13" s="6">
        <f>C11*C12</f>
        <v/>
      </c>
      <c r="D13" s="6">
        <f>D11*D12</f>
        <v/>
      </c>
      <c r="E13" s="6">
        <f>E11*E12</f>
        <v/>
      </c>
      <c r="F13" s="6">
        <f>F11*F12</f>
        <v/>
      </c>
    </row>
    <row r="14">
      <c r="A14" t="inlineStr">
        <is>
          <t>Operating margin (%)</t>
        </is>
      </c>
      <c r="B14" s="11" t="n">
        <v>0.306</v>
      </c>
      <c r="C14" s="11" t="n">
        <v>0.303</v>
      </c>
      <c r="D14" s="11" t="n">
        <v>0.3</v>
      </c>
      <c r="E14" s="11" t="n">
        <v>0.297</v>
      </c>
      <c r="F14" s="11" t="n">
        <v>0.294</v>
      </c>
    </row>
    <row r="15">
      <c r="A15" t="inlineStr">
        <is>
          <t>EBITDA consolidated</t>
        </is>
      </c>
      <c r="B15" s="6">
        <f>B13*B14</f>
        <v/>
      </c>
      <c r="C15" s="6">
        <f>C13*C14</f>
        <v/>
      </c>
      <c r="D15" s="6">
        <f>D13*D14</f>
        <v/>
      </c>
      <c r="E15" s="6">
        <f>E13*E14</f>
        <v/>
      </c>
      <c r="F15" s="6">
        <f>F13*F14</f>
        <v/>
      </c>
    </row>
    <row r="16">
      <c r="A16" s="3" t="inlineStr">
        <is>
          <t>SYNERGIES — 50% of the US$350m management guides</t>
        </is>
      </c>
      <c r="B16" s="4" t="n"/>
      <c r="C16" s="4" t="n"/>
      <c r="D16" s="4" t="n"/>
      <c r="E16" s="4" t="n"/>
      <c r="F16" s="4" t="n"/>
      <c r="G16" s="4" t="n"/>
    </row>
    <row r="17">
      <c r="A17" t="inlineStr">
        <is>
          <t>Run-rate synergies at 50% delivery (₹ cr)</t>
        </is>
      </c>
      <c r="B17" s="6" t="n">
        <v>1548.75</v>
      </c>
      <c r="G17" s="2" t="inlineStr">
        <is>
          <t>US$350m guided over 2-4 years, haircut 50%. Zero is a corner, not a central estimate.</t>
        </is>
      </c>
    </row>
    <row r="18">
      <c r="A18" t="inlineStr">
        <is>
          <t>Phasing</t>
        </is>
      </c>
      <c r="B18" s="17" t="n">
        <v>0</v>
      </c>
      <c r="C18" s="17" t="n">
        <v>0.25</v>
      </c>
      <c r="D18" s="17" t="n">
        <v>0.6</v>
      </c>
      <c r="E18" s="17" t="n">
        <v>1</v>
      </c>
      <c r="F18" s="17" t="n">
        <v>1</v>
      </c>
    </row>
    <row r="19">
      <c r="A19" t="inlineStr">
        <is>
          <t>Synergies realised (₹ cr)</t>
        </is>
      </c>
      <c r="B19" s="6">
        <f>$B$17*B18</f>
        <v/>
      </c>
      <c r="C19" s="6">
        <f>$B$17*C18</f>
        <v/>
      </c>
      <c r="D19" s="6">
        <f>$B$17*D18</f>
        <v/>
      </c>
      <c r="E19" s="6">
        <f>$B$17*E18</f>
        <v/>
      </c>
      <c r="F19" s="6">
        <f>$B$17*F18</f>
        <v/>
      </c>
    </row>
    <row r="20">
      <c r="A20" s="10" t="inlineStr">
        <is>
          <t>COMBINED</t>
        </is>
      </c>
    </row>
    <row r="21">
      <c r="A21" t="inlineStr">
        <is>
          <t>Revenue</t>
        </is>
      </c>
      <c r="B21" s="6">
        <f>B6+B13</f>
        <v/>
      </c>
      <c r="C21" s="6">
        <f>C6+C13</f>
        <v/>
      </c>
      <c r="D21" s="6">
        <f>D6+D13</f>
        <v/>
      </c>
      <c r="E21" s="6">
        <f>E6+E13</f>
        <v/>
      </c>
      <c r="F21" s="6">
        <f>F6+F13</f>
        <v/>
      </c>
    </row>
    <row r="22">
      <c r="A22" t="inlineStr">
        <is>
          <t>EBITDA</t>
        </is>
      </c>
      <c r="B22" s="6">
        <f>B9+B15+B19</f>
        <v/>
      </c>
      <c r="C22" s="6">
        <f>C9+C15+C19</f>
        <v/>
      </c>
      <c r="D22" s="6">
        <f>D9+D15+D19</f>
        <v/>
      </c>
      <c r="E22" s="6">
        <f>E9+E15+E19</f>
        <v/>
      </c>
      <c r="F22" s="6">
        <f>F9+F15+F19</f>
        <v/>
      </c>
    </row>
    <row r="23">
      <c r="A23" t="inlineStr">
        <is>
          <t>less: D&amp;A</t>
        </is>
      </c>
      <c r="B23" s="6">
        <f>B6*0.050+B13*0.077</f>
        <v/>
      </c>
      <c r="C23" s="6">
        <f>C6*0.050+C13*0.077</f>
        <v/>
      </c>
      <c r="D23" s="6">
        <f>D6*0.050+D13*0.077</f>
        <v/>
      </c>
      <c r="E23" s="6">
        <f>E6*0.050+E13*0.077</f>
        <v/>
      </c>
      <c r="F23" s="6">
        <f>F6*0.050+F13*0.077</f>
        <v/>
      </c>
    </row>
    <row r="24">
      <c r="A24" t="inlineStr">
        <is>
          <t>EBIT</t>
        </is>
      </c>
      <c r="B24" s="6">
        <f>B22-B23</f>
        <v/>
      </c>
      <c r="C24" s="6">
        <f>C22-C23</f>
        <v/>
      </c>
      <c r="D24" s="6">
        <f>D22-D23</f>
        <v/>
      </c>
      <c r="E24" s="6">
        <f>E22-E23</f>
        <v/>
      </c>
      <c r="F24" s="6">
        <f>F22-F23</f>
        <v/>
      </c>
    </row>
    <row r="25">
      <c r="A25" t="inlineStr">
        <is>
          <t>Other income (₹ cr)</t>
        </is>
      </c>
      <c r="B25" s="6" t="n">
        <v>2000</v>
      </c>
      <c r="C25" s="6">
        <f>(Overview!$B$59-Overview!$B$63)*0.081*1.03^0</f>
        <v/>
      </c>
      <c r="D25" s="6">
        <f>(Overview!$B$59-Overview!$B$63)*0.081*1.03^1</f>
        <v/>
      </c>
      <c r="E25" s="6">
        <f>(Overview!$B$59-Overview!$B$63)*0.081*1.03^2</f>
        <v/>
      </c>
      <c r="F25" s="6">
        <f>(Overview!$B$59-Overview!$B$63)*0.081*1.03^3</f>
        <v/>
      </c>
      <c r="G25" s="2" t="inlineStr">
        <is>
          <t>CORRECTED. The published model grew other income to ₹2,400cr while deducting the ₹15,488cr of treasury that produces it. Post-completion the surviving book is ₹9,235cr; at the same ~8.1% yield that is ~₹750cr, not ₹2,100cr.</t>
        </is>
      </c>
    </row>
    <row r="26">
      <c r="A26" t="inlineStr">
        <is>
          <t>less: interest on acquisition debt</t>
        </is>
      </c>
      <c r="B26" s="6">
        <f>88500*0.065*B12</f>
        <v/>
      </c>
      <c r="C26" s="6">
        <f>88500*0.065*C12</f>
        <v/>
      </c>
      <c r="D26" s="6">
        <f>88500*0.065*D12</f>
        <v/>
      </c>
      <c r="E26" s="6">
        <f>88500*0.065*E12</f>
        <v/>
      </c>
      <c r="F26" s="6">
        <f>88500*0.065*F12</f>
        <v/>
      </c>
    </row>
    <row r="27">
      <c r="A27" t="inlineStr">
        <is>
          <t>Profit before tax</t>
        </is>
      </c>
      <c r="B27" s="6">
        <f>B24+B25-350-B26</f>
        <v/>
      </c>
      <c r="C27" s="6">
        <f>C24+C25-350-C26</f>
        <v/>
      </c>
      <c r="D27" s="6">
        <f>D24+D25-350-D26</f>
        <v/>
      </c>
      <c r="E27" s="6">
        <f>E24+E25-350-E26</f>
        <v/>
      </c>
      <c r="F27" s="6">
        <f>F24+F25-350-F26</f>
        <v/>
      </c>
    </row>
    <row r="28">
      <c r="A28" t="inlineStr">
        <is>
          <t xml:space="preserve">  tax rate (%)</t>
        </is>
      </c>
      <c r="B28" s="11" t="n">
        <v>0.26</v>
      </c>
      <c r="C28" s="11" t="n">
        <v>0.26</v>
      </c>
      <c r="D28" s="11" t="n">
        <v>0.26</v>
      </c>
      <c r="E28" s="11" t="n">
        <v>0.26</v>
      </c>
      <c r="F28" s="11" t="n">
        <v>0.26</v>
      </c>
    </row>
    <row r="29">
      <c r="A29" t="inlineStr">
        <is>
          <t>Net profit</t>
        </is>
      </c>
      <c r="B29" s="6">
        <f>B27*(1-B28)</f>
        <v/>
      </c>
      <c r="C29" s="6">
        <f>C27*(1-C28)</f>
        <v/>
      </c>
      <c r="D29" s="6">
        <f>D27*(1-D28)</f>
        <v/>
      </c>
      <c r="E29" s="6">
        <f>E27*(1-E28)</f>
        <v/>
      </c>
      <c r="F29" s="6">
        <f>F27*(1-F28)</f>
        <v/>
      </c>
    </row>
    <row r="30">
      <c r="A30" t="inlineStr">
        <is>
          <t>Shares (cr)</t>
        </is>
      </c>
      <c r="B30" s="12" t="n">
        <v>239.93</v>
      </c>
      <c r="C30" s="12" t="n">
        <v>239.93</v>
      </c>
      <c r="D30" s="12" t="n">
        <v>239.93</v>
      </c>
      <c r="E30" s="12" t="n">
        <v>239.93</v>
      </c>
      <c r="F30" s="12" t="n">
        <v>239.93</v>
      </c>
    </row>
    <row r="31" ht="34.5" customHeight="1">
      <c r="A31" t="inlineStr">
        <is>
          <t>PRO-FORMA EPS (₹)</t>
        </is>
      </c>
      <c r="B31" s="15">
        <f>B29/B30</f>
        <v/>
      </c>
      <c r="C31" s="15">
        <f>C29/C30</f>
        <v/>
      </c>
      <c r="D31" s="15">
        <f>D29/D30</f>
        <v/>
      </c>
      <c r="E31" s="15">
        <f>E29/E30</f>
        <v/>
      </c>
      <c r="F31" s="15">
        <f>F29/F30</f>
        <v/>
      </c>
    </row>
    <row r="32">
      <c r="A32" s="10" t="inlineStr">
        <is>
          <t>memo: Sun standalone EPS (₹)</t>
        </is>
      </c>
      <c r="B32" s="12" t="n">
        <v>51.97</v>
      </c>
      <c r="C32" s="12" t="n">
        <v>57.07</v>
      </c>
      <c r="D32" s="12" t="n">
        <v>61.53</v>
      </c>
      <c r="E32" s="12" t="n">
        <v>66.04000000000001</v>
      </c>
      <c r="F32" s="12" t="n">
        <v>70.56999999999999</v>
      </c>
    </row>
    <row r="33" ht="57.5" customHeight="1">
      <c r="A33" s="10" t="inlineStr">
        <is>
          <t>memo: accretion (%)</t>
        </is>
      </c>
      <c r="B33" s="11">
        <f>B31/B32-1</f>
        <v/>
      </c>
      <c r="C33" s="11">
        <f>C31/C32-1</f>
        <v/>
      </c>
      <c r="D33" s="11">
        <f>D31/D32-1</f>
        <v/>
      </c>
      <c r="E33" s="11">
        <f>E31/E32-1</f>
        <v/>
      </c>
      <c r="F33" s="11">
        <f>F31/F32-1</f>
        <v/>
      </c>
    </row>
    <row r="35">
      <c r="A35" s="21" t="inlineStr">
        <is>
          <t>Two corrections since the first published version, both found by adversarial review. (1) SYNERGIES: management guides US$350m of cost synergies over 2-4 years and the published model carried none. Zero is a corner, not a central estimate; we now carry 50% of the guide, phased. (2) OTHER INCOME: the model drained the treasury book to fund the deal and kept the income from it. Both are now internally consistent. The first raises fair value, the second lowers it, and they very nearly cancel.</t>
        </is>
      </c>
    </row>
    <row r="37">
      <c r="A37" s="21" t="inlineStr">
        <is>
          <t>What it does not do is create value on our numbers. Standalone FY2028E EPS of ₹57.07 at a 34x standalone multiple is ₹1,940. Pro-forma EPS of ₹73.55 at the 26x a levered consolidator deserves is ₹1,912. The deal delivers 29% more earnings at a materially lower deserved multiple, and the two very nearly cancel. It changes what the company IS — top-25 global, biosimilars, 2.4x levered gross — without changing what it is worth. The interesting question is therefore not whether the deal is good. It is whether the price was already full before it.</t>
        </is>
      </c>
    </row>
  </sheetData>
  <pageMargins left="0.3" right="0.3" top="0.4" bottom="0.4"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J109"/>
  <sheetViews>
    <sheetView workbookViewId="0">
      <selection activeCell="A1" sqref="A1"/>
    </sheetView>
  </sheetViews>
  <sheetFormatPr baseColWidth="8" defaultRowHeight="15"/>
  <cols>
    <col width="46" customWidth="1" min="1" max="1"/>
    <col width="15" customWidth="1" min="2" max="2"/>
    <col width="10" customWidth="1" min="3" max="3"/>
    <col width="9" customWidth="1" min="4" max="4"/>
    <col width="9" customWidth="1" min="5" max="5"/>
    <col width="18" customWidth="1" min="6" max="6"/>
    <col width="15" customWidth="1" min="7" max="7"/>
    <col width="13" customWidth="1" min="8" max="8"/>
    <col width="12" customWidth="1" min="9" max="9"/>
    <col width="12" customWidth="1" min="10" max="10"/>
  </cols>
  <sheetData>
    <row r="1">
      <c r="A1" s="1" t="inlineStr">
        <is>
          <t>Sun Pharma — Pro-Forma Valuation</t>
        </is>
      </c>
    </row>
    <row r="2" ht="23" customHeight="1">
      <c r="A2" s="21" t="inlineStr">
        <is>
          <t>Three methods weighted 30/40/30 on the COMBINED entity, with acquisition debt deducted. Cash flows and multiples are discounted by the actual time to each fiscal year end from the 4 September 2026 valuation date, not by whole years.</t>
        </is>
      </c>
    </row>
    <row r="4">
      <c r="A4" s="3" t="inlineStr">
        <is>
          <t>COST OF EQUITY — corrected</t>
        </is>
      </c>
      <c r="B4" s="4" t="n"/>
      <c r="C4" s="4" t="n"/>
      <c r="D4" s="4" t="n"/>
      <c r="E4" s="4" t="n"/>
      <c r="F4" s="4" t="n"/>
      <c r="G4" s="4" t="n"/>
    </row>
    <row r="5">
      <c r="A5" t="inlineStr">
        <is>
          <t>Risk-free — India 10-yr G-sec, 03-Sep-2026</t>
        </is>
      </c>
      <c r="B5" s="13" t="n">
        <v>0.06950000000000001</v>
      </c>
      <c r="C5" s="2" t="inlineStr">
        <is>
          <t>eased from ~6.98% on 1-Sep</t>
        </is>
      </c>
    </row>
    <row r="6">
      <c r="A6" t="inlineStr">
        <is>
          <t>Beta</t>
        </is>
      </c>
      <c r="B6" s="13" t="n">
        <v>0.9</v>
      </c>
      <c r="C6" s="2" t="inlineStr">
        <is>
          <t>published betas are 0.09-0.27 vs the Nifty — see the note below</t>
        </is>
      </c>
    </row>
    <row r="7">
      <c r="A7" t="inlineStr">
        <is>
          <t>Equity risk premium</t>
        </is>
      </c>
      <c r="B7" s="13" t="n">
        <v>0.065</v>
      </c>
      <c r="C7" s="2" t="inlineStr">
        <is>
          <t>Damodaran India total 7.31% (Jul-26); Incwert recommends 7.00% (range 6.5-7.5%). 6.0% in the first version was below BOTH — corrected to the bottom of Incwert's range.</t>
        </is>
      </c>
    </row>
    <row r="8">
      <c r="A8" t="inlineStr">
        <is>
          <t>COST OF EQUITY</t>
        </is>
      </c>
      <c r="B8" s="14">
        <f>B5+B6*B7</f>
        <v/>
      </c>
      <c r="C8" s="2" t="inlineStr">
        <is>
          <t>risk-free + beta x ERP</t>
        </is>
      </c>
    </row>
    <row r="10" ht="57.5" customHeight="1">
      <c r="A10" s="21" t="inlineStr">
        <is>
          <t>On beta: Yahoo reports a five-year monthly beta of 0.09-0.12 for Sun against the Nifty and Investing.com 0.27. We do not use those. A beta near zero implies a business uncorrelated with the Indian market, which is an artefact of a large-cap defensive measured against a concentrated local index, and it would produce a cost of equity barely above the government bond. We use 0.90, reflecting a global pharmaceutical business about to take on 2.4x leverage, and we disclose the published figures so a reader can disagree. On the ERP, Damodaran's July 2026 India total is 7.31% and the Incwert India study 5.5-5.9%; we use 6.0%, inside that range and above the 5.4% an earlier draft of this note used.</t>
        </is>
      </c>
    </row>
    <row r="12">
      <c r="A12" s="3" t="inlineStr">
        <is>
          <t>KEY INPUTS</t>
        </is>
      </c>
      <c r="B12" s="4" t="n"/>
      <c r="C12" s="4" t="n"/>
      <c r="D12" s="4" t="n"/>
      <c r="E12" s="4" t="n"/>
      <c r="F12" s="4" t="n"/>
      <c r="G12" s="4" t="n"/>
    </row>
    <row r="13">
      <c r="A13" t="inlineStr">
        <is>
          <t>Live price (₹)</t>
        </is>
      </c>
      <c r="B13" s="5">
        <f>Overview!B6</f>
        <v/>
      </c>
    </row>
    <row r="14">
      <c r="A14" t="inlineStr">
        <is>
          <t>Shares outstanding (cr)</t>
        </is>
      </c>
      <c r="B14" s="12">
        <f>Overview!B7</f>
        <v/>
      </c>
    </row>
    <row r="15">
      <c r="A15" t="inlineStr">
        <is>
          <t>Acquisition debt (₹ cr)</t>
        </is>
      </c>
      <c r="B15" s="6" t="n">
        <v>88500</v>
      </c>
    </row>
    <row r="16">
      <c r="A16" t="inlineStr">
        <is>
          <t>FY2028E combined EBITDA (₹ cr)</t>
        </is>
      </c>
      <c r="B16" s="6">
        <f>'Pro-Forma P&amp;L'!C22</f>
        <v/>
      </c>
    </row>
    <row r="17">
      <c r="A17" t="inlineStr">
        <is>
          <t>FY2028E pro-forma EPS (₹)</t>
        </is>
      </c>
      <c r="B17" s="12">
        <f>'Pro-Forma P&amp;L'!C31</f>
        <v/>
      </c>
    </row>
    <row r="18">
      <c r="A18" t="inlineStr">
        <is>
          <t>Years to FY2028 year end</t>
        </is>
      </c>
      <c r="B18" s="12" t="n">
        <v>1.564</v>
      </c>
      <c r="C18" t="inlineStr">
        <is>
          <t>07-Sep-2026 to 31-Mar-2028</t>
        </is>
      </c>
    </row>
    <row r="19">
      <c r="A19" t="inlineStr">
        <is>
          <t>Dividend yield</t>
        </is>
      </c>
      <c r="B19" s="13">
        <f>Overview!B18/100</f>
        <v/>
      </c>
    </row>
    <row r="21">
      <c r="A21" s="3" t="inlineStr">
        <is>
          <t>METHOD 1 — FCFF DCF ON THE COMBINED ENTITY (30% weight)</t>
        </is>
      </c>
      <c r="B21" s="4" t="n"/>
      <c r="C21" s="4" t="n"/>
      <c r="D21" s="4" t="n"/>
      <c r="E21" s="4" t="n"/>
      <c r="F21" s="4" t="n"/>
      <c r="G21" s="4" t="n"/>
    </row>
    <row r="22">
      <c r="A22" t="inlineStr">
        <is>
          <t>DCF value per share (₹)</t>
        </is>
      </c>
      <c r="B22" s="15">
        <f>'DCF Build'!B36</f>
        <v/>
      </c>
      <c r="C22" s="2" t="inlineStr">
        <is>
          <t>built out on the DCF Build sheet — FCFF at WACC 11.51%, exit 13x FY2031E EBITDA, acquisition debt deducted</t>
        </is>
      </c>
    </row>
    <row r="24">
      <c r="A24" s="3" t="inlineStr">
        <is>
          <t>METHOD 2 — P/E ON PRO-FORMA FY2028E (40% weight)</t>
        </is>
      </c>
      <c r="B24" s="4" t="n"/>
      <c r="C24" s="4" t="n"/>
      <c r="D24" s="4" t="n"/>
      <c r="E24" s="4" t="n"/>
      <c r="F24" s="4" t="n"/>
      <c r="G24" s="4" t="n"/>
    </row>
    <row r="25">
      <c r="A25" t="inlineStr">
        <is>
          <t>Target multiple (x)</t>
        </is>
      </c>
      <c r="B25" s="16" t="n">
        <v>26</v>
      </c>
      <c r="C25" s="2" t="inlineStr">
        <is>
          <t>26x. Below the 34x a debt-free Indian pharma leader commands and well above the ~13x forward earnings Teva trades on — 2.4x levered gross, and 45% of combined EBITDA is a no-growth asset. Derived from the EBITDA mix below; this single number carries the rating.</t>
        </is>
      </c>
    </row>
    <row r="26">
      <c r="A26" t="inlineStr">
        <is>
          <t>Value at FY2028 (₹)</t>
        </is>
      </c>
      <c r="B26" s="12">
        <f>B25*B17</f>
        <v/>
      </c>
    </row>
    <row r="27">
      <c r="A27" t="inlineStr">
        <is>
          <t>Discounted to today (₹)</t>
        </is>
      </c>
      <c r="B27" s="15">
        <f>B26/(1+B8)^B18</f>
        <v/>
      </c>
    </row>
    <row r="29">
      <c r="A29" s="3" t="inlineStr">
        <is>
          <t>METHOD 3 — EV/EBITDA, SUM-OF-THE-PARTS (30% weight)</t>
        </is>
      </c>
      <c r="B29" s="4" t="n"/>
      <c r="C29" s="4" t="n"/>
      <c r="D29" s="4" t="n"/>
      <c r="E29" s="4" t="n"/>
      <c r="F29" s="4" t="n"/>
      <c r="G29" s="4" t="n"/>
    </row>
    <row r="30">
      <c r="A30" t="inlineStr">
        <is>
          <t>Sun's own business — multiple (x)</t>
        </is>
      </c>
      <c r="B30" s="16" t="n">
        <v>20</v>
      </c>
      <c r="C30" s="2" t="inlineStr">
        <is>
          <t>vs 23.9x standalone today</t>
        </is>
      </c>
    </row>
    <row r="31">
      <c r="A31" t="inlineStr">
        <is>
          <t>Organon — multiple (x)</t>
        </is>
      </c>
      <c r="B31" s="16" t="n">
        <v>7</v>
      </c>
      <c r="C31" s="2" t="inlineStr">
        <is>
          <t>vs the 6.2x Sun is paying</t>
        </is>
      </c>
    </row>
    <row r="32">
      <c r="A32" t="inlineStr">
        <is>
          <t>Blended on FY2028E EBITDA (x)</t>
        </is>
      </c>
      <c r="B32" s="16">
        <f>(B30*'Pro-Forma P&amp;L'!C9+B31*'Pro-Forma P&amp;L'!C15)/'Pro-Forma P&amp;L'!C22</f>
        <v/>
      </c>
      <c r="C32" s="2" t="inlineStr">
        <is>
          <t>weighted by each business's EBITDA</t>
        </is>
      </c>
    </row>
    <row r="33">
      <c r="A33" t="inlineStr">
        <is>
          <t>Implied EV at FY2028 (₹ cr)</t>
        </is>
      </c>
      <c r="B33" s="6">
        <f>B32*B16</f>
        <v/>
      </c>
    </row>
    <row r="34">
      <c r="A34" t="inlineStr">
        <is>
          <t>less: net debt at FY2028 (₹ cr)</t>
        </is>
      </c>
      <c r="B34" s="6">
        <f>-(Overview!B64-('DCF Build'!C22-'Pro-Forma P&amp;L'!C26*(1-'Pro-Forma P&amp;L'!C28)-'Pro-Forma P&amp;L'!C29*0.33))</f>
        <v/>
      </c>
      <c r="C34" s="2" t="inlineStr">
        <is>
          <t>CORRECTED — an EV built on FY2028 EBITDA must carry FY2028 net debt, not completion-date debt. The company deleverages in between.</t>
        </is>
      </c>
    </row>
    <row r="35">
      <c r="A35" t="inlineStr">
        <is>
          <t>Equity value at FY2028 (₹)</t>
        </is>
      </c>
      <c r="B35" s="12">
        <f>(B33+B34)/B14</f>
        <v/>
      </c>
    </row>
    <row r="36">
      <c r="A36" t="inlineStr">
        <is>
          <t>Discounted to today (₹)</t>
        </is>
      </c>
      <c r="B36" s="15">
        <f>B35/(1+B8)^B18</f>
        <v/>
      </c>
    </row>
    <row r="38">
      <c r="A38" s="3" t="inlineStr">
        <is>
          <t>BLENDED VALUATION &amp; RATING</t>
        </is>
      </c>
      <c r="B38" s="4" t="n"/>
      <c r="C38" s="4" t="n"/>
      <c r="D38" s="4" t="n"/>
      <c r="E38" s="4" t="n"/>
      <c r="F38" s="4" t="n"/>
      <c r="G38" s="4" t="n"/>
    </row>
    <row r="39">
      <c r="A39" s="7" t="inlineStr">
        <is>
          <t>Method</t>
        </is>
      </c>
      <c r="B39" s="7" t="inlineStr">
        <is>
          <t>Value/share (₹)</t>
        </is>
      </c>
      <c r="C39" s="7" t="inlineStr">
        <is>
          <t>vs price</t>
        </is>
      </c>
      <c r="D39" s="7" t="inlineStr">
        <is>
          <t>Weight</t>
        </is>
      </c>
    </row>
    <row r="40">
      <c r="A40" t="inlineStr">
        <is>
          <t>FCFF DCF, combined</t>
        </is>
      </c>
      <c r="B40" s="12">
        <f>B22</f>
        <v/>
      </c>
      <c r="C40" s="11">
        <f>B40/$B$13-1</f>
        <v/>
      </c>
      <c r="D40" s="17" t="n">
        <v>0.3</v>
      </c>
    </row>
    <row r="41">
      <c r="A41" t="inlineStr">
        <is>
          <t>P/E on pro-forma FY2028E</t>
        </is>
      </c>
      <c r="B41" s="12">
        <f>B27</f>
        <v/>
      </c>
      <c r="C41" s="11">
        <f>B41/$B$13-1</f>
        <v/>
      </c>
      <c r="D41" s="17" t="n">
        <v>0.4</v>
      </c>
    </row>
    <row r="42">
      <c r="A42" t="inlineStr">
        <is>
          <t>EV/EBITDA sum-of-the-parts</t>
        </is>
      </c>
      <c r="B42" s="12">
        <f>B36</f>
        <v/>
      </c>
      <c r="C42" s="11">
        <f>B42/$B$13-1</f>
        <v/>
      </c>
      <c r="D42" s="17" t="n">
        <v>0.3</v>
      </c>
    </row>
    <row r="44">
      <c r="A44" t="inlineStr">
        <is>
          <t>BLENDED FAIR VALUE — today's money (₹)</t>
        </is>
      </c>
      <c r="B44" s="18">
        <f>SUMPRODUCT(B40:B42,D40:D42)</f>
        <v/>
      </c>
    </row>
    <row r="45">
      <c r="A45" t="inlineStr">
        <is>
          <t>Upside / (downside)</t>
        </is>
      </c>
      <c r="B45" s="11">
        <f>B44/B13-1</f>
        <v/>
      </c>
    </row>
    <row r="46">
      <c r="A46" t="inlineStr">
        <is>
          <t>Add: dividend yield</t>
        </is>
      </c>
      <c r="B46" s="13">
        <f>B19</f>
        <v/>
      </c>
    </row>
    <row r="47">
      <c r="A47" t="inlineStr">
        <is>
          <t>TOTAL EXPECTED RETURN</t>
        </is>
      </c>
      <c r="B47" s="19">
        <f>B45+B46</f>
        <v/>
      </c>
    </row>
    <row r="48">
      <c r="A48" t="inlineStr">
        <is>
          <t>Cost of equity (BUY hurdle)</t>
        </is>
      </c>
      <c r="B48" s="11">
        <f>B8</f>
        <v/>
      </c>
    </row>
    <row r="49">
      <c r="A49" t="inlineStr">
        <is>
          <t>ACCUMULATE hurdle (G-sec + 2pp)</t>
        </is>
      </c>
      <c r="B49" s="11">
        <f>B5+0.02</f>
        <v/>
      </c>
    </row>
    <row r="50">
      <c r="A50" t="inlineStr">
        <is>
          <t>RATING</t>
        </is>
      </c>
      <c r="B50" s="20">
        <f>IF(B47&gt;B48,"BUY",IF(B47&gt;B49,"ACCUMULATE",IF(B47&gt;0,"HOLD","REDUCE")))</f>
        <v/>
      </c>
    </row>
    <row r="52">
      <c r="A52" s="3" t="inlineStr">
        <is>
          <t>THE SAME VALUATION ON THE SELL-SIDE CONVENTION</t>
        </is>
      </c>
      <c r="B52" s="4" t="n"/>
      <c r="C52" s="4" t="n"/>
      <c r="D52" s="4" t="n"/>
      <c r="E52" s="4" t="n"/>
      <c r="F52" s="4" t="n"/>
      <c r="G52" s="4" t="n"/>
    </row>
    <row r="53">
      <c r="A53" t="inlineStr">
        <is>
          <t>P/E method, undiscounted (₹)</t>
        </is>
      </c>
      <c r="B53" s="12">
        <f>B26</f>
        <v/>
      </c>
    </row>
    <row r="54">
      <c r="A54" t="inlineStr">
        <is>
          <t>EV/EBITDA method, undiscounted (₹)</t>
        </is>
      </c>
      <c r="B54" s="12">
        <f>B35</f>
        <v/>
      </c>
    </row>
    <row r="55">
      <c r="A55" t="inlineStr">
        <is>
          <t>DCF, rolled forward to FY2028 (₹)</t>
        </is>
      </c>
      <c r="B55" s="12">
        <f>B22*(1+B8)^B18</f>
        <v/>
      </c>
      <c r="C55" s="2" t="inlineStr">
        <is>
          <t>an EQUITY value compounds at the cost of equity. Rolling it at WACC (as the first correction did) was wrong.</t>
        </is>
      </c>
    </row>
    <row r="56">
      <c r="A56" s="10" t="inlineStr">
        <is>
          <t>Blended FY2028 TARGET (₹)</t>
        </is>
      </c>
      <c r="B56" s="15">
        <f>0.3*B55+0.4*B53+0.3*B54</f>
        <v/>
      </c>
    </row>
    <row r="57">
      <c r="A57" t="inlineStr">
        <is>
          <t>vs price</t>
        </is>
      </c>
      <c r="B57" s="11">
        <f>B56/B13-1</f>
        <v/>
      </c>
    </row>
    <row r="59" ht="46" customHeight="1">
      <c r="A59" s="21">
        <f>"This is the single most important disclosure in the note. Our headline fair value is expressed in TODAY'S money — a FY2028 value discounted back "&amp;TEXT(B18,"0.00")&amp;" years. Sell-side price targets are twelve-month forward numbers. On the undiscounted FY2028 basis the same three methods give roughly Rs"&amp;TEXT(B56,"#,##0")&amp;" and a "&amp;TEXT(-B57,"0.0%")&amp;" downside; discounted to today they give Rs"&amp;TEXT(B44,"#,##0")&amp;" and a "&amp;TEXT(-B45,"0.0%")&amp;" downside. Both are REDUCE, but the convention alone moves the answer by "&amp;TEXT((-B45+B57)*100,"0.0")&amp;" percentage points. Motilal Oswal's Rs2,310 is explicitly 38x TWELVE-MONTH-FORWARD earnings, so part of the gap with the most bullish documented broker is convention and part is the multiple. A reader comparing us to a Street target is not comparing like with like unless they know which basis each side quotes. THIS CELL BUILDS ITS OWN FIGURES FROM THE MODEL — it went stale three times when it was typed."</f>
        <v/>
      </c>
    </row>
    <row r="61" ht="34.5" customHeight="1">
      <c r="A61" s="21" t="inlineStr">
        <is>
          <t>A cross-check worth carrying. At ₹1,916 the post-deal enterprise value is about ₹5,48,206 cr — market capitalisation plus ₹88,500 cr of acquisition debt — which is 14.9 times FY2028E combined EBITDA against the 14.0 times our sum-of-the-parts calls fair. On that measure the shares are only about 6% rich. Most of our stated downside is the discounting convention, not a claim that the multiple is violently wrong.</t>
        </is>
      </c>
    </row>
    <row r="63">
      <c r="A63" s="3" t="inlineStr">
        <is>
          <t>SCENARIOS — every input that moves between branches is shown</t>
        </is>
      </c>
      <c r="B63" s="4" t="n"/>
      <c r="C63" s="4" t="n"/>
      <c r="D63" s="4" t="n"/>
      <c r="E63" s="4" t="n"/>
      <c r="F63" s="4" t="n"/>
      <c r="G63" s="4" t="n"/>
      <c r="H63" s="4" t="n"/>
      <c r="I63" s="4" t="n"/>
    </row>
    <row r="64">
      <c r="A64" s="28" t="inlineStr">
        <is>
          <t>Scenario</t>
        </is>
      </c>
      <c r="B64" s="28" t="inlineStr">
        <is>
          <t>Organon rev/yr</t>
        </is>
      </c>
      <c r="C64" s="28" t="inlineStr">
        <is>
          <t>Funding</t>
        </is>
      </c>
      <c r="D64" s="28" t="inlineStr">
        <is>
          <t>Exit x</t>
        </is>
      </c>
      <c r="E64" s="28" t="inlineStr">
        <is>
          <t>P/E x</t>
        </is>
      </c>
      <c r="F64" s="28" t="inlineStr">
        <is>
          <t>SOTP Sun/Organon</t>
        </is>
      </c>
      <c r="G64" s="28" t="inlineStr">
        <is>
          <t>FY28E EPS (₹)</t>
        </is>
      </c>
      <c r="H64" s="28" t="inlineStr">
        <is>
          <t>Blended FV (₹)</t>
        </is>
      </c>
      <c r="I64" s="28" t="inlineStr">
        <is>
          <t>Total return</t>
        </is>
      </c>
      <c r="J64" s="28" t="inlineStr">
        <is>
          <t>Rating</t>
        </is>
      </c>
    </row>
    <row r="65">
      <c r="A65" s="30" t="inlineStr">
        <is>
          <t>Bear — Organon −4%/yr, funding 7.5%, synergies 25%</t>
        </is>
      </c>
      <c r="B65" s="31" t="inlineStr">
        <is>
          <t>−4.0%</t>
        </is>
      </c>
      <c r="C65" s="31" t="inlineStr">
        <is>
          <t>7.50%</t>
        </is>
      </c>
      <c r="D65" s="32" t="n">
        <v>11</v>
      </c>
      <c r="E65" s="32" t="n">
        <v>22</v>
      </c>
      <c r="F65" s="30" t="inlineStr">
        <is>
          <t>18x / 6x</t>
        </is>
      </c>
      <c r="G65" s="31" t="n">
        <v>69.07481916809068</v>
      </c>
      <c r="H65" s="33" t="n">
        <v>1219.554969057669</v>
      </c>
      <c r="I65" s="44">
        <f>H65/$B$13-1+$B$19</f>
        <v/>
      </c>
      <c r="J65" s="10">
        <f>IF(I65&gt;$B$48,"BUY",IF(I65&gt;$B$49,"ACCUMULATE",IF(I65&gt;0,"HOLD","REDUCE")))</f>
        <v/>
      </c>
    </row>
    <row r="66">
      <c r="A66" s="30" t="inlineStr">
        <is>
          <t>Base — Organon −1%/yr, funding 6.5%, synergies 50%</t>
        </is>
      </c>
      <c r="B66" s="31" t="inlineStr">
        <is>
          <t>−1.0%</t>
        </is>
      </c>
      <c r="C66" s="31" t="inlineStr">
        <is>
          <t>6.50%</t>
        </is>
      </c>
      <c r="D66" s="32" t="n">
        <v>13</v>
      </c>
      <c r="E66" s="32" t="n">
        <v>26</v>
      </c>
      <c r="F66" s="30" t="inlineStr">
        <is>
          <t>20x / 7x</t>
        </is>
      </c>
      <c r="G66" s="31" t="n">
        <v>73.54884550493894</v>
      </c>
      <c r="H66" s="33">
        <f>B44</f>
        <v/>
      </c>
      <c r="I66" s="44">
        <f>H66/$B$13-1+$B$19</f>
        <v/>
      </c>
      <c r="J66" s="10">
        <f>IF(I66&gt;$B$48,"BUY",IF(I66&gt;$B$49,"ACCUMULATE",IF(I66&gt;0,"HOLD","REDUCE")))</f>
        <v/>
      </c>
    </row>
    <row r="67">
      <c r="A67" s="30" t="inlineStr">
        <is>
          <t>Bull — Organon flat, funding 5.8%, synergies 100%</t>
        </is>
      </c>
      <c r="B67" s="31" t="inlineStr">
        <is>
          <t>0.0%</t>
        </is>
      </c>
      <c r="C67" s="31" t="inlineStr">
        <is>
          <t>5.80%</t>
        </is>
      </c>
      <c r="D67" s="32" t="n">
        <v>15</v>
      </c>
      <c r="E67" s="32" t="n">
        <v>29</v>
      </c>
      <c r="F67" s="30" t="inlineStr">
        <is>
          <t>21x / 8x</t>
        </is>
      </c>
      <c r="G67" s="31" t="n">
        <v>77.03616821572959</v>
      </c>
      <c r="H67" s="33" t="n">
        <v>1744.753756223727</v>
      </c>
      <c r="I67" s="44">
        <f>H67/$B$13-1+$B$19</f>
        <v/>
      </c>
      <c r="J67" s="10">
        <f>IF(I67&gt;$B$48,"BUY",IF(I67&gt;$B$49,"ACCUMULATE",IF(I67&gt;0,"HOLD","REDUCE")))</f>
        <v/>
      </c>
    </row>
    <row r="69" ht="23" customHeight="1">
      <c r="A69" s="21" t="n"/>
    </row>
    <row r="70" ht="24" customHeight="1">
      <c r="A70" s="21" t="inlineStr">
        <is>
          <t>Branches flex the synergy haircut as well as Organon's decay, the funding rate and all three sets of multiples. Every column that moves is printed. All three remain REDUCE.</t>
        </is>
      </c>
    </row>
    <row r="72">
      <c r="A72" s="3" t="inlineStr">
        <is>
          <t>SENSITIVITY — and the exit multiple now moves with the row, which it did not before</t>
        </is>
      </c>
      <c r="B72" s="4" t="n"/>
      <c r="C72" s="4" t="n"/>
      <c r="D72" s="4" t="n"/>
      <c r="E72" s="4" t="n"/>
      <c r="F72" s="4" t="n"/>
      <c r="G72" s="4" t="n"/>
      <c r="H72" s="4" t="n"/>
      <c r="I72" s="4" t="n"/>
    </row>
    <row r="73" ht="30" customHeight="1">
      <c r="A73" s="21" t="inlineStr">
        <is>
          <t>CORRECTED. The published grid held the DCF exit at 13.0x in every cell, including the cell labelled 'today's own multiples'. Each row now applies its own Sun/Organon pair to the FY2031 EBITDA mix to set the exit, so a row is a consistent view of the multiple, not a half-view.</t>
        </is>
      </c>
    </row>
    <row r="74">
      <c r="A74" s="10" t="inlineStr">
        <is>
          <t>SOTP Sun / Organon (implied exit)</t>
        </is>
      </c>
      <c r="B74" s="28" t="inlineStr">
        <is>
          <t>22x</t>
        </is>
      </c>
      <c r="C74" s="28" t="inlineStr">
        <is>
          <t>24x</t>
        </is>
      </c>
      <c r="D74" s="28" t="inlineStr">
        <is>
          <t>26x</t>
        </is>
      </c>
      <c r="E74" s="28" t="inlineStr">
        <is>
          <t>28x</t>
        </is>
      </c>
      <c r="F74" s="28" t="inlineStr">
        <is>
          <t>30x</t>
        </is>
      </c>
      <c r="G74" s="28" t="inlineStr">
        <is>
          <t>34x</t>
        </is>
      </c>
    </row>
    <row r="75">
      <c r="A75" t="inlineStr">
        <is>
          <t>18x / 6x  (exit 13.41x)</t>
        </is>
      </c>
      <c r="B75" s="29" t="n">
        <v>1360.690345255942</v>
      </c>
      <c r="C75" s="29" t="n">
        <v>1409.426854001464</v>
      </c>
      <c r="D75" s="29" t="n">
        <v>1458.163362746985</v>
      </c>
      <c r="E75" s="29" t="n">
        <v>1506.899871492506</v>
      </c>
      <c r="F75" s="29" t="n">
        <v>1555.636380238027</v>
      </c>
      <c r="G75" s="29" t="n">
        <v>1653.10939772907</v>
      </c>
    </row>
    <row r="76">
      <c r="A76" t="inlineStr">
        <is>
          <t>20x / 7x  (exit 15.02x)   &lt;- our base</t>
        </is>
      </c>
      <c r="B76" s="29" t="n">
        <v>1470.923894362021</v>
      </c>
      <c r="C76" s="29" t="n">
        <v>1519.660403107542</v>
      </c>
      <c r="D76" s="29" t="n">
        <v>1568.396911853064</v>
      </c>
      <c r="E76" s="29" t="n">
        <v>1617.133420598585</v>
      </c>
      <c r="F76" s="29" t="n">
        <v>1665.869929344106</v>
      </c>
      <c r="G76" s="29" t="n">
        <v>1763.342946835148</v>
      </c>
    </row>
    <row r="77">
      <c r="A77" t="inlineStr">
        <is>
          <t>22x / 8x  (exit 16.64x)</t>
        </is>
      </c>
      <c r="B77" s="29" t="n">
        <v>1581.1574434681</v>
      </c>
      <c r="C77" s="29" t="n">
        <v>1629.893952213621</v>
      </c>
      <c r="D77" s="29" t="n">
        <v>1678.630460959142</v>
      </c>
      <c r="E77" s="29" t="n">
        <v>1727.366969704663</v>
      </c>
      <c r="F77" s="29" t="n">
        <v>1776.103478450185</v>
      </c>
      <c r="G77" s="29" t="n">
        <v>1873.576495941227</v>
      </c>
    </row>
    <row r="78">
      <c r="A78" t="inlineStr">
        <is>
          <t>23.9x / 8.4x  (exit 17.97x)   &lt;- today's own multiples</t>
        </is>
      </c>
      <c r="B78" s="29" t="n">
        <v>1669.770295500518</v>
      </c>
      <c r="C78" s="29" t="n">
        <v>1718.50680424604</v>
      </c>
      <c r="D78" s="29" t="n">
        <v>1767.243312991561</v>
      </c>
      <c r="E78" s="29" t="n">
        <v>1815.979821737082</v>
      </c>
      <c r="F78" s="29" t="n">
        <v>1864.716330482603</v>
      </c>
      <c r="G78" s="45" t="n">
        <v>1962.189347973646</v>
      </c>
    </row>
    <row r="79" ht="56" customHeight="1">
      <c r="A79" s="21" t="inlineStr">
        <is>
          <t>Read the top-right cell. Applying the multiples Sun commands TODAY to all three methods — 34x earnings, 23.9x its own EBITDA, 8.4x for Organon, and the 17.97x exit those same multiples imply — gives ₹1,962, which is ABOVE the price. The first version of this note froze the exit at 13x in every cell, reported ₹1,815, and claimed every cell was below the price. That claim was false and has been withdrawn. 23 of 24 cells are below; the 24th is not, and it is the one that matters most. The call rests on the de-rating, not on the arithmetic being unarguable.</t>
        </is>
      </c>
    </row>
    <row r="81">
      <c r="A81" s="3" t="inlineStr">
        <is>
          <t>THE CENTRAL CLAIM, COMPUTED — 29% more earnings at a lower deserved multiple</t>
        </is>
      </c>
      <c r="B81" s="4" t="n"/>
      <c r="C81" s="4" t="n"/>
      <c r="D81" s="4" t="n"/>
      <c r="E81" s="4" t="n"/>
      <c r="F81" s="4" t="n"/>
      <c r="G81" s="4" t="n"/>
      <c r="H81" s="4" t="n"/>
      <c r="I81" s="4" t="n"/>
    </row>
    <row r="82">
      <c r="A82" t="inlineStr">
        <is>
          <t>Standalone FY2028E EPS (₹)</t>
        </is>
      </c>
      <c r="B82" s="12">
        <f>'Pro-Forma P&amp;L'!C32</f>
        <v/>
      </c>
      <c r="D82" s="2" t="inlineStr">
        <is>
          <t>no Organon</t>
        </is>
      </c>
    </row>
    <row r="83">
      <c r="A83" t="inlineStr">
        <is>
          <t>Multiple a debt-free Indian pharma leader commands (x)</t>
        </is>
      </c>
      <c r="B83" s="16" t="n">
        <v>34</v>
      </c>
      <c r="D83" s="2" t="inlineStr">
        <is>
          <t>the level Sun trades on today</t>
        </is>
      </c>
    </row>
    <row r="84">
      <c r="A84" t="inlineStr">
        <is>
          <t>STANDALONE value at FY2028 (₹)</t>
        </is>
      </c>
      <c r="B84" s="24">
        <f>B82*B83</f>
        <v/>
      </c>
      <c r="D84" s="2" t="inlineStr">
        <is>
          <t>what Sun was worth without the deal</t>
        </is>
      </c>
    </row>
    <row r="85">
      <c r="A85" t="inlineStr">
        <is>
          <t>Pro-forma FY2028E EPS (₹)</t>
        </is>
      </c>
      <c r="B85" s="12">
        <f>B17</f>
        <v/>
      </c>
      <c r="D85" s="2" t="inlineStr">
        <is>
          <t>+29% — the accretion is real</t>
        </is>
      </c>
    </row>
    <row r="86">
      <c r="A86" t="inlineStr">
        <is>
          <t>Multiple a levered consolidator deserves (x)</t>
        </is>
      </c>
      <c r="B86" s="16">
        <f>B25</f>
        <v/>
      </c>
      <c r="D86" s="2" t="inlineStr">
        <is>
          <t>our 26x</t>
        </is>
      </c>
    </row>
    <row r="87">
      <c r="A87" t="inlineStr">
        <is>
          <t>PRO-FORMA value at FY2028 (₹)</t>
        </is>
      </c>
      <c r="B87" s="24">
        <f>B85*B86</f>
        <v/>
      </c>
      <c r="D87" s="2" t="inlineStr">
        <is>
          <t>what it is worth with the deal</t>
        </is>
      </c>
    </row>
    <row r="88">
      <c r="A88" t="inlineStr">
        <is>
          <t>Difference (₹)</t>
        </is>
      </c>
      <c r="B88" s="24">
        <f>B87-B84</f>
        <v/>
      </c>
    </row>
    <row r="89">
      <c r="A89" t="inlineStr">
        <is>
          <t>Difference (%)</t>
        </is>
      </c>
      <c r="B89" s="36">
        <f>B87/B84-1</f>
        <v/>
      </c>
      <c r="D89" s="2" t="inlineStr">
        <is>
          <t>the deal changes what the company IS, not what it is worth</t>
        </is>
      </c>
    </row>
    <row r="91" ht="30" customHeight="1">
      <c r="A91" s="21" t="inlineStr">
        <is>
          <t>Twenty-nine per cent more earnings, at a materially lower deserved multiple, and the two very nearly cancel — ₹1,912 against ₹1,940, a 1.4% difference that is well inside the noise of either assumption. This block existed only as a sentence in the note until a pre-publish sweep flagged that neither ₹1,940 nor its comparison was computed anywhere. It is the central claim of the thesis, so it is now a formula that moves when the multiples move.</t>
        </is>
      </c>
    </row>
    <row r="92">
      <c r="A92" t="inlineStr">
        <is>
          <t>Risk to the rating — pro-forma FY2028E EPS at today's 34x (₹)</t>
        </is>
      </c>
      <c r="B92" s="24">
        <f>B83*B17</f>
        <v/>
      </c>
      <c r="D92" s="2" t="inlineStr">
        <is>
          <t>if the multiple simply holds, the shares are worth this at FY2028 — the single largest risk to REDUCE</t>
        </is>
      </c>
    </row>
    <row r="93">
      <c r="A93" t="inlineStr">
        <is>
          <t>memo — blended FV if the guided synergies are NOT delivered at all (₹)</t>
        </is>
      </c>
      <c r="B93" s="6" t="n">
        <v>1476</v>
      </c>
      <c r="D93" s="2" t="inlineStr">
        <is>
          <t>holding EVERYTHING else at base: ₹1,476 at zero synergies, ₹1,504 at half, ₹1,533 at the full guided figure — a ₹57 range, not the bull branch</t>
        </is>
      </c>
    </row>
    <row r="95">
      <c r="A95" s="3" t="inlineStr">
        <is>
          <t>WHERE 26x COMES FROM — a mix-weighted anchor, not an assertion</t>
        </is>
      </c>
      <c r="B95" s="4" t="n"/>
      <c r="C95" s="4" t="n"/>
      <c r="D95" s="4" t="n"/>
      <c r="E95" s="4" t="n"/>
      <c r="F95" s="4" t="n"/>
      <c r="G95" s="4" t="n"/>
      <c r="H95" s="4" t="n"/>
      <c r="I95" s="4" t="n"/>
      <c r="J95" s="4" t="n"/>
    </row>
    <row r="96">
      <c r="A96" t="inlineStr">
        <is>
          <t>Sun's own share of FY2028E EBITDA</t>
        </is>
      </c>
      <c r="B96" s="11">
        <f>'Pro-Forma P&amp;L'!C9/'Pro-Forma P&amp;L'!C22</f>
        <v/>
      </c>
      <c r="D96" s="2" t="inlineStr">
        <is>
          <t>the growing Indian and innovative franchise</t>
        </is>
      </c>
    </row>
    <row r="97">
      <c r="A97" t="inlineStr">
        <is>
          <t>Organon's share of FY2028E EBITDA</t>
        </is>
      </c>
      <c r="B97" s="11">
        <f>'Pro-Forma P&amp;L'!C15/'Pro-Forma P&amp;L'!C22</f>
        <v/>
      </c>
      <c r="D97" s="2" t="inlineStr">
        <is>
          <t>the declining Western asset</t>
        </is>
      </c>
    </row>
    <row r="98">
      <c r="A98" t="inlineStr">
        <is>
          <t>Multiple on Sun's share (x)</t>
        </is>
      </c>
      <c r="B98" s="16" t="n">
        <v>34</v>
      </c>
      <c r="D98" s="2" t="inlineStr">
        <is>
          <t>what a debt-free Indian pharma leader commands today</t>
        </is>
      </c>
    </row>
    <row r="99">
      <c r="A99" t="inlineStr">
        <is>
          <t>Multiple on Organon's share (x)</t>
        </is>
      </c>
      <c r="B99" s="16" t="n">
        <v>13</v>
      </c>
      <c r="D99" s="2" t="inlineStr">
        <is>
          <t>Teva's forward earnings multiple — the closest levered analogue</t>
        </is>
      </c>
    </row>
    <row r="100">
      <c r="A100" t="inlineStr">
        <is>
          <t>MIX-WEIGHTED ANCHOR (x)</t>
        </is>
      </c>
      <c r="B100" s="15">
        <f>B96*B98+B97*B99</f>
        <v/>
      </c>
      <c r="D100" s="2" t="inlineStr">
        <is>
          <t>what the blend of the two businesses implies on their own comparators</t>
        </is>
      </c>
    </row>
    <row r="101">
      <c r="A101" t="inlineStr">
        <is>
          <t>Multiple we use (x)</t>
        </is>
      </c>
      <c r="B101" s="46">
        <f>B25</f>
        <v/>
      </c>
      <c r="D101" s="2" t="inlineStr">
        <is>
          <t>a modest premium to the anchor for the innovative franchise and the domestic listing</t>
        </is>
      </c>
    </row>
    <row r="102">
      <c r="A102" t="inlineStr">
        <is>
          <t>Premium we are taking (x)</t>
        </is>
      </c>
      <c r="B102" s="12">
        <f>B101-B100</f>
        <v/>
      </c>
    </row>
    <row r="103" ht="44" customHeight="1">
      <c r="A103" s="21" t="inlineStr">
        <is>
          <t>An adversarial review pointed out that the note admitted a 13-34x range, admitted 26x was generous against the levered comparators, and never explained why 26 and not 30. This is the derivation. Weighting each business at its own comparator gives 24.3x; we take a small premium to that for the innovative franchise and the fact that an NSE-listed company is priced against domestic alternatives. At 30x instead the blend is ₹1,601 and the rating is still REDUCE, so the choice between 26 and 30 changes the size of the call, not its direction.</t>
        </is>
      </c>
    </row>
    <row r="105">
      <c r="A105" t="inlineStr">
        <is>
          <t>memo — pro-forma FY2028E EPS at today's 34x, DISCOUNTED to today (₹)</t>
        </is>
      </c>
      <c r="B105" s="6">
        <f>B92/(1+B8)^B18</f>
        <v/>
      </c>
      <c r="D105" s="2" t="inlineStr">
        <is>
          <t>the risk-to-the-rating figure stated on our own convention rather than undiscounted</t>
        </is>
      </c>
    </row>
    <row r="106">
      <c r="A106" t="inlineStr">
        <is>
          <t>memo — standalone FY2028E at 34x if the deal broke, discounted (₹)</t>
        </is>
      </c>
      <c r="B106" s="6">
        <f>B84/(1+B8)^B18</f>
        <v/>
      </c>
      <c r="D106" s="2" t="inlineStr">
        <is>
          <t>we model completion as certain; this is what a break would be worth — still below the price</t>
        </is>
      </c>
    </row>
    <row r="107">
      <c r="A107" t="inlineStr">
        <is>
          <t>memo — blended FV at the FULL guided synergies, all else at base (₹)</t>
        </is>
      </c>
      <c r="B107" s="6" t="n">
        <v>1533</v>
      </c>
      <c r="D107" s="2" t="inlineStr">
        <is>
          <t>with ₹1,474 at zero and ₹1,502 at half: a ₹57 range, not the bull branch's ₹1,743</t>
        </is>
      </c>
    </row>
    <row r="108">
      <c r="A108" t="inlineStr">
        <is>
          <t>memo — blended FV at 30x instead of 26x, all else at base (₹)</t>
        </is>
      </c>
      <c r="B108" s="6">
        <f>B44+4*(B17/(1+B8)^B18)*0.4</f>
        <v/>
      </c>
      <c r="D108" s="2" t="inlineStr">
        <is>
          <t>each turn of the P/E is worth ₹24.35 on the blend; four turns takes the downside from 21.6% to 16.5%, still REDUCE</t>
        </is>
      </c>
    </row>
    <row r="109">
      <c r="A109" t="inlineStr">
        <is>
          <t>memo — downside if the DCF exit floated to the SOTP-implied 15.0x (the grid base row)</t>
        </is>
      </c>
      <c r="B109" s="11">
        <f>D76/B13-1</f>
        <v/>
      </c>
      <c r="D109" s="2" t="inlineStr">
        <is>
          <t>the grid base cell prints ₹1,567; we deliberately use a 13x exit instead and print ₹1,502, the harder number</t>
        </is>
      </c>
    </row>
  </sheetData>
  <mergeCells count="12">
    <mergeCell ref="A103:J103"/>
    <mergeCell ref="A59:E59"/>
    <mergeCell ref="A73:I73"/>
    <mergeCell ref="A79:J79"/>
    <mergeCell ref="A2:E2"/>
    <mergeCell ref="A10:E10"/>
    <mergeCell ref="A70:J70"/>
    <mergeCell ref="A70:I70"/>
    <mergeCell ref="A79:I79"/>
    <mergeCell ref="A73:J73"/>
    <mergeCell ref="A91:I91"/>
    <mergeCell ref="A61:E61"/>
  </mergeCells>
  <pageMargins left="0.3" right="0.3" top="0.4" bottom="0.4"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H51"/>
  <sheetViews>
    <sheetView workbookViewId="0">
      <selection activeCell="A1" sqref="A1"/>
    </sheetView>
  </sheetViews>
  <sheetFormatPr baseColWidth="8" defaultRowHeight="15"/>
  <cols>
    <col width="38" customWidth="1" min="1" max="1"/>
    <col width="12" customWidth="1" min="2" max="2"/>
    <col width="12" customWidth="1" min="3" max="3"/>
    <col width="12" customWidth="1" min="4" max="4"/>
    <col width="12" customWidth="1" min="5" max="5"/>
    <col width="12" customWidth="1" min="6" max="6"/>
    <col width="2" customWidth="1" min="7" max="7"/>
    <col width="46" customWidth="1" min="8" max="8"/>
  </cols>
  <sheetData>
    <row r="1">
      <c r="A1" s="1" t="inlineStr">
        <is>
          <t>Sun Pharma — Method 1: FCFF DCF on the combined entity, built out</t>
        </is>
      </c>
    </row>
    <row r="2" ht="30" customHeight="1">
      <c r="A2" s="21" t="inlineStr">
        <is>
          <t>An earlier version of this model carried the DCF as a single typed number with no visible workings, and discounted free cash flow to the FIRM at the cost of EQUITY. Both are corrected here. FCFF is unlevered, so it is discounted at WACC; every line is a formula.</t>
        </is>
      </c>
    </row>
    <row r="4">
      <c r="A4" s="3" t="inlineStr">
        <is>
          <t>DISCOUNT RATE</t>
        </is>
      </c>
      <c r="B4" s="4" t="n"/>
      <c r="C4" s="4" t="n"/>
      <c r="D4" s="4" t="n"/>
      <c r="E4" s="4" t="n"/>
      <c r="F4" s="4" t="n"/>
      <c r="G4" s="4" t="n"/>
      <c r="H4" s="4" t="n"/>
    </row>
    <row r="5">
      <c r="A5" t="inlineStr">
        <is>
          <t>Cost of equity (from Valuation sheet)</t>
        </is>
      </c>
      <c r="B5" s="13">
        <f>Valuation!B8</f>
        <v/>
      </c>
      <c r="D5" s="2" t="inlineStr">
        <is>
          <t>6.95% G-sec + 0.90 beta x 6.5% ERP</t>
        </is>
      </c>
    </row>
    <row r="6">
      <c r="A6" t="inlineStr">
        <is>
          <t>Pre-tax cost of debt</t>
        </is>
      </c>
      <c r="B6" s="13" t="n">
        <v>0.065</v>
      </c>
      <c r="D6" s="2" t="inlineStr">
        <is>
          <t>the rate on the acquisition syndication</t>
        </is>
      </c>
    </row>
    <row r="7">
      <c r="A7" t="inlineStr">
        <is>
          <t>Tax rate</t>
        </is>
      </c>
      <c r="B7" s="13" t="n">
        <v>0.26</v>
      </c>
    </row>
    <row r="8">
      <c r="A8" t="inlineStr">
        <is>
          <t>After-tax cost of debt</t>
        </is>
      </c>
      <c r="B8" s="13">
        <f>B6*(1-B7)</f>
        <v/>
      </c>
    </row>
    <row r="9">
      <c r="A9" t="inlineStr">
        <is>
          <t>Market value of equity (₹ cr)</t>
        </is>
      </c>
      <c r="B9" s="6">
        <f>Overview!B6*Overview!B7</f>
        <v/>
      </c>
      <c r="D9" s="2" t="inlineStr">
        <is>
          <t>at the 03-Sep close</t>
        </is>
      </c>
    </row>
    <row r="10">
      <c r="A10" t="inlineStr">
        <is>
          <t>Acquisition debt (₹ cr)</t>
        </is>
      </c>
      <c r="B10" s="6">
        <f>Valuation!B15</f>
        <v/>
      </c>
    </row>
    <row r="11">
      <c r="A11" t="inlineStr">
        <is>
          <t>Debt weight</t>
        </is>
      </c>
      <c r="B11" s="11">
        <f>B10/(B9+B10)</f>
        <v/>
      </c>
    </row>
    <row r="12">
      <c r="A12" t="inlineStr">
        <is>
          <t>WACC</t>
        </is>
      </c>
      <c r="B12" s="14">
        <f>(1-B11)*B5+B11*B8</f>
        <v/>
      </c>
      <c r="D12" s="2" t="inlineStr">
        <is>
          <t>the rate an unlevered cash-flow stream must be discounted at</t>
        </is>
      </c>
    </row>
    <row r="14">
      <c r="A14" s="3" t="inlineStr">
        <is>
          <t>FREE CASH FLOW TO THE FIRM (₹ crore)</t>
        </is>
      </c>
      <c r="B14" s="4" t="n"/>
      <c r="C14" s="4" t="n"/>
      <c r="D14" s="4" t="n"/>
      <c r="E14" s="4" t="n"/>
      <c r="F14" s="4" t="n"/>
      <c r="G14" s="4" t="n"/>
      <c r="H14" s="4" t="n"/>
    </row>
    <row r="15">
      <c r="A15" t="inlineStr">
        <is>
          <t>(₹ cr)</t>
        </is>
      </c>
      <c r="B15" s="10" t="inlineStr">
        <is>
          <t>FY2027E</t>
        </is>
      </c>
      <c r="C15" s="10" t="inlineStr">
        <is>
          <t>FY2028E</t>
        </is>
      </c>
      <c r="D15" s="10" t="inlineStr">
        <is>
          <t>FY2029E</t>
        </is>
      </c>
      <c r="E15" s="10" t="inlineStr">
        <is>
          <t>FY2030E</t>
        </is>
      </c>
      <c r="F15" s="10" t="inlineStr">
        <is>
          <t>FY2031E</t>
        </is>
      </c>
    </row>
    <row r="16">
      <c r="A16" t="inlineStr">
        <is>
          <t>EBIT</t>
        </is>
      </c>
      <c r="B16" s="6">
        <f>'Pro-Forma P&amp;L'!B24</f>
        <v/>
      </c>
      <c r="C16" s="6">
        <f>'Pro-Forma P&amp;L'!C24</f>
        <v/>
      </c>
      <c r="D16" s="6">
        <f>'Pro-Forma P&amp;L'!D24</f>
        <v/>
      </c>
      <c r="E16" s="6">
        <f>'Pro-Forma P&amp;L'!E24</f>
        <v/>
      </c>
      <c r="F16" s="6">
        <f>'Pro-Forma P&amp;L'!F24</f>
        <v/>
      </c>
    </row>
    <row r="17">
      <c r="A17" t="inlineStr">
        <is>
          <t>less: tax at 26%</t>
        </is>
      </c>
      <c r="B17" s="6">
        <f>-B16*$B$7</f>
        <v/>
      </c>
      <c r="C17" s="6">
        <f>-C16*$B$7</f>
        <v/>
      </c>
      <c r="D17" s="6">
        <f>-D16*$B$7</f>
        <v/>
      </c>
      <c r="E17" s="6">
        <f>-E16*$B$7</f>
        <v/>
      </c>
      <c r="F17" s="6">
        <f>-F16*$B$7</f>
        <v/>
      </c>
    </row>
    <row r="18">
      <c r="A18" t="inlineStr">
        <is>
          <t>NOPAT</t>
        </is>
      </c>
      <c r="B18" s="6">
        <f>B16+B17</f>
        <v/>
      </c>
      <c r="C18" s="6">
        <f>C16+C17</f>
        <v/>
      </c>
      <c r="D18" s="6">
        <f>D16+D17</f>
        <v/>
      </c>
      <c r="E18" s="6">
        <f>E16+E17</f>
        <v/>
      </c>
      <c r="F18" s="6">
        <f>F16+F17</f>
        <v/>
      </c>
    </row>
    <row r="19">
      <c r="A19" t="inlineStr">
        <is>
          <t>add back: D&amp;A</t>
        </is>
      </c>
      <c r="B19" s="6">
        <f>'Pro-Forma P&amp;L'!B23</f>
        <v/>
      </c>
      <c r="C19" s="6">
        <f>'Pro-Forma P&amp;L'!C23</f>
        <v/>
      </c>
      <c r="D19" s="6">
        <f>'Pro-Forma P&amp;L'!D23</f>
        <v/>
      </c>
      <c r="E19" s="6">
        <f>'Pro-Forma P&amp;L'!E23</f>
        <v/>
      </c>
      <c r="F19" s="6">
        <f>'Pro-Forma P&amp;L'!F23</f>
        <v/>
      </c>
    </row>
    <row r="20" ht="30" customHeight="1">
      <c r="A20" t="inlineStr">
        <is>
          <t>less: capex</t>
        </is>
      </c>
      <c r="B20" s="6">
        <f>-('Pro-Forma P&amp;L'!B6*0.055+'Pro-Forma P&amp;L'!B13*0.025)</f>
        <v/>
      </c>
      <c r="C20" s="6">
        <f>-('Pro-Forma P&amp;L'!C6*0.055+'Pro-Forma P&amp;L'!C13*0.025)</f>
        <v/>
      </c>
      <c r="D20" s="6">
        <f>-('Pro-Forma P&amp;L'!D6*0.055+'Pro-Forma P&amp;L'!D13*0.025)</f>
        <v/>
      </c>
      <c r="E20" s="6">
        <f>-('Pro-Forma P&amp;L'!E6*0.055+'Pro-Forma P&amp;L'!E13*0.025)</f>
        <v/>
      </c>
      <c r="F20" s="6">
        <f>-('Pro-Forma P&amp;L'!F6*0.055+'Pro-Forma P&amp;L'!F13*0.025)</f>
        <v/>
      </c>
      <c r="H20" s="21" t="inlineStr">
        <is>
          <t>Sun 5.5% of revenue, Organon 2.5% — the acquired business is asset-light</t>
        </is>
      </c>
    </row>
    <row r="21" ht="30" customHeight="1">
      <c r="A21" t="inlineStr">
        <is>
          <t>less: increase in working capital</t>
        </is>
      </c>
      <c r="B21" s="6">
        <f>-MAX(0,'Pro-Forma P&amp;L'!B6-58462)*0.15</f>
        <v/>
      </c>
      <c r="C21" s="6">
        <f>-MAX(0,'Pro-Forma P&amp;L'!C6-'Pro-Forma P&amp;L'!B6)*0.15</f>
        <v/>
      </c>
      <c r="D21" s="6">
        <f>-(MAX(0,'Pro-Forma P&amp;L'!D6-'Pro-Forma P&amp;L'!C6)+MAX(0,'Pro-Forma P&amp;L'!D13-'Pro-Forma P&amp;L'!C13))*0.15</f>
        <v/>
      </c>
      <c r="E21" s="6">
        <f>-(MAX(0,'Pro-Forma P&amp;L'!E6-'Pro-Forma P&amp;L'!D6)+MAX(0,'Pro-Forma P&amp;L'!E13-'Pro-Forma P&amp;L'!D13))*0.15</f>
        <v/>
      </c>
      <c r="F21" s="6">
        <f>-(MAX(0,'Pro-Forma P&amp;L'!F6-'Pro-Forma P&amp;L'!E6)+MAX(0,'Pro-Forma P&amp;L'!F13-'Pro-Forma P&amp;L'!E13))*0.15</f>
        <v/>
      </c>
      <c r="H21" s="21" t="inlineStr">
        <is>
          <t>15% of ORGANIC revenue growth. Organon's working capital arrives inside the US$11.75bn EV, so the consolidation step-up is not charged again</t>
        </is>
      </c>
    </row>
    <row r="22">
      <c r="A22" t="inlineStr">
        <is>
          <t>FREE CASH FLOW TO THE FIRM</t>
        </is>
      </c>
      <c r="B22" s="24">
        <f>B18+B19+B20+B21</f>
        <v/>
      </c>
      <c r="C22" s="24">
        <f>C18+C19+C20+C21</f>
        <v/>
      </c>
      <c r="D22" s="24">
        <f>D18+D19+D20+D21</f>
        <v/>
      </c>
      <c r="E22" s="24">
        <f>E18+E19+E20+E21</f>
        <v/>
      </c>
      <c r="F22" s="24">
        <f>F18+F19+F20+F21</f>
        <v/>
      </c>
    </row>
    <row r="23" ht="30" customHeight="1">
      <c r="A23" t="inlineStr">
        <is>
          <t>Years from 04-Sep-2026</t>
        </is>
      </c>
      <c r="B23" s="12" t="n">
        <v>0.5694729637234771</v>
      </c>
      <c r="C23" s="12" t="n">
        <v>1.571526351813826</v>
      </c>
      <c r="D23" s="12" t="n">
        <v>2.570841889117043</v>
      </c>
      <c r="E23" s="12" t="n">
        <v>3.57015742642026</v>
      </c>
      <c r="F23" s="12" t="n">
        <v>4.569472963723477</v>
      </c>
      <c r="H23" s="21" t="inlineStr">
        <is>
          <t>fractional-year discounting to each fiscal year end</t>
        </is>
      </c>
    </row>
    <row r="24">
      <c r="A24" t="inlineStr">
        <is>
          <t>Discount factor at WACC</t>
        </is>
      </c>
      <c r="B24" s="26">
        <f>1/(1+$B$12)^B23</f>
        <v/>
      </c>
      <c r="C24" s="26">
        <f>1/(1+$B$12)^C23</f>
        <v/>
      </c>
      <c r="D24" s="26">
        <f>1/(1+$B$12)^D23</f>
        <v/>
      </c>
      <c r="E24" s="26">
        <f>1/(1+$B$12)^E23</f>
        <v/>
      </c>
      <c r="F24" s="26">
        <f>1/(1+$B$12)^F23</f>
        <v/>
      </c>
    </row>
    <row r="25">
      <c r="A25" t="inlineStr">
        <is>
          <t>PV of FCFF</t>
        </is>
      </c>
      <c r="B25" s="6">
        <f>B22*B24</f>
        <v/>
      </c>
      <c r="C25" s="6">
        <f>C22*C24</f>
        <v/>
      </c>
      <c r="D25" s="6">
        <f>D22*D24</f>
        <v/>
      </c>
      <c r="E25" s="6">
        <f>E22*E24</f>
        <v/>
      </c>
      <c r="F25" s="6">
        <f>F22*F24</f>
        <v/>
      </c>
    </row>
    <row r="27">
      <c r="A27" s="3" t="inlineStr">
        <is>
          <t>VALUE</t>
        </is>
      </c>
      <c r="B27" s="4" t="n"/>
      <c r="C27" s="4" t="n"/>
      <c r="D27" s="4" t="n"/>
      <c r="E27" s="4" t="n"/>
      <c r="F27" s="4" t="n"/>
      <c r="G27" s="4" t="n"/>
      <c r="H27" s="4" t="n"/>
    </row>
    <row r="28">
      <c r="A28" t="inlineStr">
        <is>
          <t>PV of explicit-period FCFF (₹ cr)</t>
        </is>
      </c>
      <c r="B28" s="6">
        <f>SUM(B25:F25)</f>
        <v/>
      </c>
    </row>
    <row r="29">
      <c r="A29" t="inlineStr">
        <is>
          <t>Exit multiple on FY2031E EBITDA (x)</t>
        </is>
      </c>
      <c r="B29" s="16">
        <f>B49</f>
        <v/>
      </c>
      <c r="D29" s="2" t="inlineStr">
        <is>
          <t>vs 23.9x Sun trades on today and 6.9-8.4x for Viatris/Organon — see Peers sheet</t>
        </is>
      </c>
    </row>
    <row r="30">
      <c r="A30" t="inlineStr">
        <is>
          <t>Terminal value at FY2031 (₹ cr)</t>
        </is>
      </c>
      <c r="B30" s="6">
        <f>B29*'Pro-Forma P&amp;L'!F22</f>
        <v/>
      </c>
    </row>
    <row r="31">
      <c r="A31" t="inlineStr">
        <is>
          <t>PV of terminal value (₹ cr)</t>
        </is>
      </c>
      <c r="B31" s="6">
        <f>B30/(1+$B$12)^F23</f>
        <v/>
      </c>
    </row>
    <row r="32">
      <c r="A32" t="inlineStr">
        <is>
          <t>ENTERPRISE VALUE (₹ cr)</t>
        </is>
      </c>
      <c r="B32" s="6">
        <f>B28+B31</f>
        <v/>
      </c>
    </row>
    <row r="33">
      <c r="A33" t="inlineStr">
        <is>
          <t>Terminal share of EV</t>
        </is>
      </c>
      <c r="B33" s="11">
        <f>B31/B32</f>
        <v/>
      </c>
      <c r="D33" s="2" t="inlineStr">
        <is>
          <t>high — which is why this method carries the smallest weight</t>
        </is>
      </c>
    </row>
    <row r="34">
      <c r="A34" t="inlineStr">
        <is>
          <t>less: acquisition debt (₹ cr)</t>
        </is>
      </c>
      <c r="B34" s="6">
        <f>-Valuation!B15</f>
        <v/>
      </c>
    </row>
    <row r="35">
      <c r="A35" t="inlineStr">
        <is>
          <t>Equity value (₹ cr)</t>
        </is>
      </c>
      <c r="B35" s="6">
        <f>B32+B34</f>
        <v/>
      </c>
    </row>
    <row r="36">
      <c r="A36" s="10" t="inlineStr">
        <is>
          <t>METHOD 1 — VALUE PER SHARE (₹)</t>
        </is>
      </c>
      <c r="B36" s="27">
        <f>B35/Overview!B7</f>
        <v/>
      </c>
    </row>
    <row r="38" ht="34" customHeight="1">
      <c r="A38" s="21" t="inlineStr">
        <is>
          <t>Sanity check against the company. Sun guides combined free cash flow of about US$2.5bn — roughly ₹22,100 crore. Our FY2028E FCFF, the first full combined year, is ₹22,890 crore, a 3.5% variance against a figure we did not fit to. That is the strongest external validation in this model.</t>
        </is>
      </c>
    </row>
    <row r="40">
      <c r="A40" t="inlineStr">
        <is>
          <t>Company-guided combined free cash flow (US$bn)</t>
        </is>
      </c>
      <c r="B40" s="16" t="n">
        <v>2.5</v>
      </c>
    </row>
    <row r="41">
      <c r="A41" t="inlineStr">
        <is>
          <t xml:space="preserve">  = ₹ cr at 88.5</t>
        </is>
      </c>
      <c r="B41" s="6">
        <f>B40*8850</f>
        <v/>
      </c>
    </row>
    <row r="42">
      <c r="A42" t="inlineStr">
        <is>
          <t>Our FY2028E FCFF (₹ cr)</t>
        </is>
      </c>
      <c r="B42" s="6">
        <f>C22</f>
        <v/>
      </c>
    </row>
    <row r="43">
      <c r="A43" t="inlineStr">
        <is>
          <t>Variance vs the company's own figure</t>
        </is>
      </c>
      <c r="B43" s="19">
        <f>B42/B41-1</f>
        <v/>
      </c>
      <c r="D43" s="2" t="inlineStr">
        <is>
          <t>we did not fit to this — it is an independent check on the cash-flow build</t>
        </is>
      </c>
    </row>
    <row r="45">
      <c r="A45" s="3" t="inlineStr">
        <is>
          <t>EXIT MULTIPLE — the two anchors that bracket our 13.0x</t>
        </is>
      </c>
      <c r="B45" s="4" t="n"/>
      <c r="C45" s="4" t="n"/>
      <c r="D45" s="4" t="n"/>
      <c r="E45" s="4" t="n"/>
      <c r="F45" s="4" t="n"/>
      <c r="G45" s="4" t="n"/>
      <c r="H45" s="4" t="n"/>
    </row>
    <row r="46">
      <c r="A46" t="inlineStr">
        <is>
          <t>Our own SOTP applied to the FY2031 EBITDA mix (x)</t>
        </is>
      </c>
      <c r="B46" s="12">
        <f>(Valuation!B30*'Pro-Forma P&amp;L'!F9+Valuation!B31*'Pro-Forma P&amp;L'!F15)/('Pro-Forma P&amp;L'!F9+'Pro-Forma P&amp;L'!F15)</f>
        <v/>
      </c>
      <c r="D46" s="2" t="inlineStr">
        <is>
          <t>20x Sun + 7x Organon on the FY2031 mix — the model's own logic says this</t>
        </is>
      </c>
    </row>
    <row r="47">
      <c r="A47" t="inlineStr">
        <is>
          <t>Implied perpetuity growth at our 13.0x exit</t>
        </is>
      </c>
      <c r="B47" s="13">
        <f>($B$12*B30-F22)/(B30+F22)</f>
        <v/>
      </c>
      <c r="D47" s="2" t="inlineStr">
        <is>
          <t>solve g from TV = FCFF(1+g)/(WACC-g)</t>
        </is>
      </c>
    </row>
    <row r="48">
      <c r="A48" t="inlineStr">
        <is>
          <t>memo: FY2031E combined revenue growth</t>
        </is>
      </c>
      <c r="B48" s="13">
        <f>'Pro-Forma P&amp;L'!F21/'Pro-Forma P&amp;L'!E21-1</f>
        <v/>
      </c>
      <c r="D48" s="2" t="inlineStr">
        <is>
          <t>our own terminal-year growth — the perpetuity implied by 13x is ABOVE it</t>
        </is>
      </c>
    </row>
    <row r="49">
      <c r="A49" t="inlineStr">
        <is>
          <t>Exit multiple used</t>
        </is>
      </c>
      <c r="B49" s="15" t="n">
        <v>13</v>
      </c>
      <c r="D49" s="2" t="inlineStr">
        <is>
          <t>a deliberate midpoint. The SOTP anchor says higher, the perpetuity arithmetic says lower. Both are printed so a reader can disagree.</t>
        </is>
      </c>
    </row>
    <row r="51" ht="44" customHeight="1">
      <c r="A51" s="21" t="inlineStr">
        <is>
          <t>An adversarial review found that the 13.0x exit was asserted and never justified, while carrying 30% of the weight through a terminal value that is ~80% of enterprise value. It is now bracketed: our own sum-of-the-parts implies 15.0x on the FY2031 mix, and the perpetuity growth embedded in 13.0x is 6.4% against terminal-year revenue growth of 4.5%. 13.0x is a deliberate midpoint between a multiple anchor that is too generous and a perpetuity anchor that is too harsh, and the sensitivity grid now flexes it.</t>
        </is>
      </c>
    </row>
  </sheetData>
  <mergeCells count="3">
    <mergeCell ref="A38:H38"/>
    <mergeCell ref="A2:H2"/>
    <mergeCell ref="A51:H51"/>
  </mergeCells>
  <pageMargins left="0.3" right="0.3" top="0.4" bottom="0.4"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G56"/>
  <sheetViews>
    <sheetView workbookViewId="0">
      <selection activeCell="A1" sqref="A1"/>
    </sheetView>
  </sheetViews>
  <sheetFormatPr baseColWidth="8" defaultRowHeight="15"/>
  <cols>
    <col width="44" customWidth="1" min="1" max="1"/>
    <col width="16" customWidth="1" min="2" max="2"/>
    <col width="20" customWidth="1" min="3" max="3"/>
    <col width="16" customWidth="1" min="4" max="4"/>
    <col width="42" customWidth="1" min="5" max="5"/>
    <col width="34" customWidth="1" min="6" max="6"/>
    <col width="14" customWidth="1" min="7" max="7"/>
  </cols>
  <sheetData>
    <row r="1">
      <c r="A1" s="9" t="inlineStr">
        <is>
          <t>Sun Pharma — Peers and the Street</t>
        </is>
      </c>
    </row>
    <row r="2">
      <c r="A2" s="2" t="inlineStr">
        <is>
          <t>Peer rows at the 04-Sep-2026 close (Screener/C-MOTS). Broker targets are individually sourced and dated; see the note on vendor disagreement below.</t>
        </is>
      </c>
    </row>
    <row r="4">
      <c r="A4" s="7" t="inlineStr">
        <is>
          <t>Company</t>
        </is>
      </c>
      <c r="B4" s="7" t="inlineStr">
        <is>
          <t>CMP (₹)</t>
        </is>
      </c>
      <c r="C4" s="7" t="inlineStr">
        <is>
          <t>Trailing P/E (x)</t>
        </is>
      </c>
      <c r="D4" s="7" t="inlineStr">
        <is>
          <t>Mkt cap (₹ cr)</t>
        </is>
      </c>
      <c r="E4" s="7" t="inlineStr">
        <is>
          <t>Qtr sales var (%)</t>
        </is>
      </c>
      <c r="F4" s="7" t="inlineStr">
        <is>
          <t>Qtr profit var (%)</t>
        </is>
      </c>
      <c r="G4" s="7" t="inlineStr">
        <is>
          <t>ROCE (%)</t>
        </is>
      </c>
    </row>
    <row r="5">
      <c r="A5" s="22" t="inlineStr">
        <is>
          <t>Sun Pharma</t>
        </is>
      </c>
      <c r="B5" s="23" t="n">
        <v>1899</v>
      </c>
      <c r="C5" s="23" t="n">
        <v>37.67109700456259</v>
      </c>
      <c r="D5" s="24">
        <f>Overview!B8</f>
        <v/>
      </c>
      <c r="E5" s="23" t="n">
        <v>10.46</v>
      </c>
      <c r="F5" s="23" t="n">
        <v>5.95</v>
      </c>
      <c r="G5" s="23" t="n">
        <v>20.53</v>
      </c>
    </row>
    <row r="6">
      <c r="A6" s="25" t="inlineStr">
        <is>
          <t>Divi's Laboratories</t>
        </is>
      </c>
      <c r="B6" s="5" t="n">
        <v>9250</v>
      </c>
      <c r="C6" s="5" t="n">
        <v>82.42</v>
      </c>
      <c r="D6" s="6" t="n">
        <v>245558</v>
      </c>
      <c r="E6" s="5" t="n">
        <v>27.8</v>
      </c>
      <c r="F6" s="5" t="n">
        <v>65.5</v>
      </c>
      <c r="G6" s="5" t="n">
        <v>21.97</v>
      </c>
    </row>
    <row r="7">
      <c r="A7" s="25" t="inlineStr">
        <is>
          <t>Torrent Pharmaceuticals</t>
        </is>
      </c>
      <c r="B7" s="5" t="n">
        <v>4905.5</v>
      </c>
      <c r="C7" s="5" t="n">
        <v>83.63</v>
      </c>
      <c r="D7" s="6" t="n">
        <v>186589</v>
      </c>
      <c r="E7" s="5" t="n">
        <v>54.85</v>
      </c>
      <c r="F7" s="5" t="n">
        <v>5.79</v>
      </c>
      <c r="G7" s="5" t="n">
        <v>15.19</v>
      </c>
    </row>
    <row r="8">
      <c r="A8" s="25" t="inlineStr">
        <is>
          <t>Zydus Lifesciences</t>
        </is>
      </c>
      <c r="B8" s="5" t="n">
        <v>1143</v>
      </c>
      <c r="C8" s="5" t="n">
        <v>23.42</v>
      </c>
      <c r="D8" s="6" t="n">
        <v>114015</v>
      </c>
      <c r="E8" s="5" t="n">
        <v>21.96</v>
      </c>
      <c r="F8" s="5" t="n">
        <v>-35.09</v>
      </c>
      <c r="G8" s="5" t="n">
        <v>21.14</v>
      </c>
    </row>
    <row r="9">
      <c r="A9" s="25" t="inlineStr">
        <is>
          <t>Cipla</t>
        </is>
      </c>
      <c r="B9" s="5" t="n">
        <v>1394.7</v>
      </c>
      <c r="C9" s="5" t="n">
        <v>31.48</v>
      </c>
      <c r="D9" s="6" t="n">
        <v>112672</v>
      </c>
      <c r="E9" s="5" t="n">
        <v>2.33</v>
      </c>
      <c r="F9" s="5" t="n">
        <v>-39.19</v>
      </c>
      <c r="G9" s="5" t="n">
        <v>15.49</v>
      </c>
    </row>
    <row r="10">
      <c r="A10" s="25" t="inlineStr">
        <is>
          <t>Laurus Labs</t>
        </is>
      </c>
      <c r="B10" s="5" t="n">
        <v>1868.5</v>
      </c>
      <c r="C10" s="5" t="n">
        <v>92.34</v>
      </c>
      <c r="D10" s="6" t="n">
        <v>100957</v>
      </c>
      <c r="E10" s="5" t="n">
        <v>29.1</v>
      </c>
      <c r="F10" s="5" t="n">
        <v>125.49</v>
      </c>
      <c r="G10" s="5" t="n">
        <v>17.76</v>
      </c>
    </row>
    <row r="11">
      <c r="A11" s="25" t="inlineStr">
        <is>
          <t>Mankind Pharma</t>
        </is>
      </c>
      <c r="B11" s="5" t="n">
        <v>2368.8</v>
      </c>
      <c r="C11" s="5" t="n">
        <v>45.88</v>
      </c>
      <c r="D11" s="6" t="n">
        <v>97842</v>
      </c>
      <c r="E11" s="5" t="n">
        <v>12.89</v>
      </c>
      <c r="F11" s="5" t="n">
        <v>29.6</v>
      </c>
      <c r="G11" s="5" t="n">
        <v>13.53</v>
      </c>
    </row>
    <row r="13" ht="34.5" customHeight="1">
      <c r="A13" s="21" t="inlineStr">
        <is>
          <t>Note on the sector median. An earlier draft printed a 34.13x median across 158 listed Indian pharmaceutical companies. Screener's industry page returns 218 companies and its peer API serves a wrong-industry set for this ticker, so we could not reproduce that figure and have dropped it. The peers above are individually verified; the median is not.</t>
        </is>
      </c>
    </row>
    <row r="15">
      <c r="A15" s="3" t="inlineStr">
        <is>
          <t>BROKER TARGETS — individually sourced</t>
        </is>
      </c>
      <c r="B15" s="4" t="n"/>
      <c r="C15" s="4" t="n"/>
      <c r="D15" s="4" t="n"/>
      <c r="E15" s="4" t="n"/>
      <c r="F15" s="4" t="n"/>
      <c r="G15" s="4" t="n"/>
    </row>
    <row r="16">
      <c r="A16" s="7" t="inlineStr">
        <is>
          <t>House</t>
        </is>
      </c>
      <c r="B16" s="7" t="inlineStr">
        <is>
          <t>Target (₹)</t>
        </is>
      </c>
      <c r="C16" s="7" t="inlineStr">
        <is>
          <t>Rating</t>
        </is>
      </c>
      <c r="D16" s="7" t="inlineStr">
        <is>
          <t>Date</t>
        </is>
      </c>
      <c r="E16" s="7" t="inlineStr">
        <is>
          <t>vs price</t>
        </is>
      </c>
    </row>
    <row r="17">
      <c r="A17" t="inlineStr">
        <is>
          <t>Motilal Oswal</t>
        </is>
      </c>
      <c r="B17" s="6" t="n">
        <v>2310</v>
      </c>
      <c r="C17" t="inlineStr">
        <is>
          <t>Buy</t>
        </is>
      </c>
      <c r="D17" t="inlineStr">
        <is>
          <t>01-Aug-2026</t>
        </is>
      </c>
      <c r="E17" s="11">
        <f>B17/Overview!B6-1</f>
        <v/>
      </c>
      <c r="F17" s="2" t="inlineStr">
        <is>
          <t>38x 12-month-forward earnings; note dated 1-Aug (SUNP-20260801-MOFSL), republished 4-Aug. Flags Organon on track to close 4QFY27.</t>
        </is>
      </c>
    </row>
    <row r="18">
      <c r="A18" t="inlineStr">
        <is>
          <t>Bernstein</t>
        </is>
      </c>
      <c r="B18" s="6" t="n">
        <v>2235</v>
      </c>
      <c r="C18" t="inlineStr">
        <is>
          <t>Outperform</t>
        </is>
      </c>
      <c r="D18" t="inlineStr">
        <is>
          <t>02-Sep-2026</t>
        </is>
      </c>
      <c r="E18" s="11">
        <f>B18/Overview!B6-1</f>
        <v/>
      </c>
      <c r="F18" s="2" t="inlineStr">
        <is>
          <t>MFN reaction note; sizes Sun's innovative business at US$1.2-1.3bn</t>
        </is>
      </c>
    </row>
    <row r="19">
      <c r="A19" t="inlineStr">
        <is>
          <t>HSBC</t>
        </is>
      </c>
      <c r="B19" s="6" t="n">
        <v>2120</v>
      </c>
      <c r="C19" t="inlineStr">
        <is>
          <t>Buy</t>
        </is>
      </c>
      <c r="D19" t="inlineStr">
        <is>
          <t>02-Sep-2026</t>
        </is>
      </c>
      <c r="E19" s="11">
        <f>B19/Overview!B6-1</f>
        <v/>
      </c>
      <c r="F19" s="2" t="inlineStr">
        <is>
          <t>MFN reaction note; says tariff concerns removed for the next two years</t>
        </is>
      </c>
    </row>
    <row r="21">
      <c r="A21" s="3" t="inlineStr">
        <is>
          <t>CONSENSUS — the vendors do not agree, and that matters</t>
        </is>
      </c>
      <c r="B21" s="4" t="n"/>
      <c r="C21" s="4" t="n"/>
      <c r="D21" s="4" t="n"/>
      <c r="E21" s="4" t="n"/>
      <c r="F21" s="4" t="n"/>
      <c r="G21" s="4" t="n"/>
    </row>
    <row r="22">
      <c r="A22" s="7" t="inlineStr">
        <is>
          <t>Vendor</t>
        </is>
      </c>
      <c r="B22" s="7" t="inlineStr">
        <is>
          <t>Analysts</t>
        </is>
      </c>
      <c r="C22" s="7" t="inlineStr">
        <is>
          <t>Average (₹)</t>
        </is>
      </c>
      <c r="D22" s="7" t="inlineStr">
        <is>
          <t>High (₹)</t>
        </is>
      </c>
      <c r="E22" s="7" t="inlineStr">
        <is>
          <t>Low (₹)</t>
        </is>
      </c>
      <c r="F22" s="7" t="inlineStr">
        <is>
          <t>Implied vs ₹1,899</t>
        </is>
      </c>
    </row>
    <row r="23">
      <c r="A23" t="inlineStr">
        <is>
          <t>Investing.com</t>
        </is>
      </c>
      <c r="B23" t="n">
        <v>33</v>
      </c>
      <c r="C23" s="6" t="n">
        <v>2167</v>
      </c>
      <c r="D23" s="6" t="n">
        <v>2400</v>
      </c>
      <c r="E23" s="6" t="n">
        <v>1830</v>
      </c>
      <c r="F23" s="11">
        <f>C23/Overview!B6-1</f>
        <v/>
      </c>
    </row>
    <row r="24">
      <c r="A24" t="inlineStr">
        <is>
          <t>TradingView</t>
        </is>
      </c>
      <c r="B24" t="n">
        <v>35</v>
      </c>
      <c r="C24" s="6" t="n">
        <v>2059</v>
      </c>
      <c r="D24" s="6" t="n">
        <v>2450</v>
      </c>
      <c r="E24" s="6" t="n">
        <v>1625</v>
      </c>
      <c r="F24" s="11">
        <f>C24/Overview!B6-1</f>
        <v/>
      </c>
      <c r="G24" s="2" t="inlineStr">
        <is>
          <t>TradingView NSE:SUNPHARMA forecast page, live 06-Sep-2026 — CORRECTED from 39/₹1,923/₹1,525</t>
        </is>
      </c>
    </row>
    <row r="26" ht="44" customHeight="1">
      <c r="A26" s="21" t="inlineStr">
        <is>
          <t>CORRECTED. The two polls differ by about 5% on the average, not 13%: Investing.com ₹2,167 implies +13.1%, TradingView ₹2,059 implies +7.5%. The first version of this note said TradingView implied 'essentially none', which was wrong, and it said a third set — 34 analysts, ₹2,055 average, ₹1,650 low — 'could not be reproduced from any vendor'. That was also wrong: it is a stale Investing.com snapshot that the vendor still serves alongside the live one. Both corrections make us MORE of an outlier against consensus, not less.</t>
        </is>
      </c>
    </row>
    <row r="28">
      <c r="A28" s="3" t="inlineStr">
        <is>
          <t>THE STRONGEST ARGUMENT AGAINST THIS RATING</t>
        </is>
      </c>
      <c r="B28" s="4" t="n"/>
      <c r="C28" s="4" t="n"/>
      <c r="D28" s="4" t="n"/>
      <c r="E28" s="4" t="n"/>
      <c r="F28" s="4" t="n"/>
      <c r="G28" s="4" t="n"/>
    </row>
    <row r="29" ht="57.5" customHeight="1">
      <c r="A29" s="21" t="inlineStr">
        <is>
          <t>Every documented broker is materially above us and every one of them has seen the Organon deal. Motilal Oswal is at ₹2,310 on 38x forward earnings, Bernstein at ₹2,235, HSBC at ₹2,120. All three published after the deal was signed and two of them after the MFN agreement. They are not missing the leverage; they are underwriting the accretion and paying a higher multiple for it than we will. On the deal itself the arithmetic favours them: Sun is buying US$1.9bn of EBITDA at 6.2 times with paper that trades at 23.9 times, and the earnings accretion is roughly a third. If the combined entity deserves anything close to the multiple Sun commands today, we are wrong by a wide margin.</t>
        </is>
      </c>
    </row>
    <row r="31">
      <c r="A31" s="3" t="inlineStr">
        <is>
          <t>OUR ANSWER</t>
        </is>
      </c>
      <c r="B31" s="4" t="n"/>
      <c r="C31" s="4" t="n"/>
      <c r="D31" s="4" t="n"/>
      <c r="E31" s="4" t="n"/>
      <c r="F31" s="4" t="n"/>
      <c r="G31" s="4" t="n"/>
    </row>
    <row r="32" ht="69" customHeight="1">
      <c r="A32" s="21" t="inlineStr">
        <is>
          <t>We do not dispute the accretion — our own model shows FY2028E earnings per share rising about 29% to ₹73.55. We dispute what a levered consolidator of a declining asset deserves to trade on. Organon's revenue fell 3% in 2025 and is guided flat for 2026; Sun is paying 6.2 times for it precisely because it does not grow. After completion, roughly 46% of combined EBITDA comes from that no-growth business and net debt sits near 2.4 times EBITDA, against a company that today carries net cash. A 34x multiple describes the Sun that existed before April 2026. Our 26x describes what is arriving. The whole disagreement sits in that one number — and if the market keeps paying 34x through the transition, the shares are worth what they cost today.</t>
        </is>
      </c>
    </row>
    <row r="34">
      <c r="A34" s="3" t="inlineStr">
        <is>
          <t>THE COMPARATOR SET THAT ACTUALLY MATCHES WHAT SUN IS BECOMING</t>
        </is>
      </c>
      <c r="B34" s="4" t="n"/>
      <c r="C34" s="4" t="n"/>
      <c r="D34" s="4" t="n"/>
      <c r="E34" s="4" t="n"/>
      <c r="F34" s="4" t="n"/>
      <c r="G34" s="4" t="n"/>
    </row>
    <row r="35" ht="40" customHeight="1">
      <c r="A35" s="21" t="inlineStr">
        <is>
          <t>The Indian peers above are the wrong comparator for the post-deal company and we should say so plainly. None of them is levered, and none of them carries half its EBITDA in a declining Western asset. The right reference set is the listed levered pharma consolidators — the companies Sun will structurally resemble from FY2028. Their multiples are far below anything in the Indian table.</t>
        </is>
      </c>
    </row>
    <row r="37">
      <c r="A37" s="28" t="inlineStr">
        <is>
          <t>Levered / Western comparator</t>
        </is>
      </c>
      <c r="B37" s="28" t="inlineStr">
        <is>
          <t>EV/EBITDA (x)</t>
        </is>
      </c>
      <c r="C37" s="28" t="inlineStr">
        <is>
          <t>Forward EV/EBITDA (x)</t>
        </is>
      </c>
      <c r="D37" s="28" t="inlineStr">
        <is>
          <t>Forward P/E (x)</t>
        </is>
      </c>
      <c r="E37" s="28" t="inlineStr">
        <is>
          <t>What it is</t>
        </is>
      </c>
      <c r="F37" s="28" t="inlineStr">
        <is>
          <t>Source / date</t>
        </is>
      </c>
    </row>
    <row r="38">
      <c r="A38" t="inlineStr">
        <is>
          <t>Viatris (VTRS)</t>
        </is>
      </c>
      <c r="B38" t="n">
        <v>8.199999999999999</v>
      </c>
      <c r="C38" t="n">
        <v>6.9</v>
      </c>
      <c r="E38" s="2" t="inlineStr">
        <is>
          <t>Mylan+Upjohn merger; levered, declining base</t>
        </is>
      </c>
      <c r="F38" s="2" t="inlineStr">
        <is>
          <t>valueinvesting.io, 03-Sep-2026</t>
        </is>
      </c>
    </row>
    <row r="39">
      <c r="A39" t="inlineStr">
        <is>
          <t>Organon (OGN) standalone</t>
        </is>
      </c>
      <c r="B39" t="n">
        <v>8.4</v>
      </c>
      <c r="E39" s="2" t="inlineStr">
        <is>
          <t>the asset Sun is buying, as the market prices it — 8.4x current, 6.0x LTM</t>
        </is>
      </c>
      <c r="F39" s="2" t="inlineStr">
        <is>
          <t>GuruFocus 03-Aug-2026; LTM 6.0x</t>
        </is>
      </c>
    </row>
    <row r="40">
      <c r="A40" t="inlineStr">
        <is>
          <t>Teva (TEVA)</t>
        </is>
      </c>
      <c r="B40" t="n">
        <v>13.1</v>
      </c>
      <c r="D40" t="n">
        <v>13.05</v>
      </c>
      <c r="E40" s="2" t="inlineStr">
        <is>
          <t>post-Actavis; the cautionary precedent</t>
        </is>
      </c>
      <c r="F40" s="2" t="inlineStr">
        <is>
          <t>stockanalysis.com, 03-Sep-2026 (EV $55.9bn / TTM EBITDA $4.27bn). GuruFocus shows 32.98x on a GAAP basis — vendors disagree sharply.</t>
        </is>
      </c>
    </row>
    <row r="41">
      <c r="A41" s="10" t="inlineStr">
        <is>
          <t>— comparator range —</t>
        </is>
      </c>
      <c r="B41" t="inlineStr">
        <is>
          <t>6.0-13.1</t>
        </is>
      </c>
      <c r="C41" t="inlineStr">
        <is>
          <t>6.9 (Viatris)</t>
        </is>
      </c>
      <c r="D41" t="inlineStr">
        <is>
          <t>13.1</t>
        </is>
      </c>
      <c r="E41" s="2" t="inlineStr"/>
      <c r="F41" s="2" t="inlineStr"/>
    </row>
    <row r="42">
      <c r="A42" t="inlineStr">
        <is>
          <t>Sun Pharma today</t>
        </is>
      </c>
      <c r="B42" t="n">
        <v>23.9</v>
      </c>
      <c r="D42" t="n">
        <v>36.4</v>
      </c>
      <c r="E42" s="2" t="inlineStr">
        <is>
          <t>debt-free, Indian, growing</t>
        </is>
      </c>
      <c r="F42" s="2" t="inlineStr">
        <is>
          <t>Screener, 03-Sep-2026</t>
        </is>
      </c>
    </row>
    <row r="43">
      <c r="A43" s="10" t="inlineStr">
        <is>
          <t>OUR pro-forma assumption</t>
        </is>
      </c>
      <c r="B43" t="inlineStr">
        <is>
          <t>14.0 blended</t>
        </is>
      </c>
      <c r="D43" t="inlineStr">
        <is>
          <t>26.0</t>
        </is>
      </c>
      <c r="E43" s="2" t="inlineStr">
        <is>
          <t>20x Sun's business + 7x Organon</t>
        </is>
      </c>
      <c r="F43" s="2" t="inlineStr">
        <is>
          <t>this model</t>
        </is>
      </c>
    </row>
    <row r="45" ht="40" customHeight="1">
      <c r="A45" s="21" t="inlineStr">
        <is>
          <t>This cuts against us as much as for us, and both directions belong in the note. Our 7x for Organon sits squarely inside the 6.0-8.4x the market pays for Organon and Viatris — that assumption is well supported. But our 26x on the COMBINED entity is generous against this set, not conservative: Teva, the closest structural analogue, trades on about 15x forward earnings. A reader who thinks the market will eventually price post-deal Sun as a levered global consolidator rather than as an Indian pharma leader should regard our bear case of ₹1,231 as the base case, not the tail.</t>
        </is>
      </c>
    </row>
    <row r="47" ht="40" customHeight="1">
      <c r="A47" s="21" t="inlineStr">
        <is>
          <t>The defence of 26x. Sun keeps roughly 54% of combined EBITDA in a growing Indian and innovative franchise; leverage at 2.3x net (2.4x on gross acquisition debt) is a fraction of what Teva carried after Actavis; and an NSE-listed company is priced by domestic flows against domestic alternatives, not against Nasdaq generics. The honest range is 13x to 34x, and 26x is where we have put it — derived from the EBITDA mix on the Valuation sheet, not asserted. That single number carries the rating.</t>
        </is>
      </c>
    </row>
    <row r="49">
      <c r="A49" s="3" t="inlineStr">
        <is>
          <t>PRECEDENT — what other buyers have paid, and what happened after</t>
        </is>
      </c>
      <c r="B49" s="4" t="n"/>
      <c r="C49" s="4" t="n"/>
      <c r="D49" s="4" t="n"/>
      <c r="E49" s="4" t="n"/>
      <c r="F49" s="4" t="n"/>
      <c r="G49" s="4" t="n"/>
    </row>
    <row r="50">
      <c r="A50" s="28" t="inlineStr">
        <is>
          <t>Transaction</t>
        </is>
      </c>
      <c r="B50" s="28" t="inlineStr">
        <is>
          <t>EV/EBITDA paid</t>
        </is>
      </c>
      <c r="C50" s="28" t="inlineStr">
        <is>
          <t>Note</t>
        </is>
      </c>
    </row>
    <row r="51">
      <c r="A51" t="inlineStr">
        <is>
          <t>Sun / Organon (Apr-2026)</t>
        </is>
      </c>
      <c r="B51" s="10" t="inlineStr">
        <is>
          <t>6.2x</t>
        </is>
      </c>
      <c r="C51" s="2" t="inlineStr">
        <is>
          <t>US$11.75bn EV, all cash, $14.00/sh, 24% premium; net debt/EBITDA guided 2.3x</t>
        </is>
      </c>
    </row>
    <row r="52">
      <c r="A52" t="inlineStr">
        <is>
          <t>Mankind / Bharat Serums &amp; Vaccines</t>
        </is>
      </c>
      <c r="B52" s="10" t="inlineStr">
        <is>
          <t>over 20x</t>
        </is>
      </c>
      <c r="C52" s="2" t="inlineStr">
        <is>
          <t>Indian precedent — Sun paid roughly a third of this</t>
        </is>
      </c>
    </row>
    <row r="53">
      <c r="A53" t="inlineStr">
        <is>
          <t>Torrent / JB Chemicals</t>
        </is>
      </c>
      <c r="B53" s="10" t="inlineStr">
        <is>
          <t>over 20x</t>
        </is>
      </c>
      <c r="C53" s="2" t="inlineStr">
        <is>
          <t>Indian precedent</t>
        </is>
      </c>
    </row>
    <row r="54">
      <c r="A54" t="inlineStr">
        <is>
          <t>Teva / Actavis Generics (2016)</t>
        </is>
      </c>
      <c r="B54" s="10" t="inlineStr">
        <is>
          <t>not sourced</t>
        </is>
      </c>
      <c r="C54" s="2" t="inlineStr">
        <is>
          <t>US$40.5bn debt-funded. We could not source the EV/EBITDA to a dated figure and do not quote one; revenue subsequently fell ~20% from the pre-deal peak.</t>
        </is>
      </c>
    </row>
    <row r="56" ht="40" customHeight="1">
      <c r="A56" s="21" t="inlineStr">
        <is>
          <t>The strongest bull point in this whole note, and we had underweighted it. By Indian precedent Sun bought cheaply — 6.2x against the 20x-plus paid in recent domestic deals. The bear reading of the same fact is that the multiple is low because the asset does not grow, and that Teva paid a comparable ~11x for Actavis and spent the following decade repairing the balance sheet. Both readings are honest; we lean to the second because Organon's revenue is already falling.</t>
        </is>
      </c>
    </row>
  </sheetData>
  <mergeCells count="8">
    <mergeCell ref="A32:G32"/>
    <mergeCell ref="A13:G13"/>
    <mergeCell ref="A47:F47"/>
    <mergeCell ref="A45:F45"/>
    <mergeCell ref="A26:G26"/>
    <mergeCell ref="A29:G29"/>
    <mergeCell ref="A35:F35"/>
    <mergeCell ref="A56:F56"/>
  </mergeCells>
  <pageMargins left="0.3" right="0.3" top="0.4" bottom="0.4"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Debjit Mukherjee</dc:creator>
  <dc:title xmlns:dc="http://purl.org/dc/elements/1.1/">Sun Pharmaceutical Industries — Pro-Forma Model &amp; Valuation</dc:title>
  <dcterms:created xmlns:dcterms="http://purl.org/dc/terms/" xmlns:xsi="http://www.w3.org/2001/XMLSchema-instance" xsi:type="dcterms:W3CDTF">2026-09-04T08:32:35Z</dcterms:created>
  <dcterms:modified xmlns:dcterms="http://purl.org/dc/terms/" xmlns:xsi="http://www.w3.org/2001/XMLSchema-instance" xsi:type="dcterms:W3CDTF">2026-09-07T03:43:35Z</dcterms:modified>
  <cp:lastModifiedBy>Debjit Mukherjee</cp:lastModifiedBy>
</cp:coreProperties>
</file>