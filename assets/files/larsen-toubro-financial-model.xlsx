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debjitmukherjee/Desktop/IB INDEPENDENT/COVERAGE/LARSEN TOUBRO/"/>
    </mc:Choice>
  </mc:AlternateContent>
  <xr:revisionPtr revIDLastSave="0" documentId="13_ncr:1_{81F20B3D-DB30-2F4C-BFDD-BE6EDF51754D}" xr6:coauthVersionLast="47" xr6:coauthVersionMax="47" xr10:uidLastSave="{00000000-0000-0000-0000-000000000000}"/>
  <bookViews>
    <workbookView xWindow="0" yWindow="660" windowWidth="29400" windowHeight="18460" activeTab="1" xr2:uid="{00000000-000D-0000-FFFF-FFFF00000000}"/>
  </bookViews>
  <sheets>
    <sheet name="Overview" sheetId="1" r:id="rId1"/>
    <sheet name="The Parts" sheetId="2" r:id="rId2"/>
    <sheet name="Forecast" sheetId="3" r:id="rId3"/>
    <sheet name="Valuation" sheetId="4" r:id="rId4"/>
    <sheet name="Peers &amp; Street" sheetId="5" r:id="rId5"/>
  </sheets>
  <definedNames>
    <definedName name="_xlnm.Print_Area" localSheetId="2">Forecast!$A$1:$H$23</definedName>
    <definedName name="_xlnm.Print_Area" localSheetId="0">Overview!$A$1:$I$52</definedName>
    <definedName name="_xlnm.Print_Area" localSheetId="4">'Peers &amp; Street'!$A$1:$G$27</definedName>
    <definedName name="_xlnm.Print_Area" localSheetId="1">'The Parts'!$A$1:$H$32</definedName>
    <definedName name="_xlnm.Print_Area" localSheetId="3">Valuation!$A$1:$J$95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1" i="4" l="1"/>
  <c r="B44" i="4"/>
  <c r="B38" i="4" s="1"/>
  <c r="B26" i="4"/>
  <c r="B19" i="4"/>
  <c r="B62" i="4" s="1"/>
  <c r="B12" i="4"/>
  <c r="B11" i="4"/>
  <c r="B8" i="4"/>
  <c r="B7" i="4"/>
  <c r="F14" i="3"/>
  <c r="E14" i="3"/>
  <c r="D14" i="3"/>
  <c r="C14" i="3"/>
  <c r="B14" i="3"/>
  <c r="B19" i="2"/>
  <c r="G9" i="2"/>
  <c r="F9" i="2"/>
  <c r="B16" i="2" s="1"/>
  <c r="B17" i="2" s="1"/>
  <c r="E9" i="2"/>
  <c r="B13" i="2" s="1"/>
  <c r="B14" i="2" s="1"/>
  <c r="H8" i="2"/>
  <c r="D8" i="2"/>
  <c r="H7" i="2"/>
  <c r="D7" i="2"/>
  <c r="H6" i="2"/>
  <c r="H9" i="2" s="1"/>
  <c r="D6" i="2"/>
  <c r="D9" i="2" s="1"/>
  <c r="D65" i="1"/>
  <c r="D64" i="1"/>
  <c r="D63" i="1"/>
  <c r="D62" i="1"/>
  <c r="D60" i="1"/>
  <c r="D59" i="1"/>
  <c r="D58" i="1"/>
  <c r="D57" i="1"/>
  <c r="B43" i="1"/>
  <c r="C42" i="1"/>
  <c r="B42" i="1"/>
  <c r="B41" i="1"/>
  <c r="D40" i="1"/>
  <c r="D39" i="1"/>
  <c r="D38" i="1"/>
  <c r="D37" i="1"/>
  <c r="C36" i="1"/>
  <c r="B36" i="1"/>
  <c r="D36" i="1" s="1"/>
  <c r="D35" i="1"/>
  <c r="D34" i="1"/>
  <c r="B16" i="1"/>
  <c r="B13" i="1"/>
  <c r="B11" i="1"/>
  <c r="B28" i="2" s="1"/>
  <c r="B8" i="1"/>
  <c r="B24" i="2" s="1"/>
  <c r="F21" i="5" l="1"/>
  <c r="F17" i="5"/>
  <c r="F16" i="5"/>
  <c r="C97" i="4"/>
  <c r="I80" i="4"/>
  <c r="J80" i="4" s="1"/>
  <c r="F19" i="5"/>
  <c r="F20" i="5"/>
  <c r="F18" i="5"/>
  <c r="I78" i="4"/>
  <c r="J78" i="4" s="1"/>
  <c r="B20" i="2"/>
  <c r="B21" i="2" s="1"/>
  <c r="B12" i="3"/>
  <c r="C12" i="3" s="1"/>
  <c r="D12" i="3" s="1"/>
  <c r="E12" i="3" s="1"/>
  <c r="F12" i="3" s="1"/>
  <c r="B25" i="2"/>
  <c r="B37" i="2"/>
  <c r="B13" i="4"/>
  <c r="B26" i="2"/>
  <c r="B18" i="2"/>
  <c r="B11" i="3" l="1"/>
  <c r="B10" i="3"/>
  <c r="B30" i="2"/>
  <c r="B50" i="4"/>
  <c r="B22" i="4"/>
  <c r="B23" i="4"/>
  <c r="B27" i="2"/>
  <c r="B29" i="2"/>
  <c r="C11" i="3" l="1"/>
  <c r="B16" i="3"/>
  <c r="B40" i="4"/>
  <c r="B42" i="4" s="1"/>
  <c r="B13" i="3"/>
  <c r="B15" i="3" s="1"/>
  <c r="B35" i="2" l="1"/>
  <c r="B94" i="4" s="1"/>
  <c r="B38" i="2"/>
  <c r="D11" i="3"/>
  <c r="C16" i="3"/>
  <c r="B19" i="3"/>
  <c r="C40" i="4"/>
  <c r="C42" i="4" s="1"/>
  <c r="B15" i="4"/>
  <c r="B25" i="4" s="1"/>
  <c r="B27" i="4" s="1"/>
  <c r="B28" i="4" s="1"/>
  <c r="B56" i="4" s="1"/>
  <c r="C13" i="3"/>
  <c r="C15" i="3" s="1"/>
  <c r="E11" i="3" l="1"/>
  <c r="D16" i="3"/>
  <c r="D13" i="3"/>
  <c r="D15" i="3" s="1"/>
  <c r="D40" i="4"/>
  <c r="D42" i="4" s="1"/>
  <c r="C56" i="4"/>
  <c r="B16" i="4"/>
  <c r="B33" i="4" s="1"/>
  <c r="B34" i="4" s="1"/>
  <c r="B57" i="4" s="1"/>
  <c r="C57" i="4" s="1"/>
  <c r="B20" i="3"/>
  <c r="B36" i="2"/>
  <c r="F11" i="3" l="1"/>
  <c r="E13" i="3"/>
  <c r="E15" i="3" s="1"/>
  <c r="E16" i="3"/>
  <c r="E40" i="4"/>
  <c r="E42" i="4" s="1"/>
  <c r="F13" i="3" l="1"/>
  <c r="F15" i="3" s="1"/>
  <c r="F16" i="3"/>
  <c r="F40" i="4"/>
  <c r="F42" i="4" l="1"/>
  <c r="B43" i="4" s="1"/>
  <c r="B45" i="4"/>
  <c r="B46" i="4" l="1"/>
  <c r="B48" i="4"/>
  <c r="B49" i="4" l="1"/>
  <c r="B52" i="4" s="1"/>
  <c r="B58" i="4" s="1"/>
  <c r="B47" i="4"/>
  <c r="B60" i="4" l="1"/>
  <c r="C58" i="4"/>
  <c r="H79" i="4" l="1"/>
  <c r="I79" i="4" s="1"/>
  <c r="J79" i="4" s="1"/>
  <c r="B61" i="4"/>
  <c r="B63" i="4" s="1"/>
  <c r="B64" i="4" s="1"/>
</calcChain>
</file>

<file path=xl/sharedStrings.xml><?xml version="1.0" encoding="utf-8"?>
<sst xmlns="http://schemas.openxmlformats.org/spreadsheetml/2006/main" count="422" uniqueCount="383">
  <si>
    <t>Larsen &amp; Toubro Ltd (NSE: LT) — Sum-of-the-Parts Model &amp; Valuation</t>
  </si>
  <si>
    <t>A conglomerate is valued by its parts. L&amp;T holds controlling stakes in three separately listed companies whose market values are observable, so most of this model is arithmetic rather than assumption. The judgement sits in one place: what the unlisted core engineering business is worth.</t>
  </si>
  <si>
    <t>SNAPSHOT — 16 September 2026</t>
  </si>
  <si>
    <t>Live price (₹, close 16-Sep-2026)</t>
  </si>
  <si>
    <t>verified against the Screener session stamp (16 Sep 4:01 p.m.); ₹3,850 on 15-Sep</t>
  </si>
  <si>
    <t>verified against the Screener session stamp (16 Sep 4:01 p.m.); ₹3,850.7 on 15-Sep. Stock closed ₹3,819.50 on 17-Sep — our strike survives the next session to within ₹0.50.</t>
  </si>
  <si>
    <t>Shares outstanding (cr)</t>
  </si>
  <si>
    <t>1,375,768,535 shares outstanding (companiesmarketcap, 2026) = 137.58 cr — verified independently, not derived from mcap ÷ price. L&amp;T allotted 28,903 ESOP shares on 15-Sep-2026; ESOP drift is immaterial.</t>
  </si>
  <si>
    <t>Market capitalisation (₹ cr)</t>
  </si>
  <si>
    <t>52-week range (₹)</t>
  </si>
  <si>
    <t>4,440 / 3,288</t>
  </si>
  <si>
    <t>13.3% below the 52-week high</t>
  </si>
  <si>
    <t>TTM EPS (₹)</t>
  </si>
  <si>
    <t>Trailing P/E, computed (x)</t>
  </si>
  <si>
    <t>Screener prints 30.2x on a marginally different base</t>
  </si>
  <si>
    <t>Book value per share (₹)</t>
  </si>
  <si>
    <t>Price / book (x)</t>
  </si>
  <si>
    <t>against ROE of 15.9%</t>
  </si>
  <si>
    <t>TTM revenue (₹ cr)</t>
  </si>
  <si>
    <t>TTM operating profit (₹ cr)</t>
  </si>
  <si>
    <t>TTM operating margin (%)</t>
  </si>
  <si>
    <t>17.3% in FY2021 — see the margin path below</t>
  </si>
  <si>
    <t>Return on capital employed (%)</t>
  </si>
  <si>
    <t>Return on equity (%)</t>
  </si>
  <si>
    <t>Dividend yield (%)</t>
  </si>
  <si>
    <t>payout 33.1%</t>
  </si>
  <si>
    <t>India 10-yr G-sec (%, 11-Sep-2026)</t>
  </si>
  <si>
    <t>three-month high; up from 6.95% on 3-Sep</t>
  </si>
  <si>
    <t>Promoter holding</t>
  </si>
  <si>
    <t>NONE — professionally managed</t>
  </si>
  <si>
    <t>FII 19.1%, DII 43.0%, public 37.6% (Jun-2026)</t>
  </si>
  <si>
    <t>ENTITY CHECK — corporate actions live at the valuation date</t>
  </si>
  <si>
    <t>Hyderabad Metro exit</t>
  </si>
  <si>
    <t>₹1,461.47 cr, entire stake to Hyderabad Metro Rail Ltd (Telangana govt). Completion deadline 30-Sep-2026 — three days after publication, already extended once from FY26-end (revised 01-Jul-2026). Completion also deconsolidates about ₹13,000 cr of project debt from the balance sheet, which is materially larger than the cash consideration.</t>
  </si>
  <si>
    <t>Realty demerger</t>
  </si>
  <si>
    <t>Realty Undertaking to L&amp;T Realty Properties Ltd, slump sale ₹6,296.63 cr, appointed date 01-Apr-2026. Shareholders approved on 04-Aug-2026 with 99.07% of votes cast in favour; NCLT second-motion hearing 06-Oct-2026.</t>
  </si>
  <si>
    <t>Acquisition</t>
  </si>
  <si>
    <t>International Green Scapes (Gurugram real estate), ₹1,123 cr, completed 13-Apr-2026.</t>
  </si>
  <si>
    <t>Order win</t>
  </si>
  <si>
    <t>Three Middle East BESS projects totalling 6 GWh, 25-Aug-2026.</t>
  </si>
  <si>
    <t>Credit</t>
  </si>
  <si>
    <t>CRISIL reaffirmed AAA (04-Sep); India Ratings IND AAA Stable (01-Sep).</t>
  </si>
  <si>
    <t>Realty slump-sale consideration (₹ cr)</t>
  </si>
  <si>
    <t>L&amp;T Realty Properties Ltd, appointed date 01-Apr-2026</t>
  </si>
  <si>
    <t>No transformational M&amp;A, demerger out of the group, or capital raise. The realty move is internal and the Metro exit removes a chronic loss-maker for cash. Unlike the Sun Pharma case that prompted this check, the entity being valued here is the entity that will exist.</t>
  </si>
  <si>
    <t>Metro project debt deconsolidated on completion (₹ cr)</t>
  </si>
  <si>
    <t>L&amp;T disclosed Hyderabad Metro debt of ~₹130bn taken over by the buyer (Q2FY26 call). A bull point we carry explicitly.</t>
  </si>
  <si>
    <t>Q1 FY2027 — WHERE THE PROFIT GROWTH CAME FROM</t>
  </si>
  <si>
    <t>(₹ cr)</t>
  </si>
  <si>
    <t>Q1 FY2027</t>
  </si>
  <si>
    <t>Q1 FY2026</t>
  </si>
  <si>
    <t>change</t>
  </si>
  <si>
    <t>Revenue</t>
  </si>
  <si>
    <t>Operating profit</t>
  </si>
  <si>
    <t>Operating margin</t>
  </si>
  <si>
    <t>Other income</t>
  </si>
  <si>
    <t>Interest</t>
  </si>
  <si>
    <t>Profit before tax</t>
  </si>
  <si>
    <t>Net profit (incl. minority)</t>
  </si>
  <si>
    <t>Revenue increase, Q1 FY2027 (₹ cr)</t>
  </si>
  <si>
    <t>the ₹4,263 cr of extra revenue that produced ₹125 cr of extra operating profit</t>
  </si>
  <si>
    <t>Other income as % of PBT</t>
  </si>
  <si>
    <t>Other income share of the PBT increase</t>
  </si>
  <si>
    <t>Profit before tax rose ₹1,062 cr. Other income rose ₹1,020 cr — 96% of the entire increase. Operating profit grew 1.6% on revenue up 6.7%, and the operating margin fell from 12.6% to 12.0%. Management reaffirmed 10-12% revenue growth for the year after delivering 6.7% in the first quarter, which requires roughly 11-13% across the remaining nine months.</t>
  </si>
  <si>
    <t>OPERATING MARGIN — the five-year path</t>
  </si>
  <si>
    <t>Financial year</t>
  </si>
  <si>
    <t>FY2019</t>
  </si>
  <si>
    <t>FY2020</t>
  </si>
  <si>
    <t>FY2021</t>
  </si>
  <si>
    <t>FY2022</t>
  </si>
  <si>
    <t>FY2023</t>
  </si>
  <si>
    <t>FY2024</t>
  </si>
  <si>
    <t>FY2025</t>
  </si>
  <si>
    <t>FY2026</t>
  </si>
  <si>
    <t>Revenue (₹ cr)</t>
  </si>
  <si>
    <t>Revenue has more than doubled since FY2021 and the operating margin has fallen 490 basis points, from 17.3% to 12.4%. The order book is now 52% international, and international EPC is where the margin went. This is the single most important fact about L&amp;T that the headline numbers do not show.</t>
  </si>
  <si>
    <t>SINCE THE STRIKE — 16-Sep valuation date vs the latest verified close, 25-Sep-2026</t>
  </si>
  <si>
    <t>This note is struck at the 16 September close and is published 27 September. The table below is the honest reconciliation: what has moved, and which way it cuts. We have NOT restruck, because a sum-of-the-parts needs all four marks at the same verified close and we can prove only three of them (see the note at A66).</t>
  </si>
  <si>
    <t>Mark</t>
  </si>
  <si>
    <t>16-Sep (struck)</t>
  </si>
  <si>
    <t>25-Sep close</t>
  </si>
  <si>
    <t>verified?</t>
  </si>
  <si>
    <t>L&amp;T share price (₹)</t>
  </si>
  <si>
    <t>5paisa, 25-Sep close, prev close ₹3,858</t>
  </si>
  <si>
    <t>LTM market cap (₹ cr)</t>
  </si>
  <si>
    <t>India Infoline / Screener, as on 25-Sep-2026</t>
  </si>
  <si>
    <t>LTTS market cap (₹ cr)</t>
  </si>
  <si>
    <t>APPROXIMATE — Screener live figure; 25-Sep close NOT provable</t>
  </si>
  <si>
    <t>L&amp;T Finance market cap (₹ cr)</t>
  </si>
  <si>
    <t>as on 25-Sep-2026</t>
  </si>
  <si>
    <t>Listed stakes at market (₹ cr)</t>
  </si>
  <si>
    <t>Residual value of the CORE (₹ cr)</t>
  </si>
  <si>
    <t>CORE implied trailing multiple (x)</t>
  </si>
  <si>
    <t>Blended fair value on those marks (₹)</t>
  </si>
  <si>
    <t>downside would be −24.5% against ₹3,876 rather than −22.6% against ₹3,820; rating REDUCE either way</t>
  </si>
  <si>
    <t>Which way it cuts: the parent rose 1.5% while all three listed subsidiaries FELL. The residual attributed to the unlisted core therefore rose 4.0%, and the core multiple widened by about one and a half turns to roughly 38x trailing. The eleven-day move makes this call stronger, not weaker — so publishing on the 16-Sep strike is the conservative choice, not a flattering one. We do not restrike because LTTS cannot be pinned to the 25-Sep close from any source we can cite, and a sum-of-the-parts assembled from prices struck on different days is not a sum-of-the-parts. That is the same discipline that forced the 15-Sep to 16-Sep restrike before publication.</t>
  </si>
  <si>
    <t>What the market is actually paying for the unlisted core</t>
  </si>
  <si>
    <t>L&amp;T's headline P/E blends three listed companies you can buy directly with an unlisted engineering business you cannot. Strip the listed stakes out at their own market prices and the residual is what the market pays for the core. Every market value below is taken at the SAME verified close — 16 September 2026, Screener session stamp 16 Sep 4:01 p.m. — because a sum-of-the-parts built from prices struck on different days is not a sum-of-the-parts.</t>
  </si>
  <si>
    <t>LISTED SUBSIDIARIES — market values and reported TTM earnings (Screener, 15-Sep-2026)</t>
  </si>
  <si>
    <t>Company</t>
  </si>
  <si>
    <t>Market cap (₹ cr)</t>
  </si>
  <si>
    <t>L&amp;T stake</t>
  </si>
  <si>
    <t>Stake value (₹ cr)</t>
  </si>
  <si>
    <t>TTM operating profit</t>
  </si>
  <si>
    <t>TTM net profit</t>
  </si>
  <si>
    <t>L&amp;T share of profit</t>
  </si>
  <si>
    <t>LTM Ltd (formerly LTIMindtree)</t>
  </si>
  <si>
    <t>L&amp;T Technology Services</t>
  </si>
  <si>
    <t>L&amp;T Finance</t>
  </si>
  <si>
    <t>TOTAL LISTED</t>
  </si>
  <si>
    <t>THE RECONCILIATION</t>
  </si>
  <si>
    <t>L&amp;T consolidated TTM revenue (₹ cr)</t>
  </si>
  <si>
    <t xml:space="preserve">  less listed subsidiaries</t>
  </si>
  <si>
    <t xml:space="preserve">  = CORE revenue</t>
  </si>
  <si>
    <t>engineering, construction, defence, hydrocarbon, realty, development projects</t>
  </si>
  <si>
    <t>L&amp;T consolidated TTM operating profit (₹ cr)</t>
  </si>
  <si>
    <t xml:space="preserve">  = CORE operating profit</t>
  </si>
  <si>
    <t>CORE operating margin</t>
  </si>
  <si>
    <t>against 12.5% consolidated — the core is the thinner business</t>
  </si>
  <si>
    <t>L&amp;T consolidated TTM attributable profit (₹ cr)</t>
  </si>
  <si>
    <t>EPS ₹120.59 x shares</t>
  </si>
  <si>
    <t xml:space="preserve">  less L&amp;T's share of listed subsidiary profit</t>
  </si>
  <si>
    <t xml:space="preserve">  = CORE attributable profit</t>
  </si>
  <si>
    <t>WHAT THAT IMPLIES</t>
  </si>
  <si>
    <t>L&amp;T market capitalisation (₹ cr)</t>
  </si>
  <si>
    <t xml:space="preserve">  less listed stakes at market</t>
  </si>
  <si>
    <t xml:space="preserve">  = market value of the CORE</t>
  </si>
  <si>
    <t>CORE implied trailing P/E (x)</t>
  </si>
  <si>
    <t>this is the number the note is about</t>
  </si>
  <si>
    <t>memo: headline consolidated P/E (x)</t>
  </si>
  <si>
    <t>Core as share of market capitalisation</t>
  </si>
  <si>
    <t>Core as share of attributable profit</t>
  </si>
  <si>
    <t>The core is 69% of the market capitalisation and 60% of the profit, and it trades on 36.6 times trailing earnings — roughly five turns above the headline multiple — while running a 10.1% operating margin against the group’s 12.5%. That is the whole argument. A reader who thinks 36.6 times is the right price for Indian engineering and construction should own the shares; this note argues it is not.</t>
  </si>
  <si>
    <t>ON A FORWARD BASIS — the comparison the note actually makes</t>
  </si>
  <si>
    <t>Core market value ÷ FY2028E core attributable (x)</t>
  </si>
  <si>
    <t>THIS is the number to set against our 25x. The trailing 36.6x above is not comparable to a forward target multiple.</t>
  </si>
  <si>
    <t>memo: consolidated, FY2028E basis (x)</t>
  </si>
  <si>
    <t>memo: listed subsidiaries at market ÷ their FY2028E attributable (x)</t>
  </si>
  <si>
    <t>Core multiple if the stakes are marked after our 20% holdco discount (x)</t>
  </si>
  <si>
    <t>higher, because haircutting the stakes leaves more of the market capitalisation attributable to the core</t>
  </si>
  <si>
    <t>A caution on the residual: it is arithmetic, not a market quote. Marking the stakes at full value the core is 29.2x FY2028E; haircut them 20% and the same core is 31.8x. We quote the 29.2x — the more conservative of the two for our argument — whenever we compare the market against our 25x, because the market does not apply our discount.</t>
  </si>
  <si>
    <t>Forecast — grown off reported profit, not a reconstructed P&amp;L</t>
  </si>
  <si>
    <t>An earlier build of this model constructed a full core income statement and produced a core profit roughly 40% above what L&amp;T actually reports, because a core P&amp;L cannot be reconciled from consolidated disclosure without allocating corporate costs, minorities and the loss-making development projects. It was discarded. The core and the subsidiaries are instead grown off their REPORTED trailing attributable profit, which ties out exactly.</t>
  </si>
  <si>
    <t>ASSUMPTIONS</t>
  </si>
  <si>
    <t>Core attributable profit growth</t>
  </si>
  <si>
    <t>core: revenue ~9% with the margin roughly flat; below management's 10-12% revenue guidance, above the 6.7% delivered in Q1</t>
  </si>
  <si>
    <t>Subsidiary attributable profit growth</t>
  </si>
  <si>
    <t>subsidiaries: IT services high single to low double digit, L&amp;T Finance mid-teens</t>
  </si>
  <si>
    <t>EARNINGS BUILD (₹ cr)</t>
  </si>
  <si>
    <t>FY2027E</t>
  </si>
  <si>
    <t>FY2028E</t>
  </si>
  <si>
    <t>FY2029E</t>
  </si>
  <si>
    <t>FY2030E</t>
  </si>
  <si>
    <t>FY2031E</t>
  </si>
  <si>
    <t>CORE attributable — reported TTM base</t>
  </si>
  <si>
    <t>Core attributable</t>
  </si>
  <si>
    <t>Subsidiary attributable</t>
  </si>
  <si>
    <t>CONSOLIDATED attributable</t>
  </si>
  <si>
    <t>Shares (cr)</t>
  </si>
  <si>
    <t>CONSOLIDATED EPS (₹)</t>
  </si>
  <si>
    <t>Core EPS (₹)</t>
  </si>
  <si>
    <t>SANITY CHECKS</t>
  </si>
  <si>
    <t>Core profit CAGR, TTM to FY2028E</t>
  </si>
  <si>
    <t>the core is where the operating leverage is, and where the margin pressure is</t>
  </si>
  <si>
    <t>Consolidated EPS CAGR, TTM to FY2028E</t>
  </si>
  <si>
    <t>against management's 10-12% revenue guidance — earnings grow faster than revenue only if the margin stops falling</t>
  </si>
  <si>
    <t>Implied consolidated revenue growth needed</t>
  </si>
  <si>
    <t>~9%</t>
  </si>
  <si>
    <t>The honest weakness in this forecast is the margin. We assume the operating margin stops falling and stabilises around 10.2-10.5% at the core. It has fallen in six of the last eight years. If it keeps compressing at the recent pace, the bear case below is the right case.</t>
  </si>
  <si>
    <t>Valuation — three methods, sum-of-the-parts led. All three state value in TODAY’S money.</t>
  </si>
  <si>
    <t>COST OF EQUITY AND HURDLES</t>
  </si>
  <si>
    <t>Risk-free — India 10-yr G-sec, 11-Sep-2026</t>
  </si>
  <si>
    <t>three-month high; 6.95% on 3-Sep</t>
  </si>
  <si>
    <t>Beta</t>
  </si>
  <si>
    <t>a cyclical EPC conglomerate; we do not use a defensive beta for a business whose margin swings with the order mix</t>
  </si>
  <si>
    <t>Equity risk premium</t>
  </si>
  <si>
    <t>bottom of Incwert's published 6.5-7.5% band; Damodaran India total 7.31%</t>
  </si>
  <si>
    <t>COST OF EQUITY</t>
  </si>
  <si>
    <t>ACCUMULATE hurdle (G-sec + 2pp)</t>
  </si>
  <si>
    <t>KEY INPUTS</t>
  </si>
  <si>
    <t>Live price (₹)</t>
  </si>
  <si>
    <t>Holding-company discount</t>
  </si>
  <si>
    <t>Indian holdcos trade at 20-50% discounts; L&amp;T is an operating company with stakes, not a pure holdco, so we use the low end</t>
  </si>
  <si>
    <t>Core attributable FY2028E (₹ cr)</t>
  </si>
  <si>
    <t>Consolidated EPS FY2028E (₹)</t>
  </si>
  <si>
    <t>Hyderabad Metro proceeds (₹ cr)</t>
  </si>
  <si>
    <t>Years to FY2028 year end (memo only)</t>
  </si>
  <si>
    <t>16-Sep-2026 to 31-Mar-2028</t>
  </si>
  <si>
    <t>Methods 1 and 2 apply today’s fair multiple to FY2028E earnings and therefore do NOT discount — the same basis on which the market’s own 29.2x FY2028E core multiple is computed. Only Method 3, a present value, discounts. Earlier drafts claimed a 1.54-year discount that Method 1 never applied; the claim was wrong, not the method.</t>
  </si>
  <si>
    <t>Dividend yield</t>
  </si>
  <si>
    <t>METHOD 1 — SUM-OF-THE-PARTS (45% weight) — today’s multiple on FY2028E core, not discounted</t>
  </si>
  <si>
    <t xml:space="preserve">  less holding-company discount</t>
  </si>
  <si>
    <t xml:space="preserve">  core target multiple (x)</t>
  </si>
  <si>
    <t>the multiple Nuvama applies to the core; we adopt it rather than invent our own</t>
  </si>
  <si>
    <t>Core: FY2028E attributable × that multiple (today’s value)</t>
  </si>
  <si>
    <t>25x is what we would pay TODAY for FY2028E core earnings. The market pays 29.2x on the identical basis.</t>
  </si>
  <si>
    <t>Hyderabad Metro proceeds</t>
  </si>
  <si>
    <t>TOTAL EQUITY VALUE (₹ cr)</t>
  </si>
  <si>
    <t>METHOD 1 — VALUE PER SHARE (₹)</t>
  </si>
  <si>
    <t>METHOD 2 — P/E ON CONSOLIDATED FY2028E (30% weight) — consolidated lens; carries NO holdco discount</t>
  </si>
  <si>
    <t>Target multiple (x)</t>
  </si>
  <si>
    <t>against the 25.4x FY2028E the market pays on consolidated earnings today, and 31.7x trailing</t>
  </si>
  <si>
    <t>Value per share, 24x applied today to FY2028E EPS (₹)</t>
  </si>
  <si>
    <t>METHOD 2 — VALUE PER SHARE (₹)</t>
  </si>
  <si>
    <t>Not discounted, for consistency with Method 1. And no holding-company discount: this method values the group as a single consolidated earnings stream, so a discount on stakes it never separates out would be an invention. The consequence is disclosed at row 99.</t>
  </si>
  <si>
    <t>METHOD 3 — CORE FCFE DISCOUNTED AT COST OF EQUITY, PLUS LISTED STAKES (25% weight)</t>
  </si>
  <si>
    <t>A consolidated enterprise DCF is not meaningful for a group containing a large NBFC: L&amp;T Finance's borrowings are its funding, not corporate leverage, so subtracting them from an enterprise value while including their cash flows double-counts. We discount the CORE's equity cash flow at the cost of equity and add the listed stakes separately.</t>
  </si>
  <si>
    <t>FCFE conversion = 1 − g ÷ ROE (derived from terminal growth, not assumed)</t>
  </si>
  <si>
    <t>A firm cannot pay out 78% of earnings and simultaneously grow at 10%: with ROE 15.9%, g = ROE × retention. Tying the two is the correction to an earlier draft in which they contradicted each other.</t>
  </si>
  <si>
    <t>Core FCFE (₹ cr)</t>
  </si>
  <si>
    <t>Core FCFE</t>
  </si>
  <si>
    <t>Years from 16-Sep-2026</t>
  </si>
  <si>
    <t>PV of FCFE</t>
  </si>
  <si>
    <t>PV of explicit period</t>
  </si>
  <si>
    <t>Terminal growth, capped at the risk-free rate</t>
  </si>
  <si>
    <t>A perpetual growth rate above the risk-free rate implies the firm eventually exceeds the economy. Capping at the G-sec is the discipline.</t>
  </si>
  <si>
    <t>Terminal value — Gordon (₹ cr)</t>
  </si>
  <si>
    <t>PV of terminal value</t>
  </si>
  <si>
    <t>Terminal share of core equity value</t>
  </si>
  <si>
    <t>Implied terminal multiple on FY2031E core (x)</t>
  </si>
  <si>
    <t>8.4x — far below the 22x an earlier draft asserted. At a 14.2% cost of equity, an equity stream simply cannot support a 22x exit; that multiple, not the growth rate, was doing all the work.</t>
  </si>
  <si>
    <t>Core equity value (₹ cr)</t>
  </si>
  <si>
    <t>plus listed stakes less discount</t>
  </si>
  <si>
    <t>plus Metro proceeds</t>
  </si>
  <si>
    <t>METHOD 3 — VALUE PER SHARE (₹)</t>
  </si>
  <si>
    <t>BLENDED VALUATION AND RATING</t>
  </si>
  <si>
    <t>Method</t>
  </si>
  <si>
    <t>Value/share (₹)</t>
  </si>
  <si>
    <t>vs price</t>
  </si>
  <si>
    <t>Weight</t>
  </si>
  <si>
    <t>Sum-of-the-parts</t>
  </si>
  <si>
    <t>P/E on consolidated FY2028E</t>
  </si>
  <si>
    <t>Core FCFE DCF</t>
  </si>
  <si>
    <t>BLENDED FAIR VALUE (₹)</t>
  </si>
  <si>
    <t>Upside / (downside)</t>
  </si>
  <si>
    <t>Add: dividend yield</t>
  </si>
  <si>
    <t>TOTAL EXPECTED RETURN</t>
  </si>
  <si>
    <t>RATING</t>
  </si>
  <si>
    <t>TERMINAL ASSUMPTION — growth and conversion move together, which is why this method is robust</t>
  </si>
  <si>
    <t>Terminal growth</t>
  </si>
  <si>
    <t>FCFE conversion</t>
  </si>
  <si>
    <t>Implied terminal multiple (x)</t>
  </si>
  <si>
    <t>Method 3 (₹)</t>
  </si>
  <si>
    <t>Blended FV (₹)</t>
  </si>
  <si>
    <t>5.00%</t>
  </si>
  <si>
    <t>6.00%</t>
  </si>
  <si>
    <t>7.02%</t>
  </si>
  <si>
    <t>&lt;- our base, the risk-free cap</t>
  </si>
  <si>
    <t>8.00%</t>
  </si>
  <si>
    <t>9.00%</t>
  </si>
  <si>
    <t>26x</t>
  </si>
  <si>
    <t>Raising terminal growth raises the exit multiple but cuts the payout that can fund it, and the two effects very nearly cancel: across a 5%-9% range the blended fair value moves ₹3, from ₹2,959 to ₹2,956. The terminal assumption is not what decides this rating — which is exactly what an earlier draft claimed while using a 22x exit that no growth rate in this range supports.</t>
  </si>
  <si>
    <t>SCENARIOS — every input that moves between branches is printed</t>
  </si>
  <si>
    <t>Scenario</t>
  </si>
  <si>
    <t>Core profit growth</t>
  </si>
  <si>
    <t>Core multiple</t>
  </si>
  <si>
    <t>Consolidated P/E</t>
  </si>
  <si>
    <t>Holdco discount</t>
  </si>
  <si>
    <t>Cons. FY2028E EPS</t>
  </si>
  <si>
    <t>Total return</t>
  </si>
  <si>
    <t>Rating</t>
  </si>
  <si>
    <t>Bear — margin keeps compressing, de-rating</t>
  </si>
  <si>
    <t>8%</t>
  </si>
  <si>
    <t>20x</t>
  </si>
  <si>
    <t>25%</t>
  </si>
  <si>
    <t>Base — margin stabilises, modest de-rating</t>
  </si>
  <si>
    <t>12%</t>
  </si>
  <si>
    <t>25x</t>
  </si>
  <si>
    <t>24x</t>
  </si>
  <si>
    <t>20%</t>
  </si>
  <si>
    <t>Bull — margin recovers, multiple holds</t>
  </si>
  <si>
    <t>16%</t>
  </si>
  <si>
    <t>30x</t>
  </si>
  <si>
    <t>28x</t>
  </si>
  <si>
    <t>15%</t>
  </si>
  <si>
    <t>The bull case assumes the core margin recovers, core profit compounds at 16%, the holding-company discount narrows to 15%, the market keeps paying 30 times for the core and terminal growth runs at 9%. It still returns −5.2%. When the optimistic branch does not clear zero, that asymmetry is the finding.</t>
  </si>
  <si>
    <t>SENSITIVITY — the two assumptions that decide this, with all three methods flexing together</t>
  </si>
  <si>
    <t>Each cell moves the core multiple, the consolidated P/E and the terminal multiple together, so a column is a consistent view of the multiple rather than a partial one.</t>
  </si>
  <si>
    <t>Core profit growth \ core multiple</t>
  </si>
  <si>
    <t>22x</t>
  </si>
  <si>
    <t>32x</t>
  </si>
  <si>
    <t>10%</t>
  </si>
  <si>
    <t>12%   &lt;- our base</t>
  </si>
  <si>
    <t>14%</t>
  </si>
  <si>
    <t>Breakeven core multiple — blended, growth at base (x)</t>
  </si>
  <si>
    <t>Core multiple the market pays today, FY2028E basis (x)</t>
  </si>
  <si>
    <t>All twenty-five cells sit below the price. But the blended breakeven of 35.1x is not the honest comparison: it silently asks the two multiple-based methods to make up the DCF’s shortfall as well. The clean number is the breakeven on the multiple methods alone — 28.9x FY2028E core, against the 29.2x the market actually pays. On multiples alone this stock is roughly fairly priced. The REDUCE comes from the discounted cash flow, and we would rather say so than bury it in a blend.</t>
  </si>
  <si>
    <t>Breakeven on the multiple-based methods alone (x)</t>
  </si>
  <si>
    <t>Fair value on the multiple-based methods alone (₹)</t>
  </si>
  <si>
    <t>TWO DISCLOSURES THE BLEND WOULD OTHERWISE HIDE</t>
  </si>
  <si>
    <t>Effective holding-company discount embedded in the blend</t>
  </si>
  <si>
    <t>not the 20% headline: Method 2, at 30% weight, applies none by construction. Stating 20% without this qualification would be false.</t>
  </si>
  <si>
    <t>Share of the total downside contributed by Method 3</t>
  </si>
  <si>
    <t>the DCF is the least market-anchored of the three methods and it drives roughly half the call. A reader who rejects a 14.2% cost of equity should discount this rating accordingly.</t>
  </si>
  <si>
    <t>Peers and the Street</t>
  </si>
  <si>
    <t>INDIAN CONSTRUCTION AND ENGINEERING PEERS (Screener, 15-Sep-2026 — one day before our valuation date)</t>
  </si>
  <si>
    <t>The peer screen is a 15-Sep pull and we have not restruck it, because a one-day move in six peers does not change a relative-value observation. The L&amp;T row below therefore shows ₹3,850 / 30.99x as at 15-Sep; every figure used in the valuation is the verified 16-Sep close of ₹3,820 / 31.7x. The two are labelled separately rather than silently blended.</t>
  </si>
  <si>
    <t>CMP (₹)</t>
  </si>
  <si>
    <t>P/E (x)</t>
  </si>
  <si>
    <t>Div yield (%)</t>
  </si>
  <si>
    <t>Qtr sales var (%)</t>
  </si>
  <si>
    <t>ROCE (%)</t>
  </si>
  <si>
    <t>Larsen &amp; Toubro</t>
  </si>
  <si>
    <t>Rail Vikas Nigam</t>
  </si>
  <si>
    <t>Kalpataru Projects</t>
  </si>
  <si>
    <t>IRB Infrastructure</t>
  </si>
  <si>
    <t>NBCC (India)</t>
  </si>
  <si>
    <t>Cemindia Projects</t>
  </si>
  <si>
    <t>Median, 117 listed construction cos.</t>
  </si>
  <si>
    <t>The peer table is of limited use and we should say so. Kalpataru and IRB are pure EPC at 21-24x; Rail Vikas and NBCC are government-linked at 34-48x; the 117-company median is 15.7x. None of them owns a listed IT services business or an NBFC, so none of them is comparable to L&amp;T at the consolidated level. The comparison that matters is not L&amp;T against these companies — it is L&amp;T’s CORE against these companies, and on that basis the core at 36.6x trailing is above every pure EPC name in the table.</t>
  </si>
  <si>
    <t>BROKER TARGETS — every one dated; undated figures are no longer carried</t>
  </si>
  <si>
    <t>House</t>
  </si>
  <si>
    <t>Target (₹)</t>
  </si>
  <si>
    <t>Date</t>
  </si>
  <si>
    <t>Basis / source</t>
  </si>
  <si>
    <t>vs our price</t>
  </si>
  <si>
    <t>Nuvama Institutional Equities</t>
  </si>
  <si>
    <t>constructive</t>
  </si>
  <si>
    <t>21-Aug-2026</t>
  </si>
  <si>
    <t>sector note via Business Today; L&amp;T "attractive for long-term growth" but NOT a preferred pick — Nuvama prefers Voltamp and BHEL</t>
  </si>
  <si>
    <t>Nuvama — previous target</t>
  </si>
  <si>
    <t>BUY</t>
  </si>
  <si>
    <t>30-Oct-2025</t>
  </si>
  <si>
    <t>Q2FY26 Result Update (primary PDF). SOTP: core EPC 25x Sept-27 EPS = ₹3,637/sh; IT&amp;TS at 20% disc to CMP = ₹804; Financial services at 20% disc = ₹240</t>
  </si>
  <si>
    <t>Nomura</t>
  </si>
  <si>
    <t>NEUTRAL (cut from Buy)</t>
  </si>
  <si>
    <t>07-May-2026</t>
  </si>
  <si>
    <t>downgraded from Buy; PT cut from ₹4,510</t>
  </si>
  <si>
    <t>ICICI Securities</t>
  </si>
  <si>
    <t>ADD (cut from Buy)</t>
  </si>
  <si>
    <t>06-May-2026</t>
  </si>
  <si>
    <t>downgraded from Buy; PT cut from ₹5,000 (Mohit Kumar)</t>
  </si>
  <si>
    <t>Jefferies</t>
  </si>
  <si>
    <t>raised on 06-May-2026; prior target is listed in the evidence block below</t>
  </si>
  <si>
    <t>BofA Securities</t>
  </si>
  <si>
    <t>UNDERPERFORM</t>
  </si>
  <si>
    <t>29-Sep-2025</t>
  </si>
  <si>
    <t>cut from Buy; "key positive catalysts now behind it". Dated — we cannot confirm it is still live</t>
  </si>
  <si>
    <t>What the dated record actually shows: the street has been CUTTING L&amp;T through 2026, not defending it. Nuvama is ₹615 below its October target; Nomura downgraded to Neutral in May and ICICI Securities to Add, cutting ₹700. The two most cautious dated targets — BofA ₹3,700 and Nomura ₹3,940 — sit at or below today’s ₹3,820. Our ₹2,956 is well below all of them, so we are the outlier on MAGNITUDE. We are not the outlier on DIRECTION — and an earlier draft of this note implied we were, by quoting an eleven-month-old ₹4,680 as if it were current. That is the error this desk made once before on a stale vendor consensus. The rule stands: a target carries a date or it does not appear.</t>
  </si>
  <si>
    <t>WHERE WE DIFFER, AND WHY THE GAP IS NOT THE MULTIPLE</t>
  </si>
  <si>
    <t>Nuvama’s 30-Oct-2025 SOTP is public, so the disagreement decomposes exactly rather than by guesswork. MULTIPLE: they apply 25x to the core; so do we — zero gap. HOLDCO DISCOUNT: they apply 20% to the listed subsidiaries; so do we — zero gap, and our 20% is now sourced to the very house whose multiple we adopt rather than asserted. EARNINGS: they model FY28E core E&amp;C PAT of ₹20,021 cr and consolidated EPS of ₹218.3; we model core attributable of ₹12,472 cr and consolidated EPS of ₹150.19 — they sit 45% above us. The entire gap is the earnings line. One caveat we state rather than bury: their "core E&amp;C" and our residual core are not the same perimeter. Nuvama strips services and E&amp;A to model the EPC business alone; our core is the residual after removing three listed stakes, so it still carries realty, development projects and the Hyderabad Metro losses. Applying the same 25x to two different bases is not the like-for-like comparison it appears to be.</t>
  </si>
  <si>
    <t>THE EVIDENCE THAT THE STREET OVER-FORECASTS THIS COMPANY</t>
  </si>
  <si>
    <t>Nuvama’s Oct-2025 note modelled FY26E revenue of ₹2,92,547 cr and FY26E EPS of ₹152.9, and expected core operating margins of 8.3–8.5% through FY27/28E on the view that they had "bottomed out at ~8.2%". L&amp;T then delivered FY2026 revenue of ₹2,85,874 cr — short of the estimate and of management’s own 15% growth guidance, at roughly 11.8% — and guided FY27 core P&amp;M margins FLAT at about 7.8%, not 8.3–8.5%. The margin recovery the ₹4,680 was built on did not arrive. That is why the target is now ₹4,065 and why two houses downgraded in May. This note is not forecasting a break from consensus; it is pricing a deterioration consensus has already started to concede.</t>
  </si>
  <si>
    <t>SOURCED EXTERNAL EVIDENCE — third-party figures used in the note, each dated so it can be audited</t>
  </si>
  <si>
    <t>Figure</t>
  </si>
  <si>
    <t>Value</t>
  </si>
  <si>
    <t>Source</t>
  </si>
  <si>
    <t>Nuvama SOTP: core EPC, 25x Sept-27 EPS (₹/share)</t>
  </si>
  <si>
    <t>Nuvama Q2FY26 Result Update, SotP summary</t>
  </si>
  <si>
    <t>Nuvama SOTP: IT &amp; Tech Services at 20% disc to CMP (₹/share)</t>
  </si>
  <si>
    <t>same</t>
  </si>
  <si>
    <t>Nuvama SOTP: Financial services at 20% disc to CMP (₹/share)</t>
  </si>
  <si>
    <t>same — this is the source of our 20% holdco discount</t>
  </si>
  <si>
    <t>Nuvama FY26E revenue (₹ cr)</t>
  </si>
  <si>
    <t>vs L&amp;T actual FY2026 ₹2,85,874 cr — a miss</t>
  </si>
  <si>
    <t>Nuvama FY26E diluted EPS (₹)</t>
  </si>
  <si>
    <t>set before FY2026 actuals</t>
  </si>
  <si>
    <t>Nuvama FY28E core E&amp;C adjusted PAT (₹ cr)</t>
  </si>
  <si>
    <t>vs our core attributable ₹12,472 cr — different perimeter, see A26</t>
  </si>
  <si>
    <t>Nuvama FY28E consolidated diluted EPS (₹)</t>
  </si>
  <si>
    <t>vs our ₹150.19 — they sit 45% above us</t>
  </si>
  <si>
    <t>Nuvama view: core OPM had "bottomed out at" (%)</t>
  </si>
  <si>
    <t>expected 8.3-8.5% through FY27/28E</t>
  </si>
  <si>
    <t>MANAGEMENT guidance: FY27 core P&amp;M margin, flat (%)</t>
  </si>
  <si>
    <t>Q4FY26</t>
  </si>
  <si>
    <t>the recovery guided away — this is the thesis</t>
  </si>
  <si>
    <t>Group EBITDA margin, Q4FY26 (%)</t>
  </si>
  <si>
    <t>contracted 62bp YoY (PL Capital Q4FY26 result update)</t>
  </si>
  <si>
    <t>Consolidated operating margin, FY2019 (%)</t>
  </si>
  <si>
    <t>pre-COVID base: decline to FY2026 is 450bp, not a cherry-picked 490bp</t>
  </si>
  <si>
    <t>E&amp;A business revenue divested to Schneider (₹ cr)</t>
  </si>
  <si>
    <t>FY2017</t>
  </si>
  <si>
    <t>sale completed 31-Aug-2020; ~3.7% of FY2021 revenue — a step, not the slide</t>
  </si>
  <si>
    <t>Jefferies previous target (₹)</t>
  </si>
  <si>
    <t>05-Mar-2026</t>
  </si>
  <si>
    <t>raised to ₹4,885 on 06-May-2026</t>
  </si>
  <si>
    <t>Q1 FY2027 attributable PAT (₹ cr)</t>
  </si>
  <si>
    <t>Q1FY27</t>
  </si>
  <si>
    <t>+14% YoY. We model the ₹4,988 cr incl. minority figure, labelled as such</t>
  </si>
  <si>
    <t>Shares outstanding</t>
  </si>
  <si>
    <t>2026</t>
  </si>
  <si>
    <t>companiesmarketcap — 137.58 cr, sourced not derived</t>
  </si>
  <si>
    <t>Every figure above is third-party and dated. None of it feeds the valuation — the model is built only from L&amp;T’s reported numbers and our own assumptions. These sit here so a reader can check the evidence the narrative rests on without taking our word for any of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</si>
</sst>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
    <numFmt numFmtId="166" formatCode="\+0.0%;\-0.0%"/>
    <numFmt numFmtId="167" formatCode="\+0.0\p\p;\-0.0\p\p"/>
    <numFmt numFmtId="168" formatCode="0.000"/>
  </numFmts>
  <fonts count="15" x14ac:knownFonts="1">
    <font>
      <sz val="11"/>
      <color theme="1"/>
      <name val="Calibri"/>
      <family val="2"/>
      <scheme val="minor"/>
    </font>
    <font>
      <b/>
      <sz val="14"/>
      <color rgb="FF1F3864"/>
      <name val="Calibri"/>
      <family val="2"/>
    </font>
    <font>
      <i/>
      <sz val="9"/>
      <color rgb="FF404040"/>
      <name val="Calibri"/>
      <family val="2"/>
    </font>
    <font>
      <b/>
      <sz val="10"/>
      <color rgb="FFFFFFFF"/>
      <name val="Calibri"/>
      <family val="2"/>
    </font>
    <font>
      <b/>
      <sz val="11"/>
      <name val="Calibri"/>
      <family val="2"/>
    </font>
    <font>
      <b/>
      <sz val="11"/>
      <color rgb="FFC00000"/>
      <name val="Calibri"/>
      <family val="2"/>
    </font>
    <font>
      <b/>
      <sz val="9"/>
      <color rgb="FFFFFFFF"/>
      <name val="Calibri"/>
      <family val="2"/>
    </font>
    <font>
      <b/>
      <sz val="12"/>
      <color rgb="FFC00000"/>
      <name val="Calibri"/>
      <family val="2"/>
    </font>
    <font>
      <b/>
      <sz val="12"/>
      <color rgb="FF1F3864"/>
      <name val="Calibri"/>
      <family val="2"/>
    </font>
    <font>
      <b/>
      <sz val="13"/>
      <color rgb="FF1F3864"/>
      <name val="Calibri"/>
      <family val="2"/>
    </font>
    <font>
      <b/>
      <sz val="13"/>
      <color rgb="FFC00000"/>
      <name val="Calibri"/>
      <family val="2"/>
    </font>
    <font>
      <sz val="11"/>
      <color rgb="FFC00000"/>
      <name val="Calibri"/>
      <family val="2"/>
    </font>
    <font>
      <b/>
      <sz val="11"/>
      <color rgb="FF006100"/>
      <name val="Calibri"/>
      <family val="2"/>
    </font>
    <font>
      <b/>
      <sz val="11"/>
      <color theme="0"/>
      <name val="Calibri"/>
      <family val="2"/>
    </font>
    <font>
      <b/>
      <sz val="11"/>
      <name val="Calibri"/>
      <family val="2"/>
    </font>
  </fonts>
  <fills count="5">
    <fill>
      <patternFill patternType="none"/>
    </fill>
    <fill>
      <patternFill patternType="gray125"/>
    </fill>
    <fill>
      <patternFill patternType="solid">
        <fgColor rgb="FF1A1A1A"/>
      </patternFill>
    </fill>
    <fill>
      <patternFill patternType="solid">
        <fgColor rgb="FF1F3864"/>
      </patternFill>
    </fill>
    <fill>
      <patternFill patternType="solid">
        <fgColor theme="3"/>
        <bgColor indexed="64"/>
      </patternFill>
    </fill>
  </fills>
  <borders count="1">
    <border>
      <left/>
      <right/>
      <top/>
      <bottom/>
      <diagonal/>
    </border>
  </borders>
  <cellStyleXfs count="1">
    <xf numFmtId="0" fontId="0" fillId="0" borderId="0"/>
  </cellStyleXfs>
  <cellXfs count="38">
    <xf numFmtId="0" fontId="0" fillId="0" borderId="0" xfId="0"/>
    <xf numFmtId="0" fontId="1" fillId="0" borderId="0" xfId="0" applyFont="1"/>
    <xf numFmtId="0" fontId="2" fillId="0" borderId="0" xfId="0" applyFont="1" applyAlignment="1">
      <alignment vertical="top" wrapText="1"/>
    </xf>
    <xf numFmtId="0" fontId="3" fillId="2" borderId="0" xfId="0" applyFont="1" applyFill="1"/>
    <xf numFmtId="0" fontId="0" fillId="2" borderId="0" xfId="0" applyFill="1"/>
    <xf numFmtId="4" fontId="0" fillId="0" borderId="0" xfId="0" applyNumberFormat="1"/>
    <xf numFmtId="0" fontId="2" fillId="0" borderId="0" xfId="0" applyFont="1"/>
    <xf numFmtId="2" fontId="0" fillId="0" borderId="0" xfId="0" applyNumberFormat="1"/>
    <xf numFmtId="3" fontId="0" fillId="0" borderId="0" xfId="0" applyNumberFormat="1"/>
    <xf numFmtId="164" fontId="0" fillId="0" borderId="0" xfId="0" applyNumberFormat="1"/>
    <xf numFmtId="165" fontId="0" fillId="0" borderId="0" xfId="0" applyNumberFormat="1"/>
    <xf numFmtId="0" fontId="4" fillId="0" borderId="0" xfId="0" applyFont="1"/>
    <xf numFmtId="166" fontId="0" fillId="0" borderId="0" xfId="0" applyNumberFormat="1"/>
    <xf numFmtId="167" fontId="0" fillId="0" borderId="0" xfId="0" applyNumberFormat="1"/>
    <xf numFmtId="9" fontId="0" fillId="0" borderId="0" xfId="0" applyNumberFormat="1"/>
    <xf numFmtId="9" fontId="5" fillId="0" borderId="0" xfId="0" applyNumberFormat="1" applyFont="1"/>
    <xf numFmtId="0" fontId="6" fillId="3" borderId="0" xfId="0" applyFont="1" applyFill="1"/>
    <xf numFmtId="10" fontId="0" fillId="0" borderId="0" xfId="0" applyNumberFormat="1"/>
    <xf numFmtId="3" fontId="4" fillId="0" borderId="0" xfId="0" applyNumberFormat="1" applyFont="1"/>
    <xf numFmtId="164" fontId="4" fillId="0" borderId="0" xfId="0" applyNumberFormat="1" applyFont="1"/>
    <xf numFmtId="165" fontId="7" fillId="0" borderId="0" xfId="0" applyNumberFormat="1" applyFont="1"/>
    <xf numFmtId="2" fontId="4" fillId="0" borderId="0" xfId="0" applyNumberFormat="1" applyFont="1"/>
    <xf numFmtId="10" fontId="4" fillId="0" borderId="0" xfId="0" applyNumberFormat="1" applyFont="1"/>
    <xf numFmtId="168" fontId="0" fillId="0" borderId="0" xfId="0" applyNumberFormat="1"/>
    <xf numFmtId="0" fontId="8" fillId="0" borderId="0" xfId="0" applyFont="1"/>
    <xf numFmtId="4" fontId="8" fillId="0" borderId="0" xfId="0" applyNumberFormat="1" applyFont="1"/>
    <xf numFmtId="4" fontId="9" fillId="0" borderId="0" xfId="0" applyNumberFormat="1" applyFont="1"/>
    <xf numFmtId="0" fontId="10" fillId="0" borderId="0" xfId="0" applyFont="1"/>
    <xf numFmtId="3" fontId="11" fillId="0" borderId="0" xfId="0" applyNumberFormat="1" applyFont="1"/>
    <xf numFmtId="3" fontId="12" fillId="0" borderId="0" xfId="0" applyNumberFormat="1" applyFont="1"/>
    <xf numFmtId="165" fontId="4" fillId="0" borderId="0" xfId="0" applyNumberFormat="1" applyFont="1"/>
    <xf numFmtId="0" fontId="4" fillId="2" borderId="0" xfId="0" applyFont="1" applyFill="1"/>
    <xf numFmtId="0" fontId="13" fillId="4" borderId="0" xfId="0" applyFont="1" applyFill="1"/>
    <xf numFmtId="0" fontId="14" fillId="0" borderId="0" xfId="0" applyFont="1"/>
    <xf numFmtId="0" fontId="2" fillId="0" borderId="0" xfId="0" applyFont="1" applyAlignment="1">
      <alignment vertical="top" wrapText="1"/>
    </xf>
    <xf numFmtId="0" fontId="0" fillId="0" borderId="0" xfId="0"/>
    <xf numFmtId="0" fontId="0" fillId="0" borderId="0" xfId="0" applyAlignment="1">
      <alignment vertical="top" wrapText="1"/>
    </xf>
    <xf numFmtId="0" fontId="3" fillId="2"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66"/>
  <sheetViews>
    <sheetView topLeftCell="A28" zoomScale="86" workbookViewId="0"/>
  </sheetViews>
  <sheetFormatPr baseColWidth="10" defaultColWidth="8.83203125" defaultRowHeight="15" x14ac:dyDescent="0.2"/>
  <cols>
    <col min="1" max="1" width="40" customWidth="1"/>
    <col min="2" max="2" width="14" customWidth="1"/>
    <col min="3" max="3" width="63.83203125" bestFit="1" customWidth="1"/>
    <col min="4" max="4" width="52" customWidth="1"/>
    <col min="5" max="9" width="14" customWidth="1"/>
  </cols>
  <sheetData>
    <row r="1" spans="1:8" ht="19" customHeight="1" x14ac:dyDescent="0.25">
      <c r="A1" s="1" t="s">
        <v>0</v>
      </c>
    </row>
    <row r="2" spans="1:8" ht="30" customHeight="1" x14ac:dyDescent="0.2">
      <c r="A2" s="34" t="s">
        <v>1</v>
      </c>
      <c r="B2" s="35"/>
      <c r="C2" s="35"/>
      <c r="D2" s="35"/>
      <c r="E2" s="35"/>
      <c r="F2" s="35"/>
      <c r="G2" s="35"/>
      <c r="H2" s="35"/>
    </row>
    <row r="4" spans="1:8" x14ac:dyDescent="0.2">
      <c r="A4" s="31" t="s">
        <v>2</v>
      </c>
      <c r="B4" s="4"/>
      <c r="C4" s="4"/>
      <c r="D4" s="4"/>
      <c r="E4" s="4"/>
      <c r="F4" s="4"/>
      <c r="G4" s="4"/>
      <c r="H4" s="4"/>
    </row>
    <row r="6" spans="1:8" x14ac:dyDescent="0.2">
      <c r="A6" t="s">
        <v>3</v>
      </c>
      <c r="B6" s="5">
        <v>3820</v>
      </c>
      <c r="C6" t="s">
        <v>4</v>
      </c>
      <c r="D6" s="6" t="s">
        <v>5</v>
      </c>
    </row>
    <row r="7" spans="1:8" x14ac:dyDescent="0.2">
      <c r="A7" t="s">
        <v>6</v>
      </c>
      <c r="B7" s="7">
        <v>137.59</v>
      </c>
      <c r="D7" s="6" t="s">
        <v>7</v>
      </c>
    </row>
    <row r="8" spans="1:8" x14ac:dyDescent="0.2">
      <c r="A8" t="s">
        <v>8</v>
      </c>
      <c r="B8" s="8">
        <f>B6*B7</f>
        <v>525593.80000000005</v>
      </c>
    </row>
    <row r="9" spans="1:8" x14ac:dyDescent="0.2">
      <c r="A9" t="s">
        <v>9</v>
      </c>
      <c r="B9" t="s">
        <v>10</v>
      </c>
      <c r="D9" s="6" t="s">
        <v>11</v>
      </c>
    </row>
    <row r="10" spans="1:8" x14ac:dyDescent="0.2">
      <c r="A10" t="s">
        <v>12</v>
      </c>
      <c r="B10" s="7">
        <v>120.59</v>
      </c>
    </row>
    <row r="11" spans="1:8" x14ac:dyDescent="0.2">
      <c r="A11" t="s">
        <v>13</v>
      </c>
      <c r="B11" s="7">
        <f>B6/B10</f>
        <v>31.677585206070155</v>
      </c>
      <c r="D11" s="6" t="s">
        <v>14</v>
      </c>
    </row>
    <row r="12" spans="1:8" x14ac:dyDescent="0.2">
      <c r="A12" t="s">
        <v>15</v>
      </c>
      <c r="B12" s="8">
        <v>794</v>
      </c>
    </row>
    <row r="13" spans="1:8" x14ac:dyDescent="0.2">
      <c r="A13" t="s">
        <v>16</v>
      </c>
      <c r="B13" s="7">
        <f>B6/B12</f>
        <v>4.8110831234256928</v>
      </c>
      <c r="D13" s="6" t="s">
        <v>17</v>
      </c>
    </row>
    <row r="14" spans="1:8" x14ac:dyDescent="0.2">
      <c r="A14" t="s">
        <v>18</v>
      </c>
      <c r="B14" s="8">
        <v>290137</v>
      </c>
    </row>
    <row r="15" spans="1:8" x14ac:dyDescent="0.2">
      <c r="A15" t="s">
        <v>19</v>
      </c>
      <c r="B15" s="8">
        <v>36272</v>
      </c>
    </row>
    <row r="16" spans="1:8" x14ac:dyDescent="0.2">
      <c r="A16" t="s">
        <v>20</v>
      </c>
      <c r="B16" s="9">
        <f>B15/B14</f>
        <v>0.12501680240713869</v>
      </c>
      <c r="D16" s="6" t="s">
        <v>21</v>
      </c>
    </row>
    <row r="17" spans="1:8" x14ac:dyDescent="0.2">
      <c r="A17" t="s">
        <v>22</v>
      </c>
      <c r="B17" s="10">
        <v>14.6</v>
      </c>
    </row>
    <row r="18" spans="1:8" x14ac:dyDescent="0.2">
      <c r="A18" t="s">
        <v>23</v>
      </c>
      <c r="B18" s="10">
        <v>15.9</v>
      </c>
    </row>
    <row r="19" spans="1:8" x14ac:dyDescent="0.2">
      <c r="A19" t="s">
        <v>24</v>
      </c>
      <c r="B19" s="7">
        <v>1</v>
      </c>
      <c r="D19" s="6" t="s">
        <v>25</v>
      </c>
    </row>
    <row r="20" spans="1:8" x14ac:dyDescent="0.2">
      <c r="A20" t="s">
        <v>26</v>
      </c>
      <c r="B20" s="7">
        <v>7.02</v>
      </c>
      <c r="D20" s="6" t="s">
        <v>27</v>
      </c>
    </row>
    <row r="21" spans="1:8" x14ac:dyDescent="0.2">
      <c r="A21" t="s">
        <v>28</v>
      </c>
      <c r="B21" t="s">
        <v>29</v>
      </c>
      <c r="D21" s="6" t="s">
        <v>30</v>
      </c>
    </row>
    <row r="23" spans="1:8" x14ac:dyDescent="0.2">
      <c r="A23" s="3" t="s">
        <v>31</v>
      </c>
      <c r="B23" s="4"/>
      <c r="C23" s="4"/>
      <c r="D23" s="4"/>
      <c r="E23" s="4"/>
      <c r="F23" s="4"/>
      <c r="G23" s="4"/>
      <c r="H23" s="4"/>
    </row>
    <row r="24" spans="1:8" x14ac:dyDescent="0.2">
      <c r="A24" s="11" t="s">
        <v>32</v>
      </c>
      <c r="B24" s="6" t="s">
        <v>33</v>
      </c>
    </row>
    <row r="25" spans="1:8" x14ac:dyDescent="0.2">
      <c r="A25" s="11" t="s">
        <v>34</v>
      </c>
      <c r="B25" s="6" t="s">
        <v>35</v>
      </c>
    </row>
    <row r="26" spans="1:8" x14ac:dyDescent="0.2">
      <c r="A26" s="11" t="s">
        <v>36</v>
      </c>
      <c r="B26" s="6" t="s">
        <v>37</v>
      </c>
    </row>
    <row r="27" spans="1:8" x14ac:dyDescent="0.2">
      <c r="A27" s="11" t="s">
        <v>38</v>
      </c>
      <c r="B27" s="6" t="s">
        <v>39</v>
      </c>
    </row>
    <row r="28" spans="1:8" x14ac:dyDescent="0.2">
      <c r="A28" s="11" t="s">
        <v>40</v>
      </c>
      <c r="B28" s="6" t="s">
        <v>41</v>
      </c>
    </row>
    <row r="29" spans="1:8" x14ac:dyDescent="0.2">
      <c r="A29" t="s">
        <v>42</v>
      </c>
      <c r="B29" s="8">
        <v>6296.63</v>
      </c>
      <c r="C29" s="6" t="s">
        <v>43</v>
      </c>
    </row>
    <row r="30" spans="1:8" ht="30" customHeight="1" x14ac:dyDescent="0.2">
      <c r="A30" s="34" t="s">
        <v>44</v>
      </c>
      <c r="B30" s="35"/>
      <c r="C30" s="35"/>
      <c r="D30" s="35"/>
      <c r="E30" s="35"/>
      <c r="F30" s="35"/>
      <c r="G30" s="35"/>
      <c r="H30" s="35"/>
    </row>
    <row r="31" spans="1:8" x14ac:dyDescent="0.2">
      <c r="A31" t="s">
        <v>45</v>
      </c>
      <c r="B31">
        <v>13000</v>
      </c>
      <c r="D31" t="s">
        <v>46</v>
      </c>
    </row>
    <row r="32" spans="1:8" x14ac:dyDescent="0.2">
      <c r="A32" s="3" t="s">
        <v>47</v>
      </c>
      <c r="B32" s="4"/>
      <c r="C32" s="4"/>
      <c r="D32" s="4"/>
      <c r="E32" s="4"/>
      <c r="F32" s="4"/>
      <c r="G32" s="4"/>
      <c r="H32" s="4"/>
    </row>
    <row r="33" spans="1:9" x14ac:dyDescent="0.2">
      <c r="A33" s="11" t="s">
        <v>48</v>
      </c>
      <c r="B33" s="11" t="s">
        <v>49</v>
      </c>
      <c r="C33" s="11" t="s">
        <v>50</v>
      </c>
      <c r="D33" s="11" t="s">
        <v>51</v>
      </c>
    </row>
    <row r="34" spans="1:9" x14ac:dyDescent="0.2">
      <c r="A34" t="s">
        <v>52</v>
      </c>
      <c r="B34" s="8">
        <v>67942</v>
      </c>
      <c r="C34" s="8">
        <v>63679</v>
      </c>
      <c r="D34" s="12">
        <f>B34/C34-1</f>
        <v>6.6945146751676399E-2</v>
      </c>
    </row>
    <row r="35" spans="1:9" x14ac:dyDescent="0.2">
      <c r="A35" t="s">
        <v>53</v>
      </c>
      <c r="B35" s="8">
        <v>8149</v>
      </c>
      <c r="C35" s="8">
        <v>8024</v>
      </c>
      <c r="D35" s="12">
        <f>B35/C35-1</f>
        <v>1.5578265204386765E-2</v>
      </c>
    </row>
    <row r="36" spans="1:9" x14ac:dyDescent="0.2">
      <c r="A36" t="s">
        <v>54</v>
      </c>
      <c r="B36" s="9">
        <f>B35/B34</f>
        <v>0.11994053751729417</v>
      </c>
      <c r="C36" s="9">
        <f>C35/C34</f>
        <v>0.12600700387882977</v>
      </c>
      <c r="D36" s="13">
        <f>B36-C36</f>
        <v>-6.0664663615355996E-3</v>
      </c>
    </row>
    <row r="37" spans="1:9" x14ac:dyDescent="0.2">
      <c r="A37" t="s">
        <v>55</v>
      </c>
      <c r="B37" s="8">
        <v>2377</v>
      </c>
      <c r="C37" s="8">
        <v>1357</v>
      </c>
      <c r="D37" s="12">
        <f>B37/C37-1</f>
        <v>0.75165806927044954</v>
      </c>
    </row>
    <row r="38" spans="1:9" x14ac:dyDescent="0.2">
      <c r="A38" t="s">
        <v>56</v>
      </c>
      <c r="B38" s="8">
        <v>2571</v>
      </c>
      <c r="C38" s="8">
        <v>2488</v>
      </c>
      <c r="D38" s="12">
        <f>B38/C38-1</f>
        <v>3.3360128617363261E-2</v>
      </c>
    </row>
    <row r="39" spans="1:9" x14ac:dyDescent="0.2">
      <c r="A39" t="s">
        <v>57</v>
      </c>
      <c r="B39" s="8">
        <v>6922</v>
      </c>
      <c r="C39" s="8">
        <v>5860</v>
      </c>
      <c r="D39" s="12">
        <f>B39/C39-1</f>
        <v>0.18122866894197953</v>
      </c>
    </row>
    <row r="40" spans="1:9" x14ac:dyDescent="0.2">
      <c r="A40" t="s">
        <v>58</v>
      </c>
      <c r="B40" s="8">
        <v>4988</v>
      </c>
      <c r="C40" s="8">
        <v>4318</v>
      </c>
      <c r="D40" s="12">
        <f>B40/C40-1</f>
        <v>0.15516442797591479</v>
      </c>
    </row>
    <row r="41" spans="1:9" x14ac:dyDescent="0.2">
      <c r="A41" t="s">
        <v>59</v>
      </c>
      <c r="B41" s="8">
        <f>B34-C34</f>
        <v>4263</v>
      </c>
      <c r="D41" s="6" t="s">
        <v>60</v>
      </c>
    </row>
    <row r="42" spans="1:9" x14ac:dyDescent="0.2">
      <c r="A42" t="s">
        <v>61</v>
      </c>
      <c r="B42" s="14">
        <f>B37/B39</f>
        <v>0.34339786188962729</v>
      </c>
      <c r="C42" s="14">
        <f>C37/C39</f>
        <v>0.23156996587030718</v>
      </c>
    </row>
    <row r="43" spans="1:9" x14ac:dyDescent="0.2">
      <c r="A43" t="s">
        <v>62</v>
      </c>
      <c r="B43" s="15">
        <f>(B37-C37)/(B39-C39)</f>
        <v>0.96045197740112997</v>
      </c>
    </row>
    <row r="45" spans="1:9" ht="44" customHeight="1" x14ac:dyDescent="0.2">
      <c r="A45" s="34" t="s">
        <v>63</v>
      </c>
      <c r="B45" s="35"/>
      <c r="C45" s="35"/>
      <c r="D45" s="35"/>
      <c r="E45" s="35"/>
      <c r="F45" s="35"/>
      <c r="G45" s="35"/>
      <c r="H45" s="35"/>
    </row>
    <row r="47" spans="1:9" x14ac:dyDescent="0.2">
      <c r="A47" s="3" t="s">
        <v>64</v>
      </c>
      <c r="B47" s="4"/>
      <c r="C47" s="4"/>
      <c r="D47" s="4"/>
      <c r="E47" s="4"/>
      <c r="F47" s="4"/>
      <c r="G47" s="4"/>
      <c r="H47" s="4"/>
    </row>
    <row r="48" spans="1:9" x14ac:dyDescent="0.2">
      <c r="A48" s="11" t="s">
        <v>65</v>
      </c>
      <c r="B48" s="11" t="s">
        <v>66</v>
      </c>
      <c r="C48" s="11" t="s">
        <v>67</v>
      </c>
      <c r="D48" s="11" t="s">
        <v>68</v>
      </c>
      <c r="E48" s="11" t="s">
        <v>69</v>
      </c>
      <c r="F48" s="11" t="s">
        <v>70</v>
      </c>
      <c r="G48" s="11" t="s">
        <v>71</v>
      </c>
      <c r="H48" s="11" t="s">
        <v>72</v>
      </c>
      <c r="I48" s="11" t="s">
        <v>73</v>
      </c>
    </row>
    <row r="49" spans="1:9" x14ac:dyDescent="0.2">
      <c r="A49" t="s">
        <v>74</v>
      </c>
      <c r="B49" s="8">
        <v>135220</v>
      </c>
      <c r="C49" s="8">
        <v>145452</v>
      </c>
      <c r="D49" s="8">
        <v>135979</v>
      </c>
      <c r="E49" s="8">
        <v>156521</v>
      </c>
      <c r="F49" s="8">
        <v>183341</v>
      </c>
      <c r="G49" s="8">
        <v>221113</v>
      </c>
      <c r="H49" s="8">
        <v>255734</v>
      </c>
      <c r="I49" s="8">
        <v>285874</v>
      </c>
    </row>
    <row r="50" spans="1:9" x14ac:dyDescent="0.2">
      <c r="A50" s="11" t="s">
        <v>54</v>
      </c>
      <c r="B50" s="9">
        <v>0.16900000000000001</v>
      </c>
      <c r="C50" s="9">
        <v>0.16900000000000001</v>
      </c>
      <c r="D50" s="9">
        <v>0.17299999999999999</v>
      </c>
      <c r="E50" s="9">
        <v>0.155</v>
      </c>
      <c r="F50" s="9">
        <v>0.14799999999999999</v>
      </c>
      <c r="G50" s="9">
        <v>0.13</v>
      </c>
      <c r="H50" s="9">
        <v>0.13500000000000001</v>
      </c>
      <c r="I50" s="9">
        <v>0.124</v>
      </c>
    </row>
    <row r="52" spans="1:9" ht="32" customHeight="1" x14ac:dyDescent="0.2">
      <c r="A52" s="34" t="s">
        <v>75</v>
      </c>
      <c r="B52" s="35"/>
      <c r="C52" s="35"/>
      <c r="D52" s="35"/>
      <c r="E52" s="35"/>
      <c r="F52" s="35"/>
      <c r="G52" s="35"/>
      <c r="H52" s="35"/>
      <c r="I52" s="35"/>
    </row>
    <row r="54" spans="1:9" x14ac:dyDescent="0.2">
      <c r="A54" s="33" t="s">
        <v>76</v>
      </c>
    </row>
    <row r="55" spans="1:9" x14ac:dyDescent="0.2">
      <c r="A55" s="36" t="s">
        <v>77</v>
      </c>
      <c r="B55" s="35"/>
      <c r="C55" s="35"/>
      <c r="D55" s="35"/>
      <c r="E55" s="35"/>
      <c r="F55" s="35"/>
      <c r="G55" s="35"/>
      <c r="H55" s="35"/>
      <c r="I55" s="35"/>
    </row>
    <row r="56" spans="1:9" x14ac:dyDescent="0.2">
      <c r="A56" s="33" t="s">
        <v>78</v>
      </c>
      <c r="B56" s="33" t="s">
        <v>79</v>
      </c>
      <c r="C56" s="33" t="s">
        <v>80</v>
      </c>
      <c r="D56" s="33" t="s">
        <v>51</v>
      </c>
      <c r="E56" s="33" t="s">
        <v>81</v>
      </c>
    </row>
    <row r="57" spans="1:9" x14ac:dyDescent="0.2">
      <c r="A57" t="s">
        <v>82</v>
      </c>
      <c r="B57">
        <v>3820</v>
      </c>
      <c r="C57">
        <v>3876.2</v>
      </c>
      <c r="D57">
        <f>C57/B57-1</f>
        <v>1.4712041884816784E-2</v>
      </c>
      <c r="E57" t="s">
        <v>83</v>
      </c>
    </row>
    <row r="58" spans="1:9" x14ac:dyDescent="0.2">
      <c r="A58" t="s">
        <v>84</v>
      </c>
      <c r="B58">
        <v>125767</v>
      </c>
      <c r="C58">
        <v>121110.48</v>
      </c>
      <c r="D58">
        <f>C58/B58-1</f>
        <v>-3.7024974754903961E-2</v>
      </c>
      <c r="E58" t="s">
        <v>85</v>
      </c>
    </row>
    <row r="59" spans="1:9" x14ac:dyDescent="0.2">
      <c r="A59" t="s">
        <v>86</v>
      </c>
      <c r="B59">
        <v>35476</v>
      </c>
      <c r="C59">
        <v>34012</v>
      </c>
      <c r="D59">
        <f>C59/B59-1</f>
        <v>-4.1267335663547233E-2</v>
      </c>
      <c r="E59" t="s">
        <v>87</v>
      </c>
    </row>
    <row r="60" spans="1:9" x14ac:dyDescent="0.2">
      <c r="A60" t="s">
        <v>88</v>
      </c>
      <c r="B60">
        <v>74628</v>
      </c>
      <c r="C60">
        <v>70679.14</v>
      </c>
      <c r="D60">
        <f>C60/B60-1</f>
        <v>-5.2913919708420409E-2</v>
      </c>
      <c r="E60" t="s">
        <v>89</v>
      </c>
    </row>
    <row r="62" spans="1:9" x14ac:dyDescent="0.2">
      <c r="A62" t="s">
        <v>90</v>
      </c>
      <c r="B62">
        <v>161658</v>
      </c>
      <c r="C62">
        <v>154780</v>
      </c>
      <c r="D62">
        <f>C62/B62-1</f>
        <v>-4.2546610746143076E-2</v>
      </c>
    </row>
    <row r="63" spans="1:9" x14ac:dyDescent="0.2">
      <c r="A63" t="s">
        <v>91</v>
      </c>
      <c r="B63">
        <v>363936</v>
      </c>
      <c r="C63">
        <v>378546</v>
      </c>
      <c r="D63">
        <f>C63/B63-1</f>
        <v>4.0144420997098473E-2</v>
      </c>
    </row>
    <row r="64" spans="1:9" x14ac:dyDescent="0.2">
      <c r="A64" t="s">
        <v>92</v>
      </c>
      <c r="B64">
        <v>36.6</v>
      </c>
      <c r="C64">
        <v>38.1</v>
      </c>
      <c r="D64">
        <f>C64-B64</f>
        <v>1.5</v>
      </c>
    </row>
    <row r="65" spans="1:9" x14ac:dyDescent="0.2">
      <c r="A65" t="s">
        <v>93</v>
      </c>
      <c r="B65">
        <v>2956</v>
      </c>
      <c r="C65">
        <v>2928</v>
      </c>
      <c r="D65">
        <f>C65/B65-1</f>
        <v>-9.4722598105547728E-3</v>
      </c>
      <c r="E65" t="s">
        <v>94</v>
      </c>
    </row>
    <row r="66" spans="1:9" x14ac:dyDescent="0.2">
      <c r="A66" s="36" t="s">
        <v>95</v>
      </c>
      <c r="B66" s="35"/>
      <c r="C66" s="35"/>
      <c r="D66" s="35"/>
      <c r="E66" s="35"/>
      <c r="F66" s="35"/>
      <c r="G66" s="35"/>
      <c r="H66" s="35"/>
      <c r="I66" s="35"/>
    </row>
  </sheetData>
  <mergeCells count="6">
    <mergeCell ref="A52:I52"/>
    <mergeCell ref="A30:H30"/>
    <mergeCell ref="A2:H2"/>
    <mergeCell ref="A66:I66"/>
    <mergeCell ref="A45:H45"/>
    <mergeCell ref="A55:I55"/>
  </mergeCells>
  <pageMargins left="0.3" right="0.3" top="0.4" bottom="0.4"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40"/>
  <sheetViews>
    <sheetView tabSelected="1" zoomScale="64" workbookViewId="0"/>
  </sheetViews>
  <sheetFormatPr baseColWidth="10" defaultColWidth="8.83203125" defaultRowHeight="15" x14ac:dyDescent="0.2"/>
  <cols>
    <col min="1" max="1" width="46" customWidth="1"/>
    <col min="2" max="8" width="17" customWidth="1"/>
  </cols>
  <sheetData>
    <row r="1" spans="1:9" ht="19" customHeight="1" x14ac:dyDescent="0.25">
      <c r="A1" s="1" t="s">
        <v>96</v>
      </c>
    </row>
    <row r="2" spans="1:9" ht="30" customHeight="1" x14ac:dyDescent="0.2">
      <c r="A2" s="34" t="s">
        <v>97</v>
      </c>
      <c r="B2" s="35"/>
      <c r="C2" s="35"/>
      <c r="D2" s="35"/>
      <c r="E2" s="35"/>
      <c r="F2" s="35"/>
      <c r="G2" s="35"/>
      <c r="H2" s="35"/>
      <c r="I2" s="35"/>
    </row>
    <row r="4" spans="1:9" x14ac:dyDescent="0.2">
      <c r="A4" s="3" t="s">
        <v>98</v>
      </c>
      <c r="B4" s="4"/>
      <c r="C4" s="4"/>
      <c r="D4" s="4"/>
      <c r="E4" s="4"/>
      <c r="F4" s="4"/>
      <c r="G4" s="4"/>
      <c r="H4" s="4"/>
      <c r="I4" s="4"/>
    </row>
    <row r="5" spans="1:9" x14ac:dyDescent="0.2">
      <c r="A5" s="16" t="s">
        <v>99</v>
      </c>
      <c r="B5" s="16" t="s">
        <v>100</v>
      </c>
      <c r="C5" s="16" t="s">
        <v>101</v>
      </c>
      <c r="D5" s="16" t="s">
        <v>102</v>
      </c>
      <c r="E5" s="16" t="s">
        <v>18</v>
      </c>
      <c r="F5" s="16" t="s">
        <v>103</v>
      </c>
      <c r="G5" s="16" t="s">
        <v>104</v>
      </c>
      <c r="H5" s="16" t="s">
        <v>105</v>
      </c>
    </row>
    <row r="6" spans="1:9" x14ac:dyDescent="0.2">
      <c r="A6" t="s">
        <v>106</v>
      </c>
      <c r="B6" s="8">
        <v>125767</v>
      </c>
      <c r="C6" s="17">
        <v>0.68659999999999999</v>
      </c>
      <c r="D6" s="8">
        <f>B6*C6</f>
        <v>86351.622199999998</v>
      </c>
      <c r="E6" s="8">
        <v>44075</v>
      </c>
      <c r="F6" s="8">
        <v>7966</v>
      </c>
      <c r="G6" s="8">
        <v>5197</v>
      </c>
      <c r="H6" s="8">
        <f>G6*C6</f>
        <v>3568.2601999999997</v>
      </c>
    </row>
    <row r="7" spans="1:9" x14ac:dyDescent="0.2">
      <c r="A7" t="s">
        <v>107</v>
      </c>
      <c r="B7" s="8">
        <v>35476</v>
      </c>
      <c r="C7" s="17">
        <v>0.73519999999999996</v>
      </c>
      <c r="D7" s="8">
        <f>B7*C7</f>
        <v>26081.9552</v>
      </c>
      <c r="E7" s="8">
        <v>11565</v>
      </c>
      <c r="F7" s="8">
        <v>2059</v>
      </c>
      <c r="G7" s="8">
        <v>1322</v>
      </c>
      <c r="H7" s="8">
        <f>G7*C7</f>
        <v>971.93439999999998</v>
      </c>
    </row>
    <row r="8" spans="1:9" x14ac:dyDescent="0.2">
      <c r="A8" t="s">
        <v>108</v>
      </c>
      <c r="B8" s="8">
        <v>74628</v>
      </c>
      <c r="C8" s="17">
        <v>0.65959999999999996</v>
      </c>
      <c r="D8" s="8">
        <f>B8*C8</f>
        <v>49224.628799999999</v>
      </c>
      <c r="E8" s="8">
        <v>18898</v>
      </c>
      <c r="F8" s="8">
        <v>4518</v>
      </c>
      <c r="G8" s="8">
        <v>3198</v>
      </c>
      <c r="H8" s="8">
        <f>G8*C8</f>
        <v>2109.4007999999999</v>
      </c>
    </row>
    <row r="9" spans="1:9" x14ac:dyDescent="0.2">
      <c r="A9" s="11" t="s">
        <v>109</v>
      </c>
      <c r="D9" s="18">
        <f>SUM(D6:D8)</f>
        <v>161658.20619999999</v>
      </c>
      <c r="E9" s="18">
        <f>SUM(E6:E8)</f>
        <v>74538</v>
      </c>
      <c r="F9" s="18">
        <f>SUM(F6:F8)</f>
        <v>14543</v>
      </c>
      <c r="G9" s="18">
        <f>SUM(G6:G8)</f>
        <v>9717</v>
      </c>
      <c r="H9" s="18">
        <f>SUM(H6:H8)</f>
        <v>6649.5954000000002</v>
      </c>
    </row>
    <row r="11" spans="1:9" x14ac:dyDescent="0.2">
      <c r="A11" s="3" t="s">
        <v>110</v>
      </c>
      <c r="B11" s="4"/>
      <c r="C11" s="4"/>
      <c r="D11" s="4"/>
      <c r="E11" s="4"/>
      <c r="F11" s="4"/>
      <c r="G11" s="4"/>
      <c r="H11" s="4"/>
      <c r="I11" s="4"/>
    </row>
    <row r="12" spans="1:9" x14ac:dyDescent="0.2">
      <c r="A12" t="s">
        <v>111</v>
      </c>
      <c r="B12" s="8">
        <v>290137</v>
      </c>
    </row>
    <row r="13" spans="1:9" x14ac:dyDescent="0.2">
      <c r="A13" t="s">
        <v>112</v>
      </c>
      <c r="B13" s="8">
        <f>-E9</f>
        <v>-74538</v>
      </c>
    </row>
    <row r="14" spans="1:9" x14ac:dyDescent="0.2">
      <c r="A14" t="s">
        <v>113</v>
      </c>
      <c r="B14" s="18">
        <f>B12+B13</f>
        <v>215599</v>
      </c>
      <c r="D14" s="6" t="s">
        <v>114</v>
      </c>
    </row>
    <row r="15" spans="1:9" x14ac:dyDescent="0.2">
      <c r="A15" t="s">
        <v>115</v>
      </c>
      <c r="B15" s="8">
        <v>36272</v>
      </c>
    </row>
    <row r="16" spans="1:9" x14ac:dyDescent="0.2">
      <c r="A16" t="s">
        <v>112</v>
      </c>
      <c r="B16" s="8">
        <f>-F9</f>
        <v>-14543</v>
      </c>
    </row>
    <row r="17" spans="1:9" x14ac:dyDescent="0.2">
      <c r="A17" t="s">
        <v>116</v>
      </c>
      <c r="B17" s="18">
        <f>B15+B16</f>
        <v>21729</v>
      </c>
    </row>
    <row r="18" spans="1:9" x14ac:dyDescent="0.2">
      <c r="A18" t="s">
        <v>117</v>
      </c>
      <c r="B18" s="19">
        <f>B17/B14</f>
        <v>0.10078432645791492</v>
      </c>
      <c r="D18" s="6" t="s">
        <v>118</v>
      </c>
    </row>
    <row r="19" spans="1:9" x14ac:dyDescent="0.2">
      <c r="A19" t="s">
        <v>119</v>
      </c>
      <c r="B19" s="8">
        <f>Overview!B10*Overview!B7</f>
        <v>16591.9781</v>
      </c>
      <c r="D19" s="6" t="s">
        <v>120</v>
      </c>
    </row>
    <row r="20" spans="1:9" x14ac:dyDescent="0.2">
      <c r="A20" t="s">
        <v>121</v>
      </c>
      <c r="B20" s="8">
        <f>-H9</f>
        <v>-6649.5954000000002</v>
      </c>
    </row>
    <row r="21" spans="1:9" x14ac:dyDescent="0.2">
      <c r="A21" t="s">
        <v>122</v>
      </c>
      <c r="B21" s="18">
        <f>B19+B20</f>
        <v>9942.3827000000001</v>
      </c>
    </row>
    <row r="23" spans="1:9" x14ac:dyDescent="0.2">
      <c r="A23" s="3" t="s">
        <v>123</v>
      </c>
      <c r="B23" s="4"/>
      <c r="C23" s="4"/>
      <c r="D23" s="4"/>
      <c r="E23" s="4"/>
      <c r="F23" s="4"/>
      <c r="G23" s="4"/>
      <c r="H23" s="4"/>
      <c r="I23" s="4"/>
    </row>
    <row r="24" spans="1:9" x14ac:dyDescent="0.2">
      <c r="A24" t="s">
        <v>124</v>
      </c>
      <c r="B24" s="8">
        <f>Overview!B8</f>
        <v>525593.80000000005</v>
      </c>
    </row>
    <row r="25" spans="1:9" x14ac:dyDescent="0.2">
      <c r="A25" t="s">
        <v>125</v>
      </c>
      <c r="B25" s="8">
        <f>-D9</f>
        <v>-161658.20619999999</v>
      </c>
    </row>
    <row r="26" spans="1:9" x14ac:dyDescent="0.2">
      <c r="A26" t="s">
        <v>126</v>
      </c>
      <c r="B26" s="8">
        <f>B24+B25</f>
        <v>363935.59380000003</v>
      </c>
    </row>
    <row r="27" spans="1:9" ht="16" customHeight="1" x14ac:dyDescent="0.2">
      <c r="A27" t="s">
        <v>127</v>
      </c>
      <c r="B27" s="20">
        <f>B26/B21</f>
        <v>36.604464420787188</v>
      </c>
      <c r="D27" s="6" t="s">
        <v>128</v>
      </c>
    </row>
    <row r="28" spans="1:9" x14ac:dyDescent="0.2">
      <c r="A28" t="s">
        <v>129</v>
      </c>
      <c r="B28" s="10">
        <f>Overview!B11</f>
        <v>31.677585206070155</v>
      </c>
    </row>
    <row r="29" spans="1:9" x14ac:dyDescent="0.2">
      <c r="A29" t="s">
        <v>130</v>
      </c>
      <c r="B29" s="9">
        <f>B26/B24</f>
        <v>0.69242748639729013</v>
      </c>
    </row>
    <row r="30" spans="1:9" x14ac:dyDescent="0.2">
      <c r="A30" t="s">
        <v>131</v>
      </c>
      <c r="B30" s="9">
        <f>B21/B19</f>
        <v>0.59922829213473949</v>
      </c>
    </row>
    <row r="32" spans="1:9" ht="44" customHeight="1" x14ac:dyDescent="0.2">
      <c r="A32" s="34" t="s">
        <v>132</v>
      </c>
      <c r="B32" s="35"/>
      <c r="C32" s="35"/>
      <c r="D32" s="35"/>
      <c r="E32" s="35"/>
      <c r="F32" s="35"/>
      <c r="G32" s="35"/>
      <c r="H32" s="35"/>
      <c r="I32" s="35"/>
    </row>
    <row r="34" spans="1:4" x14ac:dyDescent="0.2">
      <c r="A34" s="11" t="s">
        <v>133</v>
      </c>
    </row>
    <row r="35" spans="1:4" x14ac:dyDescent="0.2">
      <c r="A35" t="s">
        <v>134</v>
      </c>
      <c r="B35">
        <f>B26/Forecast!C11</f>
        <v>29.180854927285697</v>
      </c>
      <c r="D35" t="s">
        <v>135</v>
      </c>
    </row>
    <row r="36" spans="1:4" x14ac:dyDescent="0.2">
      <c r="A36" t="s">
        <v>136</v>
      </c>
      <c r="B36">
        <f>Overview!B6/Forecast!C15</f>
        <v>25.434389077820413</v>
      </c>
    </row>
    <row r="37" spans="1:4" x14ac:dyDescent="0.2">
      <c r="A37" t="s">
        <v>137</v>
      </c>
      <c r="B37">
        <f>D9/Forecast!C12</f>
        <v>19.731339845114956</v>
      </c>
    </row>
    <row r="38" spans="1:4" x14ac:dyDescent="0.2">
      <c r="A38" t="s">
        <v>138</v>
      </c>
      <c r="B38">
        <f>(B24-D9*(1-Valuation!B14))/Forecast!C11</f>
        <v>31.773250253981789</v>
      </c>
      <c r="D38" t="s">
        <v>139</v>
      </c>
    </row>
    <row r="40" spans="1:4" x14ac:dyDescent="0.2">
      <c r="A40" t="s">
        <v>140</v>
      </c>
    </row>
  </sheetData>
  <mergeCells count="2">
    <mergeCell ref="A32:I32"/>
    <mergeCell ref="A2:I2"/>
  </mergeCells>
  <pageMargins left="0.3" right="0.3" top="0.4" bottom="0.4"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23"/>
  <sheetViews>
    <sheetView zoomScale="141" workbookViewId="0"/>
  </sheetViews>
  <sheetFormatPr baseColWidth="10" defaultColWidth="8.83203125" defaultRowHeight="15" x14ac:dyDescent="0.2"/>
  <cols>
    <col min="1" max="1" width="40" customWidth="1"/>
    <col min="2" max="3" width="13" customWidth="1"/>
    <col min="4" max="4" width="30" customWidth="1"/>
    <col min="5" max="7" width="13" customWidth="1"/>
    <col min="8" max="8" width="60" customWidth="1"/>
  </cols>
  <sheetData>
    <row r="1" spans="1:9" ht="19" customHeight="1" x14ac:dyDescent="0.25">
      <c r="A1" s="1" t="s">
        <v>141</v>
      </c>
    </row>
    <row r="2" spans="1:9" ht="44" customHeight="1" x14ac:dyDescent="0.2">
      <c r="A2" s="34" t="s">
        <v>142</v>
      </c>
      <c r="B2" s="35"/>
      <c r="C2" s="35"/>
      <c r="D2" s="35"/>
      <c r="E2" s="35"/>
      <c r="F2" s="35"/>
      <c r="G2" s="35"/>
      <c r="H2" s="35"/>
      <c r="I2" s="35"/>
    </row>
    <row r="4" spans="1:9" x14ac:dyDescent="0.2">
      <c r="A4" s="3" t="s">
        <v>143</v>
      </c>
      <c r="B4" s="4"/>
      <c r="C4" s="4"/>
      <c r="D4" s="4"/>
      <c r="E4" s="4"/>
      <c r="F4" s="4"/>
      <c r="G4" s="4"/>
      <c r="H4" s="4"/>
      <c r="I4" s="4"/>
    </row>
    <row r="5" spans="1:9" x14ac:dyDescent="0.2">
      <c r="A5" t="s">
        <v>144</v>
      </c>
      <c r="B5" s="9">
        <v>0.12</v>
      </c>
      <c r="C5" s="9">
        <v>0.12</v>
      </c>
      <c r="D5" s="9">
        <v>0.11</v>
      </c>
      <c r="E5" s="9">
        <v>0.1</v>
      </c>
      <c r="F5" s="9">
        <v>0.1</v>
      </c>
      <c r="H5" s="6" t="s">
        <v>145</v>
      </c>
    </row>
    <row r="6" spans="1:9" x14ac:dyDescent="0.2">
      <c r="A6" t="s">
        <v>146</v>
      </c>
      <c r="B6" s="9">
        <v>0.11</v>
      </c>
      <c r="C6" s="9">
        <v>0.11</v>
      </c>
      <c r="D6" s="9">
        <v>0.105</v>
      </c>
      <c r="E6" s="9">
        <v>0.1</v>
      </c>
      <c r="F6" s="9">
        <v>9.5000000000000001E-2</v>
      </c>
      <c r="H6" s="6" t="s">
        <v>147</v>
      </c>
    </row>
    <row r="8" spans="1:9" x14ac:dyDescent="0.2">
      <c r="A8" s="3" t="s">
        <v>148</v>
      </c>
      <c r="B8" s="4"/>
      <c r="C8" s="4"/>
      <c r="D8" s="4"/>
      <c r="E8" s="4"/>
      <c r="F8" s="4"/>
      <c r="G8" s="4"/>
      <c r="H8" s="4"/>
      <c r="I8" s="4"/>
    </row>
    <row r="9" spans="1:9" x14ac:dyDescent="0.2">
      <c r="A9" s="11"/>
      <c r="B9" s="11" t="s">
        <v>149</v>
      </c>
      <c r="C9" s="11" t="s">
        <v>150</v>
      </c>
      <c r="D9" s="11" t="s">
        <v>151</v>
      </c>
      <c r="E9" s="11" t="s">
        <v>152</v>
      </c>
      <c r="F9" s="11" t="s">
        <v>153</v>
      </c>
    </row>
    <row r="10" spans="1:9" x14ac:dyDescent="0.2">
      <c r="A10" s="6" t="s">
        <v>154</v>
      </c>
      <c r="B10" s="8">
        <f>'The Parts'!B21</f>
        <v>9942.3827000000001</v>
      </c>
    </row>
    <row r="11" spans="1:9" x14ac:dyDescent="0.2">
      <c r="A11" t="s">
        <v>155</v>
      </c>
      <c r="B11" s="18">
        <f>'The Parts'!$B$21*(1+B5)</f>
        <v>11135.468624000001</v>
      </c>
      <c r="C11" s="18">
        <f t="shared" ref="C11:F12" si="0">B11*(1+C5)</f>
        <v>12471.724858880003</v>
      </c>
      <c r="D11" s="18">
        <f t="shared" si="0"/>
        <v>13843.614593356804</v>
      </c>
      <c r="E11" s="18">
        <f t="shared" si="0"/>
        <v>15227.976052692486</v>
      </c>
      <c r="F11" s="18">
        <f t="shared" si="0"/>
        <v>16750.773657961734</v>
      </c>
    </row>
    <row r="12" spans="1:9" x14ac:dyDescent="0.2">
      <c r="A12" t="s">
        <v>156</v>
      </c>
      <c r="B12" s="8">
        <f>'The Parts'!$H$9*(1+B6)</f>
        <v>7381.0508940000009</v>
      </c>
      <c r="C12" s="8">
        <f t="shared" si="0"/>
        <v>8192.9664923400014</v>
      </c>
      <c r="D12" s="8">
        <f t="shared" si="0"/>
        <v>9053.2279740357008</v>
      </c>
      <c r="E12" s="8">
        <f t="shared" si="0"/>
        <v>9958.5507714392716</v>
      </c>
      <c r="F12" s="8">
        <f t="shared" si="0"/>
        <v>10904.613094726003</v>
      </c>
    </row>
    <row r="13" spans="1:9" x14ac:dyDescent="0.2">
      <c r="A13" t="s">
        <v>157</v>
      </c>
      <c r="B13" s="18">
        <f>B11+B12</f>
        <v>18516.519518000001</v>
      </c>
      <c r="C13" s="18">
        <f>C11+C12</f>
        <v>20664.691351220004</v>
      </c>
      <c r="D13" s="18">
        <f>D11+D12</f>
        <v>22896.842567392505</v>
      </c>
      <c r="E13" s="18">
        <f>E11+E12</f>
        <v>25186.526824131757</v>
      </c>
      <c r="F13" s="18">
        <f>F11+F12</f>
        <v>27655.386752687737</v>
      </c>
    </row>
    <row r="14" spans="1:9" x14ac:dyDescent="0.2">
      <c r="A14" t="s">
        <v>158</v>
      </c>
      <c r="B14" s="7">
        <f>Overview!$B$7</f>
        <v>137.59</v>
      </c>
      <c r="C14" s="7">
        <f>Overview!$B$7</f>
        <v>137.59</v>
      </c>
      <c r="D14" s="7">
        <f>Overview!$B$7</f>
        <v>137.59</v>
      </c>
      <c r="E14" s="7">
        <f>Overview!$B$7</f>
        <v>137.59</v>
      </c>
      <c r="F14" s="7">
        <f>Overview!$B$7</f>
        <v>137.59</v>
      </c>
    </row>
    <row r="15" spans="1:9" x14ac:dyDescent="0.2">
      <c r="A15" t="s">
        <v>159</v>
      </c>
      <c r="B15" s="21">
        <f>B13/B14</f>
        <v>134.57750939748527</v>
      </c>
      <c r="C15" s="21">
        <f>C13/C14</f>
        <v>150.19035795639221</v>
      </c>
      <c r="D15" s="21">
        <f>D13/D14</f>
        <v>166.41356615591616</v>
      </c>
      <c r="E15" s="21">
        <f>E13/E14</f>
        <v>183.05492277150779</v>
      </c>
      <c r="F15" s="21">
        <f>F13/F14</f>
        <v>200.99852280462051</v>
      </c>
    </row>
    <row r="16" spans="1:9" x14ac:dyDescent="0.2">
      <c r="A16" t="s">
        <v>160</v>
      </c>
      <c r="B16" s="7">
        <f>B11/B14</f>
        <v>80.932252518351632</v>
      </c>
      <c r="C16" s="7">
        <f>C11/C14</f>
        <v>90.644122820553832</v>
      </c>
      <c r="D16" s="7">
        <f>D11/D14</f>
        <v>100.61497633081477</v>
      </c>
      <c r="E16" s="7">
        <f>E11/E14</f>
        <v>110.67647396389626</v>
      </c>
      <c r="F16" s="7">
        <f>F11/F14</f>
        <v>121.74412136028587</v>
      </c>
    </row>
    <row r="18" spans="1:9" x14ac:dyDescent="0.2">
      <c r="A18" s="3" t="s">
        <v>161</v>
      </c>
      <c r="B18" s="4"/>
      <c r="C18" s="4"/>
      <c r="D18" s="4"/>
      <c r="E18" s="4"/>
      <c r="F18" s="4"/>
      <c r="G18" s="4"/>
      <c r="H18" s="4"/>
      <c r="I18" s="4"/>
    </row>
    <row r="19" spans="1:9" x14ac:dyDescent="0.2">
      <c r="A19" t="s">
        <v>162</v>
      </c>
      <c r="B19" s="9">
        <f>(C11/'The Parts'!B21)^0.5-1</f>
        <v>0.12000000000000011</v>
      </c>
      <c r="D19" s="6" t="s">
        <v>163</v>
      </c>
    </row>
    <row r="20" spans="1:9" x14ac:dyDescent="0.2">
      <c r="A20" t="s">
        <v>164</v>
      </c>
      <c r="B20" s="9">
        <f>(C15/Overview!B10)^0.5-1</f>
        <v>0.11600304252031712</v>
      </c>
      <c r="D20" s="6" t="s">
        <v>165</v>
      </c>
    </row>
    <row r="21" spans="1:9" x14ac:dyDescent="0.2">
      <c r="A21" t="s">
        <v>166</v>
      </c>
      <c r="B21" t="s">
        <v>167</v>
      </c>
    </row>
    <row r="23" spans="1:9" ht="32" customHeight="1" x14ac:dyDescent="0.2">
      <c r="A23" s="34" t="s">
        <v>168</v>
      </c>
      <c r="B23" s="35"/>
      <c r="C23" s="35"/>
      <c r="D23" s="35"/>
      <c r="E23" s="35"/>
      <c r="F23" s="35"/>
      <c r="G23" s="35"/>
      <c r="H23" s="35"/>
      <c r="I23" s="35"/>
    </row>
  </sheetData>
  <mergeCells count="2">
    <mergeCell ref="A23:I23"/>
    <mergeCell ref="A2:I2"/>
  </mergeCells>
  <pageMargins left="0.3" right="0.3" top="0.4" bottom="0.4"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101"/>
  <sheetViews>
    <sheetView zoomScale="133" workbookViewId="0"/>
  </sheetViews>
  <sheetFormatPr baseColWidth="10" defaultColWidth="8.83203125" defaultRowHeight="15" x14ac:dyDescent="0.2"/>
  <cols>
    <col min="1" max="1" width="44" customWidth="1"/>
    <col min="2" max="3" width="15" customWidth="1"/>
    <col min="4" max="4" width="30" customWidth="1"/>
    <col min="5" max="10" width="15" customWidth="1"/>
  </cols>
  <sheetData>
    <row r="1" spans="1:10" x14ac:dyDescent="0.2">
      <c r="A1" s="11" t="s">
        <v>169</v>
      </c>
    </row>
    <row r="3" spans="1:10" x14ac:dyDescent="0.2">
      <c r="A3" s="3" t="s">
        <v>170</v>
      </c>
      <c r="B3" s="4"/>
      <c r="C3" s="4"/>
      <c r="D3" s="4"/>
      <c r="E3" s="4"/>
      <c r="F3" s="4"/>
      <c r="G3" s="4"/>
      <c r="H3" s="4"/>
      <c r="I3" s="4"/>
      <c r="J3" s="4"/>
    </row>
    <row r="4" spans="1:10" x14ac:dyDescent="0.2">
      <c r="A4" t="s">
        <v>171</v>
      </c>
      <c r="B4" s="17">
        <v>7.0199999999999999E-2</v>
      </c>
      <c r="D4" s="6" t="s">
        <v>172</v>
      </c>
    </row>
    <row r="5" spans="1:10" x14ac:dyDescent="0.2">
      <c r="A5" t="s">
        <v>173</v>
      </c>
      <c r="B5" s="7">
        <v>1.1000000000000001</v>
      </c>
      <c r="D5" s="6" t="s">
        <v>174</v>
      </c>
    </row>
    <row r="6" spans="1:10" x14ac:dyDescent="0.2">
      <c r="A6" t="s">
        <v>175</v>
      </c>
      <c r="B6" s="17">
        <v>6.5000000000000002E-2</v>
      </c>
      <c r="D6" s="6" t="s">
        <v>176</v>
      </c>
    </row>
    <row r="7" spans="1:10" x14ac:dyDescent="0.2">
      <c r="A7" t="s">
        <v>177</v>
      </c>
      <c r="B7" s="22">
        <f>B4+B5*B6</f>
        <v>0.14169999999999999</v>
      </c>
    </row>
    <row r="8" spans="1:10" x14ac:dyDescent="0.2">
      <c r="A8" t="s">
        <v>178</v>
      </c>
      <c r="B8" s="17">
        <f>B4+0.02</f>
        <v>9.0200000000000002E-2</v>
      </c>
    </row>
    <row r="10" spans="1:10" x14ac:dyDescent="0.2">
      <c r="A10" s="3" t="s">
        <v>179</v>
      </c>
      <c r="B10" s="4"/>
      <c r="C10" s="4"/>
      <c r="D10" s="4"/>
      <c r="E10" s="4"/>
      <c r="F10" s="4"/>
      <c r="G10" s="4"/>
      <c r="H10" s="4"/>
      <c r="I10" s="4"/>
      <c r="J10" s="4"/>
    </row>
    <row r="11" spans="1:10" x14ac:dyDescent="0.2">
      <c r="A11" t="s">
        <v>180</v>
      </c>
      <c r="B11" s="5">
        <f>Overview!B6</f>
        <v>3820</v>
      </c>
    </row>
    <row r="12" spans="1:10" x14ac:dyDescent="0.2">
      <c r="A12" t="s">
        <v>158</v>
      </c>
      <c r="B12" s="7">
        <f>Overview!B7</f>
        <v>137.59</v>
      </c>
    </row>
    <row r="13" spans="1:10" x14ac:dyDescent="0.2">
      <c r="A13" t="s">
        <v>90</v>
      </c>
      <c r="B13" s="8">
        <f>'The Parts'!D9</f>
        <v>161658.20619999999</v>
      </c>
    </row>
    <row r="14" spans="1:10" x14ac:dyDescent="0.2">
      <c r="A14" t="s">
        <v>181</v>
      </c>
      <c r="B14" s="14">
        <v>0.2</v>
      </c>
      <c r="D14" s="6" t="s">
        <v>182</v>
      </c>
    </row>
    <row r="15" spans="1:10" x14ac:dyDescent="0.2">
      <c r="A15" t="s">
        <v>183</v>
      </c>
      <c r="B15" s="8">
        <f>Forecast!C11</f>
        <v>12471.724858880003</v>
      </c>
    </row>
    <row r="16" spans="1:10" x14ac:dyDescent="0.2">
      <c r="A16" t="s">
        <v>184</v>
      </c>
      <c r="B16" s="7">
        <f>Forecast!C15</f>
        <v>150.19035795639221</v>
      </c>
    </row>
    <row r="17" spans="1:10" x14ac:dyDescent="0.2">
      <c r="A17" t="s">
        <v>185</v>
      </c>
      <c r="B17" s="8">
        <v>1461.47</v>
      </c>
    </row>
    <row r="18" spans="1:10" x14ac:dyDescent="0.2">
      <c r="A18" t="s">
        <v>186</v>
      </c>
      <c r="B18" s="23">
        <v>1.5389999999999999</v>
      </c>
      <c r="C18" t="s">
        <v>187</v>
      </c>
      <c r="D18" t="s">
        <v>188</v>
      </c>
    </row>
    <row r="19" spans="1:10" x14ac:dyDescent="0.2">
      <c r="A19" t="s">
        <v>189</v>
      </c>
      <c r="B19" s="17">
        <f>Overview!B19/100</f>
        <v>0.01</v>
      </c>
    </row>
    <row r="21" spans="1:10" x14ac:dyDescent="0.2">
      <c r="A21" s="31" t="s">
        <v>190</v>
      </c>
      <c r="B21" s="4"/>
      <c r="C21" s="4"/>
      <c r="D21" s="4"/>
      <c r="E21" s="4"/>
      <c r="F21" s="4"/>
      <c r="G21" s="4"/>
      <c r="H21" s="4"/>
      <c r="I21" s="4"/>
      <c r="J21" s="4"/>
    </row>
    <row r="22" spans="1:10" x14ac:dyDescent="0.2">
      <c r="A22" t="s">
        <v>90</v>
      </c>
      <c r="B22" s="8">
        <f>B13</f>
        <v>161658.20619999999</v>
      </c>
    </row>
    <row r="23" spans="1:10" x14ac:dyDescent="0.2">
      <c r="A23" t="s">
        <v>191</v>
      </c>
      <c r="B23" s="8">
        <f>-B13*B14</f>
        <v>-32331.641239999997</v>
      </c>
    </row>
    <row r="24" spans="1:10" x14ac:dyDescent="0.2">
      <c r="A24" t="s">
        <v>192</v>
      </c>
      <c r="B24" s="10">
        <v>25</v>
      </c>
      <c r="D24" s="6" t="s">
        <v>193</v>
      </c>
    </row>
    <row r="25" spans="1:10" x14ac:dyDescent="0.2">
      <c r="A25" t="s">
        <v>194</v>
      </c>
      <c r="B25" s="8">
        <f>B24*B15</f>
        <v>311793.12147200009</v>
      </c>
      <c r="D25" s="6" t="s">
        <v>195</v>
      </c>
    </row>
    <row r="26" spans="1:10" x14ac:dyDescent="0.2">
      <c r="A26" t="s">
        <v>196</v>
      </c>
      <c r="B26" s="8">
        <f>B17</f>
        <v>1461.47</v>
      </c>
    </row>
    <row r="27" spans="1:10" x14ac:dyDescent="0.2">
      <c r="A27" t="s">
        <v>197</v>
      </c>
      <c r="B27" s="8">
        <f>B22+B23+B25+B26</f>
        <v>442581.15643200005</v>
      </c>
    </row>
    <row r="28" spans="1:10" ht="16" customHeight="1" x14ac:dyDescent="0.2">
      <c r="A28" t="s">
        <v>198</v>
      </c>
      <c r="B28" s="25">
        <f>B27/B12</f>
        <v>3216.6665922814159</v>
      </c>
    </row>
    <row r="29" spans="1:10" ht="16" customHeight="1" x14ac:dyDescent="0.2">
      <c r="B29" s="24"/>
    </row>
    <row r="31" spans="1:10" x14ac:dyDescent="0.2">
      <c r="A31" s="31" t="s">
        <v>199</v>
      </c>
      <c r="B31" s="4"/>
      <c r="C31" s="4"/>
      <c r="D31" s="4"/>
      <c r="E31" s="4"/>
      <c r="F31" s="4"/>
      <c r="G31" s="4"/>
      <c r="H31" s="4"/>
      <c r="I31" s="4"/>
      <c r="J31" s="4"/>
    </row>
    <row r="32" spans="1:10" x14ac:dyDescent="0.2">
      <c r="A32" t="s">
        <v>200</v>
      </c>
      <c r="B32" s="10">
        <v>24</v>
      </c>
      <c r="D32" s="6" t="s">
        <v>201</v>
      </c>
    </row>
    <row r="33" spans="1:10" x14ac:dyDescent="0.2">
      <c r="A33" t="s">
        <v>202</v>
      </c>
      <c r="B33" s="5">
        <f>B32*B16</f>
        <v>3604.5685909534131</v>
      </c>
    </row>
    <row r="34" spans="1:10" ht="16" customHeight="1" x14ac:dyDescent="0.2">
      <c r="A34" s="11" t="s">
        <v>203</v>
      </c>
      <c r="B34" s="25">
        <f>B33</f>
        <v>3604.5685909534131</v>
      </c>
      <c r="D34" t="s">
        <v>204</v>
      </c>
    </row>
    <row r="36" spans="1:10" x14ac:dyDescent="0.2">
      <c r="A36" s="3" t="s">
        <v>205</v>
      </c>
      <c r="B36" s="4"/>
      <c r="C36" s="4"/>
      <c r="D36" s="4"/>
      <c r="E36" s="4"/>
      <c r="F36" s="4"/>
      <c r="G36" s="4"/>
      <c r="H36" s="4"/>
      <c r="I36" s="4"/>
      <c r="J36" s="4"/>
    </row>
    <row r="37" spans="1:10" ht="32" customHeight="1" x14ac:dyDescent="0.2">
      <c r="A37" s="34" t="s">
        <v>206</v>
      </c>
      <c r="B37" s="35"/>
      <c r="C37" s="35"/>
      <c r="D37" s="35"/>
      <c r="E37" s="35"/>
      <c r="F37" s="35"/>
      <c r="G37" s="35"/>
      <c r="H37" s="35"/>
      <c r="I37" s="35"/>
      <c r="J37" s="35"/>
    </row>
    <row r="38" spans="1:10" x14ac:dyDescent="0.2">
      <c r="A38" t="s">
        <v>207</v>
      </c>
      <c r="B38" s="14">
        <f>1-B44/(Overview!B18/100)</f>
        <v>0.55849056603773595</v>
      </c>
      <c r="D38" s="6" t="s">
        <v>208</v>
      </c>
    </row>
    <row r="39" spans="1:10" x14ac:dyDescent="0.2">
      <c r="A39" t="s">
        <v>209</v>
      </c>
      <c r="B39" s="11" t="s">
        <v>149</v>
      </c>
      <c r="C39" s="11" t="s">
        <v>150</v>
      </c>
      <c r="D39" s="11" t="s">
        <v>151</v>
      </c>
      <c r="E39" s="11" t="s">
        <v>152</v>
      </c>
      <c r="F39" s="11" t="s">
        <v>153</v>
      </c>
    </row>
    <row r="40" spans="1:10" x14ac:dyDescent="0.2">
      <c r="A40" t="s">
        <v>210</v>
      </c>
      <c r="B40" s="8">
        <f>Forecast!B11*$B$38</f>
        <v>6219.054174913209</v>
      </c>
      <c r="C40" s="8">
        <f>Forecast!C11*$B$38</f>
        <v>6965.3406759027957</v>
      </c>
      <c r="D40" s="8">
        <f>Forecast!D11*$B$38</f>
        <v>7731.5281502521029</v>
      </c>
      <c r="E40" s="8">
        <f>Forecast!E11*$B$38</f>
        <v>8504.6809652773136</v>
      </c>
      <c r="F40" s="8">
        <f>Forecast!F11*$B$38</f>
        <v>9355.1490618050448</v>
      </c>
    </row>
    <row r="41" spans="1:10" x14ac:dyDescent="0.2">
      <c r="A41" t="s">
        <v>211</v>
      </c>
      <c r="B41" s="23">
        <v>0.53700000000000003</v>
      </c>
      <c r="C41" s="23">
        <v>1.54</v>
      </c>
      <c r="D41" s="23">
        <v>2.54</v>
      </c>
      <c r="E41" s="23">
        <v>3.54</v>
      </c>
      <c r="F41" s="23">
        <v>4.54</v>
      </c>
    </row>
    <row r="42" spans="1:10" x14ac:dyDescent="0.2">
      <c r="A42" t="s">
        <v>212</v>
      </c>
      <c r="B42" s="8">
        <f>B40/(1+$B$7)^B41</f>
        <v>5791.8714670711233</v>
      </c>
      <c r="C42" s="8">
        <f>C40/(1+$B$7)^C41</f>
        <v>5679.5284722958995</v>
      </c>
      <c r="D42" s="8">
        <f>D40/(1+$B$7)^D41</f>
        <v>5521.8328845129627</v>
      </c>
      <c r="E42" s="8">
        <f>E40/(1+$B$7)^E41</f>
        <v>5320.1508040328099</v>
      </c>
      <c r="F42" s="8">
        <f>F40/(1+$B$7)^F41</f>
        <v>5125.8350568766673</v>
      </c>
    </row>
    <row r="43" spans="1:10" x14ac:dyDescent="0.2">
      <c r="A43" t="s">
        <v>213</v>
      </c>
      <c r="B43" s="8">
        <f>SUM(B42:F42)</f>
        <v>27439.218684789463</v>
      </c>
    </row>
    <row r="44" spans="1:10" x14ac:dyDescent="0.2">
      <c r="A44" t="s">
        <v>214</v>
      </c>
      <c r="B44" s="10">
        <f>B4</f>
        <v>7.0199999999999999E-2</v>
      </c>
      <c r="D44" t="s">
        <v>215</v>
      </c>
    </row>
    <row r="45" spans="1:10" x14ac:dyDescent="0.2">
      <c r="A45" t="s">
        <v>216</v>
      </c>
      <c r="B45" s="8">
        <f>F40*(1+B44)/(B7-B44)</f>
        <v>140026.30106215048</v>
      </c>
    </row>
    <row r="46" spans="1:10" x14ac:dyDescent="0.2">
      <c r="A46" t="s">
        <v>217</v>
      </c>
      <c r="B46" s="8">
        <f>B45/(1+B7)^F41</f>
        <v>76722.638851320415</v>
      </c>
    </row>
    <row r="47" spans="1:10" x14ac:dyDescent="0.2">
      <c r="A47" t="s">
        <v>218</v>
      </c>
      <c r="B47" s="14">
        <f>B46/(B43+B46)</f>
        <v>0.73657133874290703</v>
      </c>
    </row>
    <row r="48" spans="1:10" x14ac:dyDescent="0.2">
      <c r="A48" t="s">
        <v>219</v>
      </c>
      <c r="B48" s="17">
        <f>B45/Forecast!F11</f>
        <v>8.3593930597704187</v>
      </c>
      <c r="D48" s="6" t="s">
        <v>220</v>
      </c>
    </row>
    <row r="49" spans="1:10" x14ac:dyDescent="0.2">
      <c r="A49" t="s">
        <v>221</v>
      </c>
      <c r="B49" s="8">
        <f>B43+B46</f>
        <v>104161.85753610988</v>
      </c>
    </row>
    <row r="50" spans="1:10" x14ac:dyDescent="0.2">
      <c r="A50" t="s">
        <v>222</v>
      </c>
      <c r="B50" s="8">
        <f>B13*(1-B14)</f>
        <v>129326.56495999999</v>
      </c>
    </row>
    <row r="51" spans="1:10" x14ac:dyDescent="0.2">
      <c r="A51" t="s">
        <v>223</v>
      </c>
      <c r="B51" s="8">
        <f>B17</f>
        <v>1461.47</v>
      </c>
    </row>
    <row r="52" spans="1:10" ht="16" customHeight="1" x14ac:dyDescent="0.2">
      <c r="A52" t="s">
        <v>224</v>
      </c>
      <c r="B52" s="25">
        <f>(B49+B50+B51)/B12</f>
        <v>1707.6087833135391</v>
      </c>
    </row>
    <row r="54" spans="1:10" x14ac:dyDescent="0.2">
      <c r="A54" s="3" t="s">
        <v>225</v>
      </c>
      <c r="B54" s="4"/>
      <c r="C54" s="4"/>
      <c r="D54" s="4"/>
      <c r="E54" s="4"/>
      <c r="F54" s="4"/>
      <c r="G54" s="4"/>
      <c r="H54" s="4"/>
      <c r="I54" s="4"/>
      <c r="J54" s="4"/>
    </row>
    <row r="55" spans="1:10" x14ac:dyDescent="0.2">
      <c r="A55" s="16" t="s">
        <v>226</v>
      </c>
      <c r="B55" s="16" t="s">
        <v>227</v>
      </c>
      <c r="C55" s="16" t="s">
        <v>228</v>
      </c>
      <c r="D55" s="16" t="s">
        <v>229</v>
      </c>
    </row>
    <row r="56" spans="1:10" x14ac:dyDescent="0.2">
      <c r="A56" t="s">
        <v>230</v>
      </c>
      <c r="B56" s="5">
        <f>B28</f>
        <v>3216.6665922814159</v>
      </c>
      <c r="C56" s="9">
        <f>B56/$B$11-1</f>
        <v>-0.15794068264884398</v>
      </c>
      <c r="D56" s="14">
        <v>0.45</v>
      </c>
    </row>
    <row r="57" spans="1:10" x14ac:dyDescent="0.2">
      <c r="A57" t="s">
        <v>231</v>
      </c>
      <c r="B57" s="5">
        <f>B34</f>
        <v>3604.5685909534131</v>
      </c>
      <c r="C57" s="9">
        <f>B57/$B$11-1</f>
        <v>-5.6395656818478246E-2</v>
      </c>
      <c r="D57" s="14">
        <v>0.3</v>
      </c>
    </row>
    <row r="58" spans="1:10" x14ac:dyDescent="0.2">
      <c r="A58" t="s">
        <v>232</v>
      </c>
      <c r="B58" s="5">
        <f>B52</f>
        <v>1707.6087833135391</v>
      </c>
      <c r="C58" s="9">
        <f>B58/$B$11-1</f>
        <v>-0.55298199389697933</v>
      </c>
      <c r="D58" s="14">
        <v>0.25</v>
      </c>
    </row>
    <row r="60" spans="1:10" ht="17" customHeight="1" x14ac:dyDescent="0.2">
      <c r="A60" t="s">
        <v>233</v>
      </c>
      <c r="B60" s="26">
        <f>SUMPRODUCT(B56:B58,D56:D58)</f>
        <v>2955.7727396410455</v>
      </c>
    </row>
    <row r="61" spans="1:10" x14ac:dyDescent="0.2">
      <c r="A61" t="s">
        <v>234</v>
      </c>
      <c r="B61" s="9">
        <f>B60/B11-1</f>
        <v>-0.22623750271176823</v>
      </c>
    </row>
    <row r="62" spans="1:10" x14ac:dyDescent="0.2">
      <c r="A62" t="s">
        <v>235</v>
      </c>
      <c r="B62" s="17">
        <f>B19</f>
        <v>0.01</v>
      </c>
    </row>
    <row r="63" spans="1:10" x14ac:dyDescent="0.2">
      <c r="A63" t="s">
        <v>236</v>
      </c>
      <c r="B63" s="19">
        <f>B61+B62</f>
        <v>-0.21623750271176823</v>
      </c>
    </row>
    <row r="64" spans="1:10" ht="17" customHeight="1" x14ac:dyDescent="0.2">
      <c r="A64" t="s">
        <v>237</v>
      </c>
      <c r="B64" s="27" t="str">
        <f>IF(B63&gt;B7,"BUY",IF(B63&gt;B8,"ACCUMULATE",IF(B63&gt;0,"HOLD","REDUCE")))</f>
        <v>REDUCE</v>
      </c>
    </row>
    <row r="66" spans="1:10" x14ac:dyDescent="0.2">
      <c r="A66" s="31" t="s">
        <v>238</v>
      </c>
      <c r="B66" s="4"/>
      <c r="C66" s="4"/>
      <c r="D66" s="4"/>
      <c r="E66" s="4"/>
      <c r="F66" s="4"/>
      <c r="G66" s="4"/>
      <c r="H66" s="4"/>
      <c r="I66" s="4"/>
      <c r="J66" s="4"/>
    </row>
    <row r="67" spans="1:10" x14ac:dyDescent="0.2">
      <c r="A67" s="16" t="s">
        <v>239</v>
      </c>
      <c r="B67" s="16" t="s">
        <v>240</v>
      </c>
      <c r="C67" s="16" t="s">
        <v>241</v>
      </c>
      <c r="D67" s="16" t="s">
        <v>242</v>
      </c>
      <c r="E67" t="s">
        <v>243</v>
      </c>
    </row>
    <row r="68" spans="1:10" x14ac:dyDescent="0.2">
      <c r="A68" t="s">
        <v>244</v>
      </c>
      <c r="B68" s="8">
        <v>0.68553459119496862</v>
      </c>
      <c r="C68" s="8">
        <v>7.8496327236065131</v>
      </c>
      <c r="D68" s="17">
        <v>1718.9583938779831</v>
      </c>
      <c r="E68">
        <v>2958.617221258788</v>
      </c>
    </row>
    <row r="69" spans="1:10" x14ac:dyDescent="0.2">
      <c r="A69" t="s">
        <v>245</v>
      </c>
      <c r="B69" s="8">
        <v>0.62264150943396235</v>
      </c>
      <c r="C69" s="8">
        <v>8.0783353733170138</v>
      </c>
      <c r="D69" s="17">
        <v>1711.755955096726</v>
      </c>
      <c r="E69">
        <v>2956.816611563474</v>
      </c>
    </row>
    <row r="70" spans="1:10" x14ac:dyDescent="0.2">
      <c r="A70" t="s">
        <v>246</v>
      </c>
      <c r="B70" s="8">
        <v>0.55849056603773595</v>
      </c>
      <c r="C70" s="8">
        <v>8.3593930597704205</v>
      </c>
      <c r="D70" s="17">
        <v>1707.596781530759</v>
      </c>
      <c r="E70">
        <v>2955.7768181719821</v>
      </c>
      <c r="F70" t="s">
        <v>247</v>
      </c>
    </row>
    <row r="71" spans="1:10" x14ac:dyDescent="0.2">
      <c r="A71" s="11" t="s">
        <v>248</v>
      </c>
      <c r="B71" s="18">
        <v>0.49685534591194969</v>
      </c>
      <c r="C71" s="18">
        <v>8.6969817436775649</v>
      </c>
      <c r="D71" s="22">
        <v>1708.1069448478429</v>
      </c>
      <c r="E71" s="6">
        <v>2955.9043590012529</v>
      </c>
    </row>
    <row r="72" spans="1:10" x14ac:dyDescent="0.2">
      <c r="A72" t="s">
        <v>249</v>
      </c>
      <c r="B72" s="8">
        <v>0.43396226415094341</v>
      </c>
      <c r="C72" s="8">
        <v>9.1493011203970678</v>
      </c>
      <c r="D72" s="17">
        <v>1715.8212504841349</v>
      </c>
      <c r="E72">
        <v>2957.8329354103262</v>
      </c>
    </row>
    <row r="73" spans="1:10" x14ac:dyDescent="0.2">
      <c r="A73" t="s">
        <v>250</v>
      </c>
      <c r="B73" s="8">
        <v>2963.686333236788</v>
      </c>
      <c r="C73" s="8">
        <v>3070.2934130286922</v>
      </c>
      <c r="D73" s="17">
        <v>0.1084466019417476</v>
      </c>
    </row>
    <row r="74" spans="1:10" ht="48" customHeight="1" x14ac:dyDescent="0.2">
      <c r="A74" s="34" t="s">
        <v>251</v>
      </c>
      <c r="B74" s="35"/>
      <c r="C74" s="35"/>
      <c r="D74" s="35"/>
      <c r="E74" s="35"/>
      <c r="F74" s="35"/>
      <c r="G74" s="35"/>
      <c r="H74" s="35"/>
      <c r="I74" s="35"/>
      <c r="J74" s="35"/>
    </row>
    <row r="76" spans="1:10" x14ac:dyDescent="0.2">
      <c r="A76" s="3" t="s">
        <v>252</v>
      </c>
      <c r="B76" s="4"/>
      <c r="C76" s="4"/>
      <c r="D76" s="4"/>
      <c r="E76" s="4"/>
      <c r="F76" s="4"/>
      <c r="G76" s="4"/>
      <c r="H76" s="4"/>
      <c r="I76" s="4"/>
      <c r="J76" s="4"/>
    </row>
    <row r="77" spans="1:10" x14ac:dyDescent="0.2">
      <c r="A77" s="16" t="s">
        <v>253</v>
      </c>
      <c r="B77" s="16" t="s">
        <v>254</v>
      </c>
      <c r="C77" s="16" t="s">
        <v>255</v>
      </c>
      <c r="D77" s="16" t="s">
        <v>256</v>
      </c>
      <c r="E77" s="16" t="s">
        <v>239</v>
      </c>
      <c r="F77" s="16" t="s">
        <v>257</v>
      </c>
      <c r="G77" s="16" t="s">
        <v>258</v>
      </c>
      <c r="H77" s="16" t="s">
        <v>243</v>
      </c>
      <c r="I77" s="16" t="s">
        <v>259</v>
      </c>
      <c r="J77" s="16" t="s">
        <v>260</v>
      </c>
    </row>
    <row r="78" spans="1:10" x14ac:dyDescent="0.2">
      <c r="A78" t="s">
        <v>261</v>
      </c>
      <c r="B78" t="s">
        <v>262</v>
      </c>
      <c r="C78" t="s">
        <v>263</v>
      </c>
      <c r="D78" t="s">
        <v>263</v>
      </c>
      <c r="E78" t="s">
        <v>244</v>
      </c>
      <c r="F78" t="s">
        <v>264</v>
      </c>
      <c r="G78" s="7">
        <v>141.17932394330211</v>
      </c>
      <c r="H78" s="5">
        <v>2393.907910974282</v>
      </c>
      <c r="I78" s="9">
        <f>H78/$B$11-1+$B$19</f>
        <v>-0.36332253639416701</v>
      </c>
      <c r="J78" s="11" t="str">
        <f>IF(I78&gt;$B$7,"BUY",IF(I78&gt;$B$8,"ACCUMULATE",IF(I78&gt;0,"HOLD","REDUCE")))</f>
        <v>REDUCE</v>
      </c>
    </row>
    <row r="79" spans="1:10" x14ac:dyDescent="0.2">
      <c r="A79" t="s">
        <v>265</v>
      </c>
      <c r="B79" t="s">
        <v>266</v>
      </c>
      <c r="C79" t="s">
        <v>267</v>
      </c>
      <c r="D79" t="s">
        <v>268</v>
      </c>
      <c r="E79" t="s">
        <v>246</v>
      </c>
      <c r="F79" t="s">
        <v>269</v>
      </c>
      <c r="G79" s="7">
        <v>150.19038707292049</v>
      </c>
      <c r="H79" s="5">
        <f>B60</f>
        <v>2955.7727396410455</v>
      </c>
      <c r="I79" s="9">
        <f>H79/$B$11-1+$B$19</f>
        <v>-0.21623750271176823</v>
      </c>
      <c r="J79" s="11" t="str">
        <f>IF(I79&gt;$B$7,"BUY",IF(I79&gt;$B$8,"ACCUMULATE",IF(I79&gt;0,"HOLD","REDUCE")))</f>
        <v>REDUCE</v>
      </c>
    </row>
    <row r="80" spans="1:10" x14ac:dyDescent="0.2">
      <c r="A80" t="s">
        <v>270</v>
      </c>
      <c r="B80" t="s">
        <v>271</v>
      </c>
      <c r="C80" t="s">
        <v>272</v>
      </c>
      <c r="D80" t="s">
        <v>273</v>
      </c>
      <c r="E80" t="s">
        <v>249</v>
      </c>
      <c r="F80" t="s">
        <v>274</v>
      </c>
      <c r="G80" s="7">
        <v>159.49309908111269</v>
      </c>
      <c r="H80" s="5">
        <v>3584.080523769574</v>
      </c>
      <c r="I80" s="9">
        <f>H80/$B$11-1+$B$19</f>
        <v>-5.1759025191211012E-2</v>
      </c>
      <c r="J80" s="11" t="str">
        <f>IF(I80&gt;$B$7,"BUY",IF(I80&gt;$B$8,"ACCUMULATE",IF(I80&gt;0,"HOLD","REDUCE")))</f>
        <v>REDUCE</v>
      </c>
    </row>
    <row r="82" spans="1:10" ht="32" customHeight="1" x14ac:dyDescent="0.2">
      <c r="A82" s="34" t="s">
        <v>275</v>
      </c>
      <c r="B82" s="35"/>
      <c r="C82" s="35"/>
      <c r="D82" s="35"/>
      <c r="E82" s="35"/>
      <c r="F82" s="35"/>
      <c r="G82" s="35"/>
      <c r="H82" s="35"/>
      <c r="I82" s="35"/>
      <c r="J82" s="35"/>
    </row>
    <row r="84" spans="1:10" x14ac:dyDescent="0.2">
      <c r="A84" s="3" t="s">
        <v>276</v>
      </c>
      <c r="B84" s="4"/>
      <c r="C84" s="4"/>
      <c r="D84" s="4"/>
      <c r="E84" s="4"/>
      <c r="F84" s="4"/>
      <c r="G84" s="4"/>
      <c r="H84" s="4"/>
      <c r="I84" s="4"/>
      <c r="J84" s="4"/>
    </row>
    <row r="85" spans="1:10" ht="22" customHeight="1" x14ac:dyDescent="0.2">
      <c r="A85" s="34" t="s">
        <v>277</v>
      </c>
      <c r="B85" s="35"/>
      <c r="C85" s="35"/>
      <c r="D85" s="35"/>
      <c r="E85" s="35"/>
      <c r="F85" s="35"/>
      <c r="G85" s="35"/>
      <c r="H85" s="35"/>
      <c r="I85" s="35"/>
      <c r="J85" s="35"/>
    </row>
    <row r="86" spans="1:10" x14ac:dyDescent="0.2">
      <c r="A86" s="16" t="s">
        <v>278</v>
      </c>
      <c r="B86" s="16" t="s">
        <v>263</v>
      </c>
      <c r="C86" s="16" t="s">
        <v>279</v>
      </c>
      <c r="D86" s="16" t="s">
        <v>267</v>
      </c>
      <c r="E86" s="16" t="s">
        <v>273</v>
      </c>
      <c r="F86" s="16" t="s">
        <v>280</v>
      </c>
    </row>
    <row r="87" spans="1:10" x14ac:dyDescent="0.2">
      <c r="A87" t="s">
        <v>262</v>
      </c>
      <c r="B87" s="28">
        <v>2404.667656622687</v>
      </c>
      <c r="C87" s="28">
        <v>2566.824457062799</v>
      </c>
      <c r="D87" s="28">
        <v>2810.059657722968</v>
      </c>
      <c r="E87" s="28">
        <v>3053.2948583831362</v>
      </c>
      <c r="F87" s="28">
        <v>3377.6084592633611</v>
      </c>
    </row>
    <row r="88" spans="1:10" x14ac:dyDescent="0.2">
      <c r="A88" t="s">
        <v>281</v>
      </c>
      <c r="B88" s="28">
        <v>2464.6898929671538</v>
      </c>
      <c r="C88" s="28">
        <v>2631.5726442578939</v>
      </c>
      <c r="D88" s="28">
        <v>2881.896771194004</v>
      </c>
      <c r="E88" s="28">
        <v>3132.2208981301142</v>
      </c>
      <c r="F88" s="28">
        <v>3465.9864007115939</v>
      </c>
    </row>
    <row r="89" spans="1:10" x14ac:dyDescent="0.2">
      <c r="A89" t="s">
        <v>282</v>
      </c>
      <c r="B89" s="28">
        <v>2526.5382760822949</v>
      </c>
      <c r="C89" s="28">
        <v>2698.2336929181702</v>
      </c>
      <c r="D89" s="28">
        <v>2955.7768181719821</v>
      </c>
      <c r="E89" s="28">
        <v>3213.319943425794</v>
      </c>
      <c r="F89" s="28">
        <v>3556.710777097544</v>
      </c>
    </row>
    <row r="90" spans="1:10" x14ac:dyDescent="0.2">
      <c r="A90" t="s">
        <v>283</v>
      </c>
      <c r="B90" s="28">
        <v>2590.265760133489</v>
      </c>
      <c r="C90" s="28">
        <v>2766.860557209005</v>
      </c>
      <c r="D90" s="28">
        <v>3031.7527528222799</v>
      </c>
      <c r="E90" s="28">
        <v>3296.6449484355549</v>
      </c>
      <c r="F90" s="28">
        <v>3649.8345425865882</v>
      </c>
    </row>
    <row r="91" spans="1:10" x14ac:dyDescent="0.2">
      <c r="A91" t="s">
        <v>271</v>
      </c>
      <c r="B91" s="28">
        <v>2655.9272047934141</v>
      </c>
      <c r="C91" s="28">
        <v>2837.5080968030779</v>
      </c>
      <c r="D91" s="28">
        <v>3109.879434817577</v>
      </c>
      <c r="E91" s="28">
        <v>3382.2507728320738</v>
      </c>
      <c r="F91" s="29">
        <v>3745.412556851405</v>
      </c>
    </row>
    <row r="93" spans="1:10" x14ac:dyDescent="0.2">
      <c r="A93" t="s">
        <v>284</v>
      </c>
      <c r="B93" s="30">
        <v>35.06693361715223</v>
      </c>
    </row>
    <row r="94" spans="1:10" x14ac:dyDescent="0.2">
      <c r="A94" t="s">
        <v>285</v>
      </c>
      <c r="B94" s="30">
        <f>'The Parts'!B35</f>
        <v>29.180854927285697</v>
      </c>
    </row>
    <row r="95" spans="1:10" ht="44" customHeight="1" x14ac:dyDescent="0.2">
      <c r="A95" s="34" t="s">
        <v>286</v>
      </c>
      <c r="B95" s="35"/>
      <c r="C95" s="35"/>
      <c r="D95" s="35"/>
      <c r="E95" s="35"/>
      <c r="F95" s="35"/>
      <c r="G95" s="35"/>
      <c r="H95" s="35"/>
      <c r="I95" s="35"/>
      <c r="J95" s="35"/>
    </row>
    <row r="96" spans="1:10" x14ac:dyDescent="0.2">
      <c r="A96" t="s">
        <v>287</v>
      </c>
      <c r="B96">
        <v>28.9153331335805</v>
      </c>
    </row>
    <row r="97" spans="1:4" x14ac:dyDescent="0.2">
      <c r="A97" t="s">
        <v>288</v>
      </c>
      <c r="B97">
        <v>3371.8368303857228</v>
      </c>
      <c r="C97">
        <f>B97/B11-1</f>
        <v>-0.11732020146970612</v>
      </c>
    </row>
    <row r="99" spans="1:4" x14ac:dyDescent="0.2">
      <c r="A99" s="11" t="s">
        <v>289</v>
      </c>
    </row>
    <row r="100" spans="1:4" x14ac:dyDescent="0.2">
      <c r="A100" t="s">
        <v>290</v>
      </c>
      <c r="B100">
        <v>0.13999999999999979</v>
      </c>
      <c r="D100" t="s">
        <v>291</v>
      </c>
    </row>
    <row r="101" spans="1:4" x14ac:dyDescent="0.2">
      <c r="A101" t="s">
        <v>292</v>
      </c>
      <c r="B101">
        <v>0.48142658165415569</v>
      </c>
      <c r="D101" t="s">
        <v>293</v>
      </c>
    </row>
  </sheetData>
  <mergeCells count="5">
    <mergeCell ref="A85:J85"/>
    <mergeCell ref="A37:J37"/>
    <mergeCell ref="A74:J74"/>
    <mergeCell ref="A95:J95"/>
    <mergeCell ref="A82:J82"/>
  </mergeCells>
  <pageMargins left="0.3" right="0.3" top="0.4" bottom="0.4" header="0.5" footer="0.5"/>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49"/>
  <sheetViews>
    <sheetView zoomScale="143" workbookViewId="0"/>
  </sheetViews>
  <sheetFormatPr baseColWidth="10" defaultColWidth="8.83203125" defaultRowHeight="15" x14ac:dyDescent="0.2"/>
  <cols>
    <col min="1" max="1" width="42" customWidth="1"/>
    <col min="2" max="3" width="14" customWidth="1"/>
    <col min="4" max="4" width="44" customWidth="1"/>
    <col min="5" max="5" width="14" customWidth="1"/>
    <col min="6" max="6" width="16" customWidth="1"/>
    <col min="7" max="7" width="12" customWidth="1"/>
  </cols>
  <sheetData>
    <row r="1" spans="1:8" ht="19" customHeight="1" x14ac:dyDescent="0.25">
      <c r="A1" s="1" t="s">
        <v>294</v>
      </c>
    </row>
    <row r="3" spans="1:8" x14ac:dyDescent="0.2">
      <c r="A3" s="3" t="s">
        <v>295</v>
      </c>
      <c r="B3" s="4"/>
      <c r="C3" s="4"/>
      <c r="D3" s="4"/>
      <c r="E3" s="4"/>
      <c r="F3" s="4"/>
      <c r="G3" s="4"/>
      <c r="H3" t="s">
        <v>296</v>
      </c>
    </row>
    <row r="4" spans="1:8" x14ac:dyDescent="0.2">
      <c r="A4" s="16" t="s">
        <v>99</v>
      </c>
      <c r="B4" s="16" t="s">
        <v>297</v>
      </c>
      <c r="C4" s="16" t="s">
        <v>298</v>
      </c>
      <c r="D4" s="16" t="s">
        <v>100</v>
      </c>
      <c r="E4" s="16" t="s">
        <v>299</v>
      </c>
      <c r="F4" s="16" t="s">
        <v>300</v>
      </c>
      <c r="G4" s="16" t="s">
        <v>301</v>
      </c>
    </row>
    <row r="5" spans="1:8" x14ac:dyDescent="0.2">
      <c r="A5" s="11" t="s">
        <v>302</v>
      </c>
      <c r="B5" s="5">
        <v>3850</v>
      </c>
      <c r="C5" s="7">
        <v>30.99</v>
      </c>
      <c r="D5" s="8">
        <v>531833</v>
      </c>
      <c r="E5" s="7">
        <v>0.99</v>
      </c>
      <c r="F5" s="7">
        <v>6.69</v>
      </c>
      <c r="G5" s="7">
        <v>14.57</v>
      </c>
    </row>
    <row r="6" spans="1:8" x14ac:dyDescent="0.2">
      <c r="A6" t="s">
        <v>303</v>
      </c>
      <c r="B6" s="5">
        <v>207.5</v>
      </c>
      <c r="C6" s="7">
        <v>47.99</v>
      </c>
      <c r="D6" s="8">
        <v>43172</v>
      </c>
      <c r="E6" s="7">
        <v>0.82</v>
      </c>
      <c r="F6" s="7">
        <v>10.55</v>
      </c>
      <c r="G6" s="7">
        <v>10.8</v>
      </c>
    </row>
    <row r="7" spans="1:8" x14ac:dyDescent="0.2">
      <c r="A7" t="s">
        <v>304</v>
      </c>
      <c r="B7" s="5">
        <v>1394.3</v>
      </c>
      <c r="C7" s="7">
        <v>21.44</v>
      </c>
      <c r="D7" s="8">
        <v>23828</v>
      </c>
      <c r="E7" s="7">
        <v>0.79</v>
      </c>
      <c r="F7" s="7">
        <v>3.84</v>
      </c>
      <c r="G7" s="7">
        <v>18.28</v>
      </c>
    </row>
    <row r="8" spans="1:8" x14ac:dyDescent="0.2">
      <c r="A8" t="s">
        <v>305</v>
      </c>
      <c r="B8" s="5">
        <v>19.27</v>
      </c>
      <c r="C8" s="7">
        <v>23.66</v>
      </c>
      <c r="D8" s="8">
        <v>23274</v>
      </c>
      <c r="E8" s="7">
        <v>0.81</v>
      </c>
      <c r="F8" s="7">
        <v>1.82</v>
      </c>
      <c r="G8" s="7">
        <v>7.47</v>
      </c>
    </row>
    <row r="9" spans="1:8" x14ac:dyDescent="0.2">
      <c r="A9" t="s">
        <v>306</v>
      </c>
      <c r="B9" s="5">
        <v>86.03</v>
      </c>
      <c r="C9" s="7">
        <v>34</v>
      </c>
      <c r="D9" s="8">
        <v>23271</v>
      </c>
      <c r="E9" s="7">
        <v>1.1599999999999999</v>
      </c>
      <c r="F9" s="7">
        <v>-5.51</v>
      </c>
      <c r="G9" s="7">
        <v>29.32</v>
      </c>
    </row>
    <row r="10" spans="1:8" x14ac:dyDescent="0.2">
      <c r="A10" t="s">
        <v>307</v>
      </c>
      <c r="B10" s="5">
        <v>1285</v>
      </c>
      <c r="C10" s="7">
        <v>36.729999999999997</v>
      </c>
      <c r="D10" s="8">
        <v>22097</v>
      </c>
      <c r="E10" s="7">
        <v>0.23</v>
      </c>
      <c r="F10" s="7">
        <v>5.61</v>
      </c>
      <c r="G10" s="7">
        <v>32.76</v>
      </c>
    </row>
    <row r="11" spans="1:8" x14ac:dyDescent="0.2">
      <c r="A11" s="11" t="s">
        <v>308</v>
      </c>
      <c r="B11" s="5">
        <v>144.94999999999999</v>
      </c>
      <c r="C11" s="7">
        <v>15.74</v>
      </c>
      <c r="D11" s="8">
        <v>739.79</v>
      </c>
      <c r="E11" s="7">
        <v>0</v>
      </c>
      <c r="F11" s="7">
        <v>10.59</v>
      </c>
      <c r="G11" s="7">
        <v>15.78</v>
      </c>
    </row>
    <row r="12" spans="1:8" ht="48" customHeight="1" x14ac:dyDescent="0.2">
      <c r="A12" s="34" t="s">
        <v>309</v>
      </c>
      <c r="B12" s="35"/>
      <c r="C12" s="35"/>
      <c r="D12" s="35"/>
      <c r="E12" s="35"/>
      <c r="F12" s="35"/>
      <c r="G12" s="35"/>
    </row>
    <row r="14" spans="1:8" x14ac:dyDescent="0.2">
      <c r="A14" s="31" t="s">
        <v>310</v>
      </c>
      <c r="B14" s="4"/>
      <c r="C14" s="4"/>
      <c r="D14" s="4"/>
      <c r="E14" s="4"/>
      <c r="F14" s="4"/>
      <c r="G14" s="4"/>
    </row>
    <row r="15" spans="1:8" x14ac:dyDescent="0.2">
      <c r="A15" s="32" t="s">
        <v>311</v>
      </c>
      <c r="B15" s="32" t="s">
        <v>312</v>
      </c>
      <c r="C15" s="32" t="s">
        <v>260</v>
      </c>
      <c r="D15" s="32" t="s">
        <v>313</v>
      </c>
      <c r="E15" s="32" t="s">
        <v>314</v>
      </c>
      <c r="F15" s="32" t="s">
        <v>315</v>
      </c>
    </row>
    <row r="16" spans="1:8" x14ac:dyDescent="0.2">
      <c r="A16" t="s">
        <v>316</v>
      </c>
      <c r="B16" s="8">
        <v>4065</v>
      </c>
      <c r="C16" t="s">
        <v>317</v>
      </c>
      <c r="D16" s="6" t="s">
        <v>318</v>
      </c>
      <c r="E16" s="9" t="s">
        <v>319</v>
      </c>
      <c r="F16">
        <f>B16/Valuation!$B$11-1</f>
        <v>6.4136125654450371E-2</v>
      </c>
    </row>
    <row r="17" spans="1:7" x14ac:dyDescent="0.2">
      <c r="A17" t="s">
        <v>320</v>
      </c>
      <c r="B17" s="8">
        <v>4680</v>
      </c>
      <c r="C17" t="s">
        <v>321</v>
      </c>
      <c r="D17" s="6" t="s">
        <v>322</v>
      </c>
      <c r="E17" s="9" t="s">
        <v>323</v>
      </c>
      <c r="F17">
        <f>B17/Valuation!$B$11-1</f>
        <v>0.22513089005235609</v>
      </c>
    </row>
    <row r="18" spans="1:7" ht="32" customHeight="1" x14ac:dyDescent="0.2">
      <c r="A18" s="2" t="s">
        <v>324</v>
      </c>
      <c r="B18">
        <v>3940</v>
      </c>
      <c r="C18" t="s">
        <v>325</v>
      </c>
      <c r="D18" t="s">
        <v>326</v>
      </c>
      <c r="E18" t="s">
        <v>327</v>
      </c>
      <c r="F18">
        <f>B18/Valuation!$B$11-1</f>
        <v>3.1413612565444948E-2</v>
      </c>
    </row>
    <row r="19" spans="1:7" x14ac:dyDescent="0.2">
      <c r="A19" t="s">
        <v>328</v>
      </c>
      <c r="B19">
        <v>4300</v>
      </c>
      <c r="C19" t="s">
        <v>329</v>
      </c>
      <c r="D19" t="s">
        <v>330</v>
      </c>
      <c r="E19" t="s">
        <v>331</v>
      </c>
      <c r="F19">
        <f>B19/Valuation!$B$11-1</f>
        <v>0.12565445026178002</v>
      </c>
    </row>
    <row r="20" spans="1:7" x14ac:dyDescent="0.2">
      <c r="A20" s="3" t="s">
        <v>332</v>
      </c>
      <c r="B20" s="4">
        <v>4885</v>
      </c>
      <c r="C20" s="4" t="s">
        <v>321</v>
      </c>
      <c r="D20" s="4" t="s">
        <v>330</v>
      </c>
      <c r="E20" s="4" t="s">
        <v>333</v>
      </c>
      <c r="F20" s="4">
        <f>B20/Valuation!$B$11-1</f>
        <v>0.27879581151832467</v>
      </c>
      <c r="G20" s="4"/>
    </row>
    <row r="21" spans="1:7" ht="44" customHeight="1" x14ac:dyDescent="0.2">
      <c r="A21" s="2" t="s">
        <v>334</v>
      </c>
      <c r="B21">
        <v>3700</v>
      </c>
      <c r="C21" t="s">
        <v>335</v>
      </c>
      <c r="D21" t="s">
        <v>336</v>
      </c>
      <c r="E21" t="s">
        <v>337</v>
      </c>
      <c r="F21">
        <f>B21/Valuation!$B$11-1</f>
        <v>-3.1413612565445059E-2</v>
      </c>
    </row>
    <row r="23" spans="1:7" x14ac:dyDescent="0.2">
      <c r="A23" s="37" t="s">
        <v>338</v>
      </c>
      <c r="B23" s="35"/>
      <c r="C23" s="35"/>
      <c r="D23" s="35"/>
      <c r="E23" s="35"/>
      <c r="F23" s="35"/>
      <c r="G23" s="35"/>
    </row>
    <row r="24" spans="1:7" ht="48" customHeight="1" x14ac:dyDescent="0.2">
      <c r="A24" s="2"/>
    </row>
    <row r="25" spans="1:7" x14ac:dyDescent="0.2">
      <c r="A25" s="11" t="s">
        <v>339</v>
      </c>
    </row>
    <row r="26" spans="1:7" x14ac:dyDescent="0.2">
      <c r="A26" s="37" t="s">
        <v>340</v>
      </c>
      <c r="B26" s="35"/>
      <c r="C26" s="35"/>
      <c r="D26" s="35"/>
      <c r="E26" s="35"/>
      <c r="F26" s="35"/>
      <c r="G26" s="35"/>
    </row>
    <row r="27" spans="1:7" ht="44" customHeight="1" x14ac:dyDescent="0.2">
      <c r="A27" s="2"/>
    </row>
    <row r="28" spans="1:7" x14ac:dyDescent="0.2">
      <c r="A28" s="11" t="s">
        <v>341</v>
      </c>
    </row>
    <row r="29" spans="1:7" x14ac:dyDescent="0.2">
      <c r="A29" s="36" t="s">
        <v>342</v>
      </c>
      <c r="B29" s="35"/>
      <c r="C29" s="35"/>
      <c r="D29" s="35"/>
      <c r="E29" s="35"/>
      <c r="F29" s="35"/>
      <c r="G29" s="35"/>
    </row>
    <row r="31" spans="1:7" x14ac:dyDescent="0.2">
      <c r="A31" s="11" t="s">
        <v>343</v>
      </c>
    </row>
    <row r="32" spans="1:7" x14ac:dyDescent="0.2">
      <c r="A32" s="11" t="s">
        <v>344</v>
      </c>
      <c r="B32" s="11" t="s">
        <v>345</v>
      </c>
      <c r="C32" s="11" t="s">
        <v>313</v>
      </c>
      <c r="D32" s="11" t="s">
        <v>346</v>
      </c>
    </row>
    <row r="33" spans="1:4" x14ac:dyDescent="0.2">
      <c r="A33" t="s">
        <v>347</v>
      </c>
      <c r="B33">
        <v>3637</v>
      </c>
      <c r="C33" t="s">
        <v>322</v>
      </c>
      <c r="D33" t="s">
        <v>348</v>
      </c>
    </row>
    <row r="34" spans="1:4" x14ac:dyDescent="0.2">
      <c r="A34" t="s">
        <v>349</v>
      </c>
      <c r="B34">
        <v>804</v>
      </c>
      <c r="C34" t="s">
        <v>322</v>
      </c>
      <c r="D34" t="s">
        <v>350</v>
      </c>
    </row>
    <row r="35" spans="1:4" x14ac:dyDescent="0.2">
      <c r="A35" t="s">
        <v>351</v>
      </c>
      <c r="B35">
        <v>240</v>
      </c>
      <c r="C35" t="s">
        <v>322</v>
      </c>
      <c r="D35" t="s">
        <v>352</v>
      </c>
    </row>
    <row r="36" spans="1:4" x14ac:dyDescent="0.2">
      <c r="A36" t="s">
        <v>353</v>
      </c>
      <c r="B36">
        <v>292547</v>
      </c>
      <c r="C36" t="s">
        <v>322</v>
      </c>
      <c r="D36" t="s">
        <v>354</v>
      </c>
    </row>
    <row r="37" spans="1:4" x14ac:dyDescent="0.2">
      <c r="A37" t="s">
        <v>355</v>
      </c>
      <c r="B37">
        <v>152.9</v>
      </c>
      <c r="C37" t="s">
        <v>322</v>
      </c>
      <c r="D37" t="s">
        <v>356</v>
      </c>
    </row>
    <row r="38" spans="1:4" x14ac:dyDescent="0.2">
      <c r="A38" t="s">
        <v>357</v>
      </c>
      <c r="B38">
        <v>20021</v>
      </c>
      <c r="C38" t="s">
        <v>322</v>
      </c>
      <c r="D38" t="s">
        <v>358</v>
      </c>
    </row>
    <row r="39" spans="1:4" x14ac:dyDescent="0.2">
      <c r="A39" t="s">
        <v>359</v>
      </c>
      <c r="B39">
        <v>218.3</v>
      </c>
      <c r="C39" t="s">
        <v>322</v>
      </c>
      <c r="D39" t="s">
        <v>360</v>
      </c>
    </row>
    <row r="40" spans="1:4" x14ac:dyDescent="0.2">
      <c r="A40" t="s">
        <v>361</v>
      </c>
      <c r="B40">
        <v>8.1999999999999993</v>
      </c>
      <c r="C40" t="s">
        <v>322</v>
      </c>
      <c r="D40" t="s">
        <v>362</v>
      </c>
    </row>
    <row r="41" spans="1:4" x14ac:dyDescent="0.2">
      <c r="A41" t="s">
        <v>363</v>
      </c>
      <c r="B41">
        <v>7.8</v>
      </c>
      <c r="C41" t="s">
        <v>364</v>
      </c>
      <c r="D41" t="s">
        <v>365</v>
      </c>
    </row>
    <row r="42" spans="1:4" x14ac:dyDescent="0.2">
      <c r="A42" t="s">
        <v>366</v>
      </c>
      <c r="B42">
        <v>10.4</v>
      </c>
      <c r="C42" t="s">
        <v>364</v>
      </c>
      <c r="D42" t="s">
        <v>367</v>
      </c>
    </row>
    <row r="43" spans="1:4" x14ac:dyDescent="0.2">
      <c r="A43" t="s">
        <v>368</v>
      </c>
      <c r="B43">
        <v>16.899999999999999</v>
      </c>
      <c r="C43" t="s">
        <v>66</v>
      </c>
      <c r="D43" t="s">
        <v>369</v>
      </c>
    </row>
    <row r="44" spans="1:4" x14ac:dyDescent="0.2">
      <c r="A44" t="s">
        <v>370</v>
      </c>
      <c r="B44">
        <v>5038</v>
      </c>
      <c r="C44" t="s">
        <v>371</v>
      </c>
      <c r="D44" t="s">
        <v>372</v>
      </c>
    </row>
    <row r="45" spans="1:4" x14ac:dyDescent="0.2">
      <c r="A45" t="s">
        <v>373</v>
      </c>
      <c r="B45">
        <v>4500</v>
      </c>
      <c r="C45" t="s">
        <v>374</v>
      </c>
      <c r="D45" t="s">
        <v>375</v>
      </c>
    </row>
    <row r="46" spans="1:4" x14ac:dyDescent="0.2">
      <c r="A46" t="s">
        <v>376</v>
      </c>
      <c r="B46">
        <v>4123</v>
      </c>
      <c r="C46" t="s">
        <v>377</v>
      </c>
      <c r="D46" t="s">
        <v>378</v>
      </c>
    </row>
    <row r="47" spans="1:4" x14ac:dyDescent="0.2">
      <c r="A47" t="s">
        <v>379</v>
      </c>
      <c r="B47">
        <v>1375768535</v>
      </c>
      <c r="C47" t="s">
        <v>380</v>
      </c>
      <c r="D47" t="s">
        <v>381</v>
      </c>
    </row>
    <row r="49" spans="1:7" x14ac:dyDescent="0.2">
      <c r="A49" s="36" t="s">
        <v>382</v>
      </c>
      <c r="B49" s="35"/>
      <c r="C49" s="35"/>
      <c r="D49" s="35"/>
      <c r="E49" s="35"/>
      <c r="F49" s="35"/>
      <c r="G49" s="35"/>
    </row>
  </sheetData>
  <mergeCells count="5">
    <mergeCell ref="A12:G12"/>
    <mergeCell ref="A26:G26"/>
    <mergeCell ref="A29:G29"/>
    <mergeCell ref="A49:G49"/>
    <mergeCell ref="A23:G23"/>
  </mergeCells>
  <pageMargins left="0.3" right="0.3" top="0.4" bottom="0.4"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Overview</vt:lpstr>
      <vt:lpstr>The Parts</vt:lpstr>
      <vt:lpstr>Forecast</vt:lpstr>
      <vt:lpstr>Valuation</vt:lpstr>
      <vt:lpstr>Peers &amp; Street</vt:lpstr>
      <vt:lpstr>Forecast!Print_Area</vt:lpstr>
      <vt:lpstr>Overview!Print_Area</vt:lpstr>
      <vt:lpstr>'Peers &amp; Street'!Print_Area</vt:lpstr>
      <vt:lpstr>'The Parts'!Print_Area</vt:lpstr>
      <vt:lpstr>Valuation!Print_Area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Debjit Mukherjee</cp:lastModifiedBy>
  <dcterms:created xsi:type="dcterms:W3CDTF">2026-09-15T12:19:23Z</dcterms:created>
  <dcterms:modified xsi:type="dcterms:W3CDTF">2026-10-07T04:51:20Z</dcterms:modified>
</cp:coreProperties>
</file>