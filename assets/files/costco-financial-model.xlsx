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40" tabRatio="600" firstSheet="0" activeTab="5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ey Ratios" sheetId="5" state="visible" r:id="rId5"/>
    <sheet xmlns:r="http://schemas.openxmlformats.org/officeDocument/2006/relationships" name="Forecast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Stress Tests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Peers &amp; Street" sheetId="11" state="visible" r:id="rId11"/>
    <sheet xmlns:r="http://schemas.openxmlformats.org/officeDocument/2006/relationships" name="Evidence" sheetId="12" state="visible" r:id="rId12"/>
  </sheets>
  <definedNames>
    <definedName name="_xlnm.Print_Area" localSheetId="0">'Overview'!$A$1:$H$50</definedName>
    <definedName name="_xlnm.Print_Area" localSheetId="1">'Income Statement'!$A$1:$H$40</definedName>
    <definedName name="_xlnm.Print_Area" localSheetId="2">'Balance Sheet'!$A$1:$H$41</definedName>
    <definedName name="_xlnm.Print_Area" localSheetId="3">'Cash Flow'!$A$1:$H$26</definedName>
    <definedName name="_xlnm.Print_Area" localSheetId="4">'Key Ratios'!$A$1:$G$29</definedName>
    <definedName name="_xlnm.Print_Area" localSheetId="5">'Forecast'!$A$1:$M$48</definedName>
    <definedName name="_xlnm.Print_Area" localSheetId="6">'DCF'!$A$1:$M$58</definedName>
    <definedName name="_xlnm.Print_Area" localSheetId="7">'Valuation'!$A$1:$H$80</definedName>
    <definedName name="_xlnm.Print_Area" localSheetId="8">'Stress Tests'!$A$1:$H$46</definedName>
    <definedName name="_xlnm.Print_Area" localSheetId="9">'Scenarios'!$A$1:$M$78</definedName>
    <definedName name="_xlnm.Print_Area" localSheetId="10">'Peers &amp; Street'!$A$1:$L$149</definedName>
    <definedName name="_xlnm.Print_Area" localSheetId="11">'Evidence'!$A$1:$G$35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\$#,##0.00"/>
    <numFmt numFmtId="165" formatCode="#,##0.000"/>
    <numFmt numFmtId="166" formatCode="#,##0;\(#,##0\)"/>
    <numFmt numFmtId="167" formatCode="0.0"/>
    <numFmt numFmtId="168" formatCode="0.0&quot;x&quot;"/>
    <numFmt numFmtId="169" formatCode="0.0%"/>
    <numFmt numFmtId="170" formatCode="#,##0.0;\(#,##0.0\)"/>
    <numFmt numFmtId="171" formatCode="0.000%"/>
    <numFmt numFmtId="172" formatCode="#,##0.0"/>
    <numFmt numFmtId="173" formatCode="0.000"/>
    <numFmt numFmtId="174" formatCode="0.0000"/>
    <numFmt numFmtId="175" formatCode="\$#,##0"/>
    <numFmt numFmtId="176" formatCode="0.000000"/>
    <numFmt numFmtId="177" formatCode="0.00&quot;x&quot;"/>
    <numFmt numFmtId="178" formatCode="\$0.000"/>
    <numFmt numFmtId="179" formatCode="\$0.00"/>
    <numFmt numFmtId="180" formatCode="+0.00%;-0.00%"/>
    <numFmt numFmtId="181" formatCode="$#,##0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i val="1"/>
      <color rgb="FF595959"/>
      <sz val="9"/>
    </font>
    <font>
      <name val="Calibri"/>
      <family val="2"/>
      <b val="1"/>
      <color rgb="FF000000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</font>
    <font>
      <name val="Calibri"/>
      <family val="2"/>
      <b val="1"/>
      <color rgb="FFFFFFFF"/>
      <sz val="10"/>
    </font>
    <font>
      <name val="Calibri"/>
      <family val="2"/>
      <color rgb="FF008000"/>
      <sz val="10"/>
    </font>
    <font>
      <name val="Calibri"/>
      <family val="2"/>
      <b val="1"/>
      <color rgb="FF008000"/>
      <sz val="10"/>
    </font>
    <font>
      <name val="Calibri"/>
      <family val="2"/>
      <b val="1"/>
      <color rgb="FF0000FF"/>
      <sz val="10"/>
    </font>
    <font>
      <name val="Calibri"/>
      <family val="2"/>
      <i val="1"/>
      <color rgb="FF595959"/>
      <sz val="8"/>
    </font>
    <font>
      <name val="Calibri"/>
      <family val="2"/>
      <b val="1"/>
      <color rgb="FFFFFF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8"/>
    </font>
    <font>
      <name val="Calibri"/>
      <color rgb="FF008000"/>
      <sz val="10"/>
    </font>
    <font>
      <name val="Calibri"/>
      <color rgb="FF0000FF"/>
      <sz val="10"/>
    </font>
    <font>
      <name val="Calibri"/>
      <color rgb="FF0000FF"/>
      <sz val="11"/>
    </font>
    <font>
      <name val="Calibri"/>
      <color rgb="FF008000"/>
      <sz val="11"/>
    </font>
    <font>
      <name val="Calibri"/>
      <b val="1"/>
      <color rgb="FF008000"/>
      <sz val="10"/>
    </font>
  </fonts>
  <fills count="4">
    <fill>
      <patternFill/>
    </fill>
    <fill>
      <patternFill patternType="gray125"/>
    </fill>
    <fill>
      <patternFill patternType="solid">
        <fgColor rgb="FF005DAA"/>
      </patternFill>
    </fill>
    <fill>
      <patternFill patternType="solid">
        <fgColor rgb="FFE31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10" fontId="10" fillId="0" borderId="0" applyAlignment="1" pivotButton="0" quotePrefix="0" xfId="0">
      <alignment vertical="center"/>
    </xf>
    <xf numFmtId="10" fontId="6" fillId="0" borderId="0" applyAlignment="1" pivotButton="0" quotePrefix="0" xfId="0">
      <alignment vertical="center"/>
    </xf>
    <xf numFmtId="168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9" fontId="5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9" fontId="6" fillId="0" borderId="0" applyAlignment="1" pivotButton="0" quotePrefix="0" xfId="0">
      <alignment vertical="center"/>
    </xf>
    <xf numFmtId="169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vertical="center"/>
    </xf>
    <xf numFmtId="17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5" fillId="0" borderId="0" applyAlignment="1" pivotButton="0" quotePrefix="0" xfId="0">
      <alignment vertical="center"/>
    </xf>
    <xf numFmtId="172" fontId="8" fillId="0" borderId="0" applyAlignment="1" pivotButton="0" quotePrefix="0" xfId="0">
      <alignment vertical="center"/>
    </xf>
    <xf numFmtId="172" fontId="5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173" fontId="6" fillId="0" borderId="0" applyAlignment="1" pivotButton="0" quotePrefix="0" xfId="0">
      <alignment vertical="center"/>
    </xf>
    <xf numFmtId="173" fontId="5" fillId="0" borderId="0" applyAlignment="1" pivotButton="0" quotePrefix="0" xfId="0">
      <alignment vertical="center"/>
    </xf>
    <xf numFmtId="174" fontId="5" fillId="0" borderId="0" applyAlignment="1" pivotButton="0" quotePrefix="0" xfId="0">
      <alignment vertical="center"/>
    </xf>
    <xf numFmtId="175" fontId="8" fillId="0" borderId="0" applyAlignment="1" pivotButton="0" quotePrefix="0" xfId="0">
      <alignment vertical="center"/>
    </xf>
    <xf numFmtId="176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176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right" wrapText="1"/>
    </xf>
    <xf numFmtId="170" fontId="6" fillId="0" borderId="0" applyAlignment="1" pivotButton="0" quotePrefix="0" xfId="0">
      <alignment vertical="center"/>
    </xf>
    <xf numFmtId="168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175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indent="1"/>
    </xf>
    <xf numFmtId="175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pivotButton="0" quotePrefix="0" xfId="0"/>
    <xf numFmtId="166" fontId="8" fillId="0" borderId="0" pivotButton="0" quotePrefix="0" xfId="0"/>
    <xf numFmtId="3" fontId="6" fillId="0" borderId="0" pivotButton="0" quotePrefix="0" xfId="0"/>
    <xf numFmtId="166" fontId="5" fillId="0" borderId="0" pivotButton="0" quotePrefix="0" xfId="0"/>
    <xf numFmtId="9" fontId="6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177" fontId="6" fillId="0" borderId="0" applyAlignment="1" pivotButton="0" quotePrefix="0" xfId="0">
      <alignment vertical="center"/>
    </xf>
    <xf numFmtId="164" fontId="6" fillId="0" borderId="0" pivotButton="0" quotePrefix="0" xfId="0"/>
    <xf numFmtId="164" fontId="8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8" fontId="5" fillId="0" borderId="0" pivotButton="0" quotePrefix="0" xfId="0"/>
    <xf numFmtId="168" fontId="8" fillId="0" borderId="0" pivotButton="0" quotePrefix="0" xfId="0"/>
    <xf numFmtId="169" fontId="6" fillId="0" borderId="0" pivotButton="0" quotePrefix="0" xfId="0"/>
    <xf numFmtId="10" fontId="8" fillId="0" borderId="0" pivotButton="0" quotePrefix="0" xfId="0"/>
    <xf numFmtId="166" fontId="6" fillId="0" borderId="0" pivotButton="0" quotePrefix="0" xfId="0"/>
    <xf numFmtId="0" fontId="5" fillId="3" borderId="0" applyAlignment="1" pivotButton="0" quotePrefix="0" xfId="0">
      <alignment vertical="center"/>
    </xf>
    <xf numFmtId="10" fontId="5" fillId="0" borderId="0" applyAlignment="1" pivotButton="0" quotePrefix="0" xfId="0">
      <alignment wrapText="1"/>
    </xf>
    <xf numFmtId="169" fontId="5" fillId="0" borderId="0" pivotButton="0" quotePrefix="0" xfId="0"/>
    <xf numFmtId="0" fontId="8" fillId="0" borderId="0" pivotButton="0" quotePrefix="0" xfId="0"/>
    <xf numFmtId="9" fontId="5" fillId="0" borderId="0" pivotButton="0" quotePrefix="0" xfId="0"/>
    <xf numFmtId="177" fontId="6" fillId="0" borderId="0" pivotButton="0" quotePrefix="0" xfId="0"/>
    <xf numFmtId="164" fontId="5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10" fontId="6" fillId="0" borderId="0" pivotButton="0" quotePrefix="0" xfId="0"/>
    <xf numFmtId="178" fontId="5" fillId="0" borderId="0" pivotButton="0" quotePrefix="0" xfId="0"/>
    <xf numFmtId="179" fontId="6" fillId="0" borderId="0" pivotButton="0" quotePrefix="0" xfId="0"/>
    <xf numFmtId="0" fontId="7" fillId="0" borderId="0" applyAlignment="1" pivotButton="0" quotePrefix="0" xfId="0">
      <alignment vertical="center"/>
    </xf>
    <xf numFmtId="0" fontId="1" fillId="2" borderId="0" pivotButton="0" quotePrefix="0" xfId="0"/>
    <xf numFmtId="0" fontId="0" fillId="2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3" borderId="0" pivotButton="0" quotePrefix="0" xfId="0"/>
    <xf numFmtId="169" fontId="13" fillId="0" borderId="0" pivotButton="0" quotePrefix="0" xfId="0"/>
    <xf numFmtId="0" fontId="14" fillId="0" borderId="0" pivotButton="0" quotePrefix="0" xfId="0"/>
    <xf numFmtId="10" fontId="15" fillId="0" borderId="0" pivotButton="0" quotePrefix="0" xfId="0"/>
    <xf numFmtId="164" fontId="15" fillId="0" borderId="0" pivotButton="0" quotePrefix="0" xfId="0"/>
    <xf numFmtId="179" fontId="15" fillId="0" borderId="0" pivotButton="0" quotePrefix="0" xfId="0"/>
    <xf numFmtId="168" fontId="14" fillId="0" borderId="0" pivotButton="0" quotePrefix="0" xfId="0"/>
    <xf numFmtId="168" fontId="13" fillId="0" borderId="0" pivotButton="0" quotePrefix="0" xfId="0"/>
    <xf numFmtId="0" fontId="16" fillId="0" borderId="0" pivotButton="0" quotePrefix="0" xfId="0"/>
    <xf numFmtId="168" fontId="15" fillId="0" borderId="0" pivotButton="0" quotePrefix="0" xfId="0"/>
    <xf numFmtId="177" fontId="14" fillId="0" borderId="0" pivotButton="0" quotePrefix="0" xfId="0"/>
    <xf numFmtId="10" fontId="18" fillId="0" borderId="0" applyAlignment="1" pivotButton="0" quotePrefix="0" xfId="0">
      <alignment vertical="center"/>
    </xf>
    <xf numFmtId="169" fontId="2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9" fontId="17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8" fontId="21" fillId="0" borderId="0" applyAlignment="1" pivotButton="0" quotePrefix="0" xfId="0">
      <alignment vertical="center"/>
    </xf>
    <xf numFmtId="169" fontId="17" fillId="0" borderId="0" pivotButton="0" quotePrefix="0" xfId="0"/>
    <xf numFmtId="9" fontId="17" fillId="0" borderId="0" pivotButton="0" quotePrefix="0" xfId="0"/>
    <xf numFmtId="177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2" fontId="20" fillId="0" borderId="0" pivotButton="0" quotePrefix="0" xfId="0"/>
    <xf numFmtId="180" fontId="20" fillId="0" borderId="0" pivotButton="0" quotePrefix="0" xfId="0"/>
    <xf numFmtId="170" fontId="17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/>
    </xf>
    <xf numFmtId="10" fontId="17" fillId="0" borderId="0" applyAlignment="1" pivotButton="0" quotePrefix="0" xfId="0">
      <alignment vertical="center"/>
    </xf>
    <xf numFmtId="170" fontId="18" fillId="0" borderId="0" applyAlignment="1" pivotButton="0" quotePrefix="0" xfId="0">
      <alignment vertical="center"/>
    </xf>
    <xf numFmtId="2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169" fontId="18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9" fontId="8" fillId="0" borderId="0" pivotButton="0" quotePrefix="0" xfId="0"/>
    <xf numFmtId="181" fontId="9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31837"/>
    <outlinePr summaryBelow="1" summaryRight="1"/>
    <pageSetUpPr fitToPage="1"/>
  </sheetPr>
  <dimension ref="A1:L48"/>
  <sheetViews>
    <sheetView showGridLines="0" workbookViewId="0">
      <selection activeCell="A1" sqref="A1"/>
    </sheetView>
  </sheetViews>
  <sheetFormatPr baseColWidth="10" defaultColWidth="8.83203125" defaultRowHeight="15"/>
  <cols>
    <col width="85" customWidth="1" min="1" max="1"/>
    <col width="13" customWidth="1" min="2" max="2"/>
    <col width="16" customWidth="1" min="3" max="3"/>
    <col width="70" customWidth="1" min="4" max="4"/>
    <col width="13" customWidth="1" min="5" max="29"/>
  </cols>
  <sheetData>
    <row r="1" ht="19" customHeight="1">
      <c r="A1" s="1" t="inlineStr">
        <is>
          <t>Costco Wholesale Corporation (NASDAQ: COST) — Financial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Debjit Mukherjee · IB Independent · valuation date 16 October 2026 (refresh of the 1-Oct note) (NASDAQ close). Blue = hard-coded input · black = same-sheet formula · green = cross-sheet link.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5" t="inlineStr">
        <is>
          <t>MARKET DATA</t>
        </is>
      </c>
      <c r="B4" s="6" t="n"/>
      <c r="C4" s="6" t="n"/>
      <c r="D4" s="6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7" t="inlineStr">
        <is>
          <t>Valuation date</t>
        </is>
      </c>
      <c r="B5" s="7" t="inlineStr">
        <is>
          <t>16-Oct-2026</t>
        </is>
      </c>
      <c r="C5" s="4" t="n"/>
      <c r="D5" s="3" t="inlineStr">
        <is>
          <t>NASDAQ close; refreshed from the 1-Oct-2026 valuation (FY2026 results 24-Sep; September sales 7-Oct)</t>
        </is>
      </c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8" t="inlineStr">
        <is>
          <t>Live price ($)</t>
        </is>
      </c>
      <c r="B6" s="9" t="n">
        <v>989.11</v>
      </c>
      <c r="C6" s="4" t="n"/>
      <c r="D6" s="3" t="inlineStr">
        <is>
          <t>Close 16-Oct-2026: stockanalysis.com history and digrin agree ($989.11); 1-Oct close was $914.94</t>
        </is>
      </c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7" t="inlineStr">
        <is>
          <t>Shares outstanding (m)</t>
        </is>
      </c>
      <c r="B7" s="10">
        <f>'Balance Sheet'!F31/1000</f>
        <v/>
      </c>
      <c r="C7" s="4" t="n"/>
      <c r="D7" s="3" t="inlineStr">
        <is>
          <t>Balance sheet 30-Aug-2026: 443,266,000 issued and outstanding — NOT derived from market cap ÷ price</t>
        </is>
      </c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7" t="inlineStr">
        <is>
          <t>Market capitalisation ($m)</t>
        </is>
      </c>
      <c r="B8" s="11">
        <f>B6*B7</f>
        <v/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Market cap per S&amp;P Global (stockanalysis), $m</t>
        </is>
      </c>
      <c r="B9" s="12" t="n">
        <v>438300</v>
      </c>
      <c r="C9" s="4" t="n"/>
      <c r="D9" s="3" t="inlineStr">
        <is>
          <t>cross-check only; stockanalysis 16-Oct-2026 (443.13m shares on the vendor basis)</t>
        </is>
      </c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7" t="inlineStr">
        <is>
          <t>Check: share count implied by vendor market cap ÷ price, less balance-sheet count (m)</t>
        </is>
      </c>
      <c r="B10" s="13">
        <f>ROUND(B9/B6-B7,1)</f>
        <v/>
      </c>
      <c r="C10" s="4" t="n"/>
      <c r="D10" s="3" t="inlineStr">
        <is>
          <t>within ±0.1m = the two sources agree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Quarterly dividend ($)</t>
        </is>
      </c>
      <c r="B11" s="14" t="n">
        <v>1.47</v>
      </c>
      <c r="C11" s="4" t="n"/>
      <c r="D11" s="3" t="inlineStr">
        <is>
          <t>8-K 14-Oct-2026: $1.47 declared, record 30-Oct, payable 13-Nov-2026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Annual regular dividend ($)</t>
        </is>
      </c>
      <c r="B12" s="15">
        <f>4*B11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Dividend yield (regular only)</t>
        </is>
      </c>
      <c r="B13" s="16">
        <f>B12/B6</f>
        <v/>
      </c>
      <c r="C13" s="4" t="n"/>
      <c r="D13" s="3" t="inlineStr">
        <is>
          <t>specials excluded — irregular, last $15.00 in January 2024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52-week high ($)</t>
        </is>
      </c>
      <c r="B14" s="14" t="n">
        <v>1096.5</v>
      </c>
      <c r="C14" s="4" t="n"/>
      <c r="D14" s="3" t="inlineStr">
        <is>
          <t>May 2026 (stockanalysis / Google Finance)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52-week low ($)</t>
        </is>
      </c>
      <c r="B15" s="14" t="n">
        <v>844.0599999999999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Beta (5-year monthly)</t>
        </is>
      </c>
      <c r="B16" s="17" t="n">
        <v>0.87</v>
      </c>
      <c r="C16" s="4" t="n"/>
      <c r="D16" s="3" t="inlineStr">
        <is>
          <t>stockanalysis 16-Oct-2026 displays 0.87; unchanged from 1-Oct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8" t="inlineStr">
        <is>
          <t>Risk-free — US 10-yr Treasury, 16-Oct-2026</t>
        </is>
      </c>
      <c r="B17" s="18" t="n">
        <v>0.0509</v>
      </c>
      <c r="C17" s="4" t="n"/>
      <c r="D17" s="3" t="inlineStr">
        <is>
          <t>US Treasury daily par yield curve: 5.09% on 16-Oct-2026 (FRED DGS10 5.10% on 15-Oct); 5.24% on 1-Oct-2026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7" t="inlineStr">
        <is>
          <t>Equity risk premium</t>
        </is>
      </c>
      <c r="B18" s="19" t="n">
        <v>0.045</v>
      </c>
      <c r="C18" s="4" t="n"/>
      <c r="D18" s="3" t="inlineStr">
        <is>
          <t>Damodaran implied ERP 1-Jan-2026: 4.23%; set at 4.5% (prudent; desk standard for US names)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Trailing P/E on recurring FY2026 EPS (x)</t>
        </is>
      </c>
      <c r="B19" s="20">
        <f>B6/'Income Statement'!F27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8" t="inlineStr">
        <is>
          <t>Earnings yield on recurring FY2026 EPS</t>
        </is>
      </c>
      <c r="B20" s="21">
        <f>'Income Statement'!F27/B6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8" t="inlineStr">
        <is>
          <t>Earnings yield less 10-yr Treasury (pp)</t>
        </is>
      </c>
      <c r="B21" s="22">
        <f>B20-B17</f>
        <v/>
      </c>
      <c r="C21" s="4" t="n"/>
      <c r="D21" s="3" t="inlineStr">
        <is>
          <t>negative: the bond out-yields the stock's earnings by this much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Price change from 52-week high</t>
        </is>
      </c>
      <c r="B22" s="23">
        <f>B6/B14-1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FY2027 capex guidance ($m)</t>
        </is>
      </c>
      <c r="B23" s="12" t="n">
        <v>7500</v>
      </c>
      <c r="C23" s="4" t="n"/>
      <c r="D23" s="3" t="inlineStr">
        <is>
          <t>CFO Gary Millerchip, Q4 FY2026 call, 24-Sep-2026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5" t="inlineStr">
        <is>
          <t>MEMBERSHIP — fiscal year end, Q4 FY2026 call (24-Sep-2026)</t>
        </is>
      </c>
      <c r="B25" s="6" t="n"/>
      <c r="C25" s="6" t="n"/>
      <c r="D25" s="6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Paid members (m)</t>
        </is>
      </c>
      <c r="B26" s="24" t="n">
        <v>84.09999999999999</v>
      </c>
      <c r="C26" s="4" t="n"/>
      <c r="D26" s="3" t="inlineStr">
        <is>
          <t>+3.8% year on year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Paid member growth</t>
        </is>
      </c>
      <c r="B27" s="25" t="n">
        <v>0.038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Executive members (m)</t>
        </is>
      </c>
      <c r="B28" s="24" t="n">
        <v>42.3</v>
      </c>
      <c r="C28" s="4" t="n"/>
      <c r="D28" s="3" t="inlineStr">
        <is>
          <t>+9.4%; record penetration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7" t="inlineStr">
        <is>
          <t>Executive share of paid members</t>
        </is>
      </c>
      <c r="B29" s="23">
        <f>B28/B26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7" t="inlineStr">
        <is>
          <t>Renewal rate — US &amp; Canada</t>
        </is>
      </c>
      <c r="B30" s="25" t="n">
        <v>0.923</v>
      </c>
      <c r="C30" s="4" t="n"/>
      <c r="D30" s="3" t="inlineStr">
        <is>
          <t>+10bp on the quarter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Renewal rate — worldwide</t>
        </is>
      </c>
      <c r="B31" s="25" t="n">
        <v>0.898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Q4 membership fee growth, reported</t>
        </is>
      </c>
      <c r="B32" s="25" t="n">
        <v>0.073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8" t="inlineStr">
        <is>
          <t>Q4 membership fee growth ex fee increase and FX</t>
        </is>
      </c>
      <c r="B33" s="26" t="n">
        <v>0.068</v>
      </c>
      <c r="C33" s="4" t="n"/>
      <c r="D33" s="3" t="inlineStr">
        <is>
          <t>Q4 was the LAST quarter with a benefit from the Sep-2024 US/Canada fee increase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Warehouses at year end</t>
        </is>
      </c>
      <c r="B34" s="27" t="n">
        <v>939</v>
      </c>
      <c r="C34" s="4" t="n"/>
      <c r="D34" s="3" t="inlineStr">
        <is>
          <t>28 opened in FY2026 incl. 3 relocations; 33 planned for FY2027 incl. 5 relocations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FY2026 comparable sales — headline</t>
        </is>
      </c>
      <c r="B35" s="25" t="n">
        <v>0.08400000000000001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8" t="inlineStr">
        <is>
          <t>FY2026 comparable sales — ex gasoline and FX</t>
        </is>
      </c>
      <c r="B36" s="26" t="n">
        <v>0.066</v>
      </c>
      <c r="C36" s="4" t="n"/>
      <c r="D36" s="3" t="inlineStr">
        <is>
          <t>Q4: 9.4% headline, 6.7% adjusted; gas price inflation added ~3pp to Q4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5" t="inlineStr">
        <is>
          <t>OUTPUT — linked from the Valuation sheet</t>
        </is>
      </c>
      <c r="B38" s="6" t="n"/>
      <c r="C38" s="6" t="n"/>
      <c r="D38" s="6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8" t="inlineStr">
        <is>
          <t>RATING</t>
        </is>
      </c>
      <c r="B39" s="28">
        <f>Valuation!B44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8" t="inlineStr">
        <is>
          <t>Blended fair value ($)</t>
        </is>
      </c>
      <c r="B40" s="29">
        <f>Valuation!B40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7" t="inlineStr">
        <is>
          <t>Upside / (downside)</t>
        </is>
      </c>
      <c r="B41" s="30">
        <f>Valuation!B41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Total expected return</t>
        </is>
      </c>
      <c r="B42" s="30">
        <f>Valuation!B43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Cost of equity (BUY hurdle)</t>
        </is>
      </c>
      <c r="B43" s="31">
        <f>Valuation!B7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7" t="inlineStr">
        <is>
          <t>ACCUMULATE hurdle</t>
        </is>
      </c>
      <c r="B44" s="31">
        <f>Valuation!B8</f>
        <v/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Method 1 — DCF floor, 0% weight ($)</t>
        </is>
      </c>
      <c r="B45" s="32">
        <f>Valuation!B19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Method 2 — forward P/E vs Walmart, today's premium kept ($)</t>
        </is>
      </c>
      <c r="B46" s="32">
        <f>Valuation!B25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7" t="inlineStr">
        <is>
          <t>Method 3 — EV/EBITDA vs Walmart, today's premium kept ($)</t>
        </is>
      </c>
      <c r="B47" s="32">
        <f>Valuation!B31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66" t="inlineStr">
        <is>
          <t>Method 4 — Costco's own P/E, Oct-2023 window, 0% weight ($)</t>
        </is>
      </c>
      <c r="B48" s="74">
        <f>Valuation!B39</f>
        <v/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3" customWidth="1" min="2" max="29"/>
  </cols>
  <sheetData>
    <row r="1" ht="19" customHeight="1">
      <c r="A1" s="1" t="inlineStr">
        <is>
          <t>Costco Wholesale (COST) — Income Statement, FY2022–FY2026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Source: Costco Q4/FY results releases, investor.costco.com (FY2023 incl. FY2022 comparatives; FY2024; FY2026 incl. FY2025). $m except per share.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8" t="inlineStr">
        <is>
          <t>$ millions</t>
        </is>
      </c>
      <c r="B3" s="33" t="inlineStr">
        <is>
          <t>FY2022</t>
        </is>
      </c>
      <c r="C3" s="33" t="inlineStr">
        <is>
          <t>FY2023</t>
        </is>
      </c>
      <c r="D3" s="33" t="inlineStr">
        <is>
          <t>FY2024</t>
        </is>
      </c>
      <c r="E3" s="33" t="inlineStr">
        <is>
          <t>FY2025</t>
        </is>
      </c>
      <c r="F3" s="33" t="inlineStr">
        <is>
          <t>FY2026</t>
        </is>
      </c>
      <c r="G3" s="4" t="n"/>
      <c r="H3" s="4" t="n"/>
      <c r="I3" s="4" t="n"/>
      <c r="J3" s="4" t="n"/>
      <c r="K3" s="4" t="n"/>
      <c r="L3" s="4" t="n"/>
    </row>
    <row r="4">
      <c r="A4" s="7" t="inlineStr">
        <is>
          <t>Net sales</t>
        </is>
      </c>
      <c r="B4" s="12" t="n">
        <v>222730</v>
      </c>
      <c r="C4" s="12" t="n">
        <v>237710</v>
      </c>
      <c r="D4" s="12" t="n">
        <v>249625</v>
      </c>
      <c r="E4" s="12" t="n">
        <v>269912</v>
      </c>
      <c r="F4" s="12" t="n">
        <v>297247</v>
      </c>
      <c r="G4" s="4" t="n"/>
      <c r="H4" s="4" t="n"/>
      <c r="I4" s="4" t="n"/>
      <c r="J4" s="4" t="n"/>
      <c r="K4" s="4" t="n"/>
      <c r="L4" s="4" t="n"/>
    </row>
    <row r="5">
      <c r="A5" s="7" t="inlineStr">
        <is>
          <t>Membership fees</t>
        </is>
      </c>
      <c r="B5" s="12" t="n">
        <v>4224</v>
      </c>
      <c r="C5" s="12" t="n">
        <v>4580</v>
      </c>
      <c r="D5" s="12" t="n">
        <v>4828</v>
      </c>
      <c r="E5" s="12" t="n">
        <v>5323</v>
      </c>
      <c r="F5" s="12" t="n">
        <v>5907</v>
      </c>
      <c r="G5" s="4" t="n"/>
      <c r="H5" s="4" t="n"/>
      <c r="I5" s="4" t="n"/>
      <c r="J5" s="4" t="n"/>
      <c r="K5" s="4" t="n"/>
      <c r="L5" s="4" t="n"/>
    </row>
    <row r="6">
      <c r="A6" s="8" t="inlineStr">
        <is>
          <t>Total revenue</t>
        </is>
      </c>
      <c r="B6" s="34">
        <f>B4+B5</f>
        <v/>
      </c>
      <c r="C6" s="34">
        <f>C4+C5</f>
        <v/>
      </c>
      <c r="D6" s="34">
        <f>D4+D5</f>
        <v/>
      </c>
      <c r="E6" s="34">
        <f>E4+E5</f>
        <v/>
      </c>
      <c r="F6" s="34">
        <f>F4+F5</f>
        <v/>
      </c>
      <c r="G6" s="4" t="n"/>
      <c r="H6" s="4" t="n"/>
      <c r="I6" s="4" t="n"/>
      <c r="J6" s="4" t="n"/>
      <c r="K6" s="4" t="n"/>
      <c r="L6" s="4" t="n"/>
    </row>
    <row r="7">
      <c r="A7" s="7" t="inlineStr">
        <is>
          <t>Merchandise costs</t>
        </is>
      </c>
      <c r="B7" s="12" t="n">
        <v>199382</v>
      </c>
      <c r="C7" s="12" t="n">
        <v>212586</v>
      </c>
      <c r="D7" s="12" t="n">
        <v>222358</v>
      </c>
      <c r="E7" s="12" t="n">
        <v>239886</v>
      </c>
      <c r="F7" s="12" t="n">
        <v>264279</v>
      </c>
      <c r="G7" s="4" t="n"/>
      <c r="H7" s="4" t="n"/>
      <c r="I7" s="4" t="n"/>
      <c r="J7" s="4" t="n"/>
      <c r="K7" s="4" t="n"/>
      <c r="L7" s="4" t="n"/>
    </row>
    <row r="8">
      <c r="A8" s="7" t="inlineStr">
        <is>
          <t>Selling, general and administrative</t>
        </is>
      </c>
      <c r="B8" s="12" t="n">
        <v>19779</v>
      </c>
      <c r="C8" s="12" t="n">
        <v>21590</v>
      </c>
      <c r="D8" s="12" t="n">
        <v>22810</v>
      </c>
      <c r="E8" s="12" t="n">
        <v>24966</v>
      </c>
      <c r="F8" s="12" t="n">
        <v>27190</v>
      </c>
      <c r="G8" s="4" t="n"/>
      <c r="H8" s="4" t="n"/>
      <c r="I8" s="4" t="n"/>
      <c r="J8" s="4" t="n"/>
      <c r="K8" s="4" t="n"/>
      <c r="L8" s="4" t="n"/>
    </row>
    <row r="9">
      <c r="A9" s="8" t="inlineStr">
        <is>
          <t>Operating income</t>
        </is>
      </c>
      <c r="B9" s="34">
        <f>B6-B7-B8</f>
        <v/>
      </c>
      <c r="C9" s="34">
        <f>C6-C7-C8</f>
        <v/>
      </c>
      <c r="D9" s="34">
        <f>D6-D7-D8</f>
        <v/>
      </c>
      <c r="E9" s="34">
        <f>E6-E7-E8</f>
        <v/>
      </c>
      <c r="F9" s="34">
        <f>F6-F7-F8</f>
        <v/>
      </c>
      <c r="G9" s="4" t="n"/>
      <c r="H9" s="4" t="n"/>
      <c r="I9" s="4" t="n"/>
      <c r="J9" s="4" t="n"/>
      <c r="K9" s="4" t="n"/>
      <c r="L9" s="4" t="n"/>
    </row>
    <row r="10">
      <c r="A10" s="7" t="inlineStr">
        <is>
          <t>Interest expense</t>
        </is>
      </c>
      <c r="B10" s="12" t="n">
        <v>-158</v>
      </c>
      <c r="C10" s="12" t="n">
        <v>-160</v>
      </c>
      <c r="D10" s="12" t="n">
        <v>-169</v>
      </c>
      <c r="E10" s="12" t="n">
        <v>-154</v>
      </c>
      <c r="F10" s="12" t="n">
        <v>-145</v>
      </c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Interest income and other, net</t>
        </is>
      </c>
      <c r="B11" s="12" t="n">
        <v>205</v>
      </c>
      <c r="C11" s="12" t="n">
        <v>533</v>
      </c>
      <c r="D11" s="12" t="n">
        <v>624</v>
      </c>
      <c r="E11" s="12" t="n">
        <v>589</v>
      </c>
      <c r="F11" s="12" t="n">
        <v>711</v>
      </c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Income before income taxes</t>
        </is>
      </c>
      <c r="B12" s="11">
        <f>B9+B10+B11</f>
        <v/>
      </c>
      <c r="C12" s="11">
        <f>C9+C10+C11</f>
        <v/>
      </c>
      <c r="D12" s="11">
        <f>D9+D10+D11</f>
        <v/>
      </c>
      <c r="E12" s="11">
        <f>E9+E10+E11</f>
        <v/>
      </c>
      <c r="F12" s="11">
        <f>F9+F10+F11</f>
        <v/>
      </c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Provision for income taxes</t>
        </is>
      </c>
      <c r="B13" s="12" t="n">
        <v>1925</v>
      </c>
      <c r="C13" s="12" t="n">
        <v>2195</v>
      </c>
      <c r="D13" s="12" t="n">
        <v>2373</v>
      </c>
      <c r="E13" s="12" t="n">
        <v>2719</v>
      </c>
      <c r="F13" s="12" t="n">
        <v>3025</v>
      </c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Net income attributable to noncontrolling interests</t>
        </is>
      </c>
      <c r="B14" s="12" t="n">
        <v>-71</v>
      </c>
      <c r="C14" s="12" t="n">
        <v>0</v>
      </c>
      <c r="D14" s="12" t="n">
        <v>0</v>
      </c>
      <c r="E14" s="12" t="n">
        <v>0</v>
      </c>
      <c r="F14" s="12" t="n">
        <v>0</v>
      </c>
      <c r="G14" s="4" t="n"/>
      <c r="H14" s="4" t="n"/>
      <c r="I14" s="4" t="n"/>
      <c r="J14" s="4" t="n"/>
      <c r="K14" s="4" t="n"/>
      <c r="L14" s="4" t="n"/>
    </row>
    <row r="15">
      <c r="A15" s="8" t="inlineStr">
        <is>
          <t>NET INCOME ATTRIBUTABLE TO COSTCO</t>
        </is>
      </c>
      <c r="B15" s="34">
        <f>B12-B13+B14</f>
        <v/>
      </c>
      <c r="C15" s="34">
        <f>C12-C13+C14</f>
        <v/>
      </c>
      <c r="D15" s="34">
        <f>D12-D13+D14</f>
        <v/>
      </c>
      <c r="E15" s="34">
        <f>E12-E13+E14</f>
        <v/>
      </c>
      <c r="F15" s="34">
        <f>F12-F13+F14</f>
        <v/>
      </c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Diluted shares (000s)</t>
        </is>
      </c>
      <c r="B16" s="12" t="n">
        <v>444757</v>
      </c>
      <c r="C16" s="12" t="n">
        <v>444452</v>
      </c>
      <c r="D16" s="12" t="n">
        <v>444759</v>
      </c>
      <c r="E16" s="12" t="n">
        <v>444803</v>
      </c>
      <c r="F16" s="12" t="n">
        <v>444427</v>
      </c>
      <c r="G16" s="4" t="n"/>
      <c r="H16" s="4" t="n"/>
      <c r="I16" s="4" t="n"/>
      <c r="J16" s="4" t="n"/>
      <c r="K16" s="4" t="n"/>
      <c r="L16" s="4" t="n"/>
    </row>
    <row r="17">
      <c r="A17" s="7" t="inlineStr">
        <is>
          <t>Diluted EPS, computed ($)</t>
        </is>
      </c>
      <c r="B17" s="15">
        <f>B15/B16*1000</f>
        <v/>
      </c>
      <c r="C17" s="15">
        <f>C15/C16*1000</f>
        <v/>
      </c>
      <c r="D17" s="15">
        <f>D15/D16*1000</f>
        <v/>
      </c>
      <c r="E17" s="15">
        <f>E15/E16*1000</f>
        <v/>
      </c>
      <c r="F17" s="15">
        <f>F15/F16*1000</f>
        <v/>
      </c>
      <c r="G17" s="4" t="n"/>
      <c r="H17" s="4" t="n"/>
      <c r="I17" s="4" t="n"/>
      <c r="J17" s="4" t="n"/>
      <c r="K17" s="4" t="n"/>
      <c r="L17" s="4" t="n"/>
    </row>
    <row r="18">
      <c r="A18" s="7" t="inlineStr">
        <is>
          <t>Reported diluted EPS ($)</t>
        </is>
      </c>
      <c r="B18" s="14" t="n">
        <v>13.14</v>
      </c>
      <c r="C18" s="14" t="n">
        <v>14.16</v>
      </c>
      <c r="D18" s="14" t="n">
        <v>16.56</v>
      </c>
      <c r="E18" s="14" t="n">
        <v>18.21</v>
      </c>
      <c r="F18" s="14" t="n">
        <v>20.76</v>
      </c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Check: computed less reported EPS (must be within ±$0.01)</t>
        </is>
      </c>
      <c r="B19" s="15">
        <f>ROUND(B17-B18,2)</f>
        <v/>
      </c>
      <c r="C19" s="15">
        <f>ROUND(C17-C18,2)</f>
        <v/>
      </c>
      <c r="D19" s="15">
        <f>ROUND(D17-D18,2)</f>
        <v/>
      </c>
      <c r="E19" s="15">
        <f>ROUND(E17-E18,2)</f>
        <v/>
      </c>
      <c r="F19" s="15">
        <f>ROUND(F17-F18,2)</f>
        <v/>
      </c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Weeks in fiscal year</t>
        </is>
      </c>
      <c r="B20" s="27" t="n">
        <v>52</v>
      </c>
      <c r="C20" s="27" t="n">
        <v>53</v>
      </c>
      <c r="D20" s="27" t="n">
        <v>52</v>
      </c>
      <c r="E20" s="27" t="n">
        <v>52</v>
      </c>
      <c r="F20" s="27" t="n">
        <v>52</v>
      </c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5" t="inlineStr">
        <is>
          <t>FY2026 EPS EX TARIFF REFUND — the only item removed (see note below)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7" t="inlineStr">
        <is>
          <t>Non-recurring IEEPA tariff refund benefit, $ per diluted share (company-disclosed, Q4 FY2026)</t>
        </is>
      </c>
      <c r="B23" s="4" t="n"/>
      <c r="C23" s="4" t="n"/>
      <c r="D23" s="4" t="n"/>
      <c r="E23" s="4" t="n"/>
      <c r="F23" s="14" t="n">
        <v>0.15</v>
      </c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Q4 FY2026 effective tax rate (CFO, Q4 call)</t>
        </is>
      </c>
      <c r="B24" s="4" t="n"/>
      <c r="C24" s="4" t="n"/>
      <c r="D24" s="4" t="n"/>
      <c r="E24" s="4" t="n"/>
      <c r="F24" s="25" t="n">
        <v>0.252</v>
      </c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Implied pre-tax benefit ($m) = EPS × diluted shares ÷ (1 − tax)</t>
        </is>
      </c>
      <c r="B25" s="4" t="n"/>
      <c r="C25" s="4" t="n"/>
      <c r="D25" s="4" t="n"/>
      <c r="E25" s="4" t="n"/>
      <c r="F25" s="35">
        <f>F23*F16/1000/(1-F24)</f>
        <v/>
      </c>
      <c r="G25" s="4" t="n"/>
      <c r="H25" s="4" t="n"/>
      <c r="I25" s="4" t="n"/>
      <c r="J25" s="4" t="n"/>
      <c r="K25" s="4" t="n"/>
      <c r="L25" s="4" t="n"/>
    </row>
    <row r="26">
      <c r="A26" s="8" t="inlineStr">
        <is>
          <t>Recurring operating income ($m)</t>
        </is>
      </c>
      <c r="B26" s="4" t="n"/>
      <c r="C26" s="4" t="n"/>
      <c r="D26" s="4" t="n"/>
      <c r="E26" s="4" t="n"/>
      <c r="F26" s="34">
        <f>F9-F25</f>
        <v/>
      </c>
      <c r="G26" s="4" t="n"/>
      <c r="H26" s="4" t="n"/>
      <c r="I26" s="4" t="n"/>
      <c r="J26" s="4" t="n"/>
      <c r="K26" s="4" t="n"/>
      <c r="L26" s="4" t="n"/>
    </row>
    <row r="27">
      <c r="A27" s="8" t="inlineStr">
        <is>
          <t>Recurring diluted EPS ($)</t>
        </is>
      </c>
      <c r="B27" s="4" t="n"/>
      <c r="C27" s="4" t="n"/>
      <c r="D27" s="4" t="n"/>
      <c r="E27" s="4" t="n"/>
      <c r="F27" s="36">
        <f>F18-F23</f>
        <v/>
      </c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Recurring EPS growth vs FY2025</t>
        </is>
      </c>
      <c r="B28" s="4" t="n"/>
      <c r="C28" s="4" t="n"/>
      <c r="D28" s="4" t="n"/>
      <c r="E28" s="4" t="n"/>
      <c r="F28" s="23">
        <f>F27/E18-1</f>
        <v/>
      </c>
      <c r="G28" s="4" t="n"/>
      <c r="H28" s="4" t="n"/>
      <c r="I28" s="4" t="n"/>
      <c r="J28" s="4" t="n"/>
      <c r="K28" s="4" t="n"/>
      <c r="L28" s="4" t="n"/>
    </row>
    <row r="29">
      <c r="A29" s="3" t="inlineStr">
        <is>
          <t>FY2023 had 53 weeks, so growth into and out of FY2023 is distorted by roughly 2%. Every Q4 is 16 weeks.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3" t="inlineStr">
        <is>
          <t>Only the tariff refund ($0.15) is removed; stock-comp tax benefits ($0.16 Q1 FY26, $0.22 Q1 FY25) recur each Q1 and stay in both years.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5" t="inlineStr">
        <is>
          <t>Q4 FY2026 (16 weeks to 30-Aug-2026) vs Q4 FY2025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4" t="n"/>
      <c r="B32" s="33" t="inlineStr">
        <is>
          <t>Q4 FY2026</t>
        </is>
      </c>
      <c r="C32" s="33" t="inlineStr">
        <is>
          <t>Q4 FY2025</t>
        </is>
      </c>
      <c r="D32" s="37" t="inlineStr">
        <is>
          <t>Change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Net sales</t>
        </is>
      </c>
      <c r="B33" s="12" t="n">
        <v>93873</v>
      </c>
      <c r="C33" s="12" t="n">
        <v>84432</v>
      </c>
      <c r="D33" s="23">
        <f>B33/C33-1</f>
        <v/>
      </c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Membership fees</t>
        </is>
      </c>
      <c r="B34" s="12" t="n">
        <v>1850</v>
      </c>
      <c r="C34" s="12" t="n">
        <v>1724</v>
      </c>
      <c r="D34" s="23">
        <f>B34/C34-1</f>
        <v/>
      </c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Operating income</t>
        </is>
      </c>
      <c r="B35" s="12" t="n">
        <v>3801</v>
      </c>
      <c r="C35" s="12" t="n">
        <v>3341</v>
      </c>
      <c r="D35" s="23">
        <f>B35/C35-1</f>
        <v/>
      </c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Net income</t>
        </is>
      </c>
      <c r="B36" s="12" t="n">
        <v>2998</v>
      </c>
      <c r="C36" s="12" t="n">
        <v>2610</v>
      </c>
      <c r="D36" s="23">
        <f>B36/C36-1</f>
        <v/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7" t="inlineStr">
        <is>
          <t>Diluted EPS ($)</t>
        </is>
      </c>
      <c r="B37" s="14" t="n">
        <v>6.75</v>
      </c>
      <c r="C37" s="14" t="n">
        <v>5.87</v>
      </c>
      <c r="D37" s="23">
        <f>B37/C37-1</f>
        <v/>
      </c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Q4 diluted EPS ex tariff benefit ($)</t>
        </is>
      </c>
      <c r="B38" s="15">
        <f>B37-F23</f>
        <v/>
      </c>
      <c r="C38" s="15">
        <f>C37</f>
        <v/>
      </c>
      <c r="D38" s="23">
        <f>B38/C38-1</f>
        <v/>
      </c>
      <c r="E38" s="4" t="n"/>
      <c r="F38" s="4" t="n"/>
      <c r="G38" s="4" t="n"/>
      <c r="H38" s="4" t="n"/>
      <c r="I38" s="4" t="n"/>
      <c r="J38" s="4" t="n"/>
      <c r="K38" s="4" t="n"/>
      <c r="L38" s="4" t="n"/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39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3" customWidth="1" min="2" max="29"/>
  </cols>
  <sheetData>
    <row r="1" ht="19" customHeight="1">
      <c r="A1" s="1" t="inlineStr">
        <is>
          <t>Costco — Balance Sheet, fiscal year ends FY2022–FY2026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Source: Costco Q4/FY results releases, investor.costco.com (FY2023 incl. FY2022 comparatives; FY2024; FY2026 incl. FY2025). $m except per share.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8" t="inlineStr">
        <is>
          <t>$ millions</t>
        </is>
      </c>
      <c r="B3" s="33" t="inlineStr">
        <is>
          <t>FY2022</t>
        </is>
      </c>
      <c r="C3" s="33" t="inlineStr">
        <is>
          <t>FY2023</t>
        </is>
      </c>
      <c r="D3" s="33" t="inlineStr">
        <is>
          <t>FY2024</t>
        </is>
      </c>
      <c r="E3" s="33" t="inlineStr">
        <is>
          <t>FY2025</t>
        </is>
      </c>
      <c r="F3" s="33" t="inlineStr">
        <is>
          <t>FY2026</t>
        </is>
      </c>
      <c r="G3" s="4" t="n"/>
      <c r="H3" s="4" t="n"/>
      <c r="I3" s="4" t="n"/>
      <c r="J3" s="4" t="n"/>
      <c r="K3" s="4" t="n"/>
      <c r="L3" s="4" t="n"/>
    </row>
    <row r="4">
      <c r="A4" s="7" t="inlineStr">
        <is>
          <t>Cash and cash equivalents</t>
        </is>
      </c>
      <c r="B4" s="12" t="n">
        <v>10203</v>
      </c>
      <c r="C4" s="12" t="n">
        <v>13700</v>
      </c>
      <c r="D4" s="12" t="n">
        <v>9906</v>
      </c>
      <c r="E4" s="12" t="n">
        <v>14161</v>
      </c>
      <c r="F4" s="12" t="n">
        <v>20207</v>
      </c>
      <c r="G4" s="4" t="n"/>
      <c r="H4" s="4" t="n"/>
      <c r="I4" s="4" t="n"/>
      <c r="J4" s="4" t="n"/>
      <c r="K4" s="4" t="n"/>
      <c r="L4" s="4" t="n"/>
    </row>
    <row r="5">
      <c r="A5" s="7" t="inlineStr">
        <is>
          <t>Short-term investments</t>
        </is>
      </c>
      <c r="B5" s="12" t="n">
        <v>846</v>
      </c>
      <c r="C5" s="12" t="n">
        <v>1534</v>
      </c>
      <c r="D5" s="12" t="n">
        <v>1238</v>
      </c>
      <c r="E5" s="12" t="n">
        <v>1123</v>
      </c>
      <c r="F5" s="12" t="n">
        <v>1094</v>
      </c>
      <c r="G5" s="4" t="n"/>
      <c r="H5" s="4" t="n"/>
      <c r="I5" s="4" t="n"/>
      <c r="J5" s="4" t="n"/>
      <c r="K5" s="4" t="n"/>
      <c r="L5" s="4" t="n"/>
    </row>
    <row r="6">
      <c r="A6" s="7" t="inlineStr">
        <is>
          <t>Receivables, net</t>
        </is>
      </c>
      <c r="B6" s="12" t="n">
        <v>2241</v>
      </c>
      <c r="C6" s="12" t="n">
        <v>2285</v>
      </c>
      <c r="D6" s="12" t="n">
        <v>2721</v>
      </c>
      <c r="E6" s="12" t="n">
        <v>3203</v>
      </c>
      <c r="F6" s="12" t="n">
        <v>3959</v>
      </c>
      <c r="G6" s="4" t="n"/>
      <c r="H6" s="4" t="n"/>
      <c r="I6" s="4" t="n"/>
      <c r="J6" s="4" t="n"/>
      <c r="K6" s="4" t="n"/>
      <c r="L6" s="4" t="n"/>
    </row>
    <row r="7">
      <c r="A7" s="7" t="inlineStr">
        <is>
          <t>Merchandise inventories</t>
        </is>
      </c>
      <c r="B7" s="12" t="n">
        <v>17907</v>
      </c>
      <c r="C7" s="12" t="n">
        <v>16651</v>
      </c>
      <c r="D7" s="12" t="n">
        <v>18647</v>
      </c>
      <c r="E7" s="12" t="n">
        <v>18116</v>
      </c>
      <c r="F7" s="12" t="n">
        <v>19324</v>
      </c>
      <c r="G7" s="4" t="n"/>
      <c r="H7" s="4" t="n"/>
      <c r="I7" s="4" t="n"/>
      <c r="J7" s="4" t="n"/>
      <c r="K7" s="4" t="n"/>
      <c r="L7" s="4" t="n"/>
    </row>
    <row r="8">
      <c r="A8" s="7" t="inlineStr">
        <is>
          <t>Other current assets</t>
        </is>
      </c>
      <c r="B8" s="12" t="n">
        <v>1499</v>
      </c>
      <c r="C8" s="12" t="n">
        <v>1709</v>
      </c>
      <c r="D8" s="12" t="n">
        <v>1734</v>
      </c>
      <c r="E8" s="12" t="n">
        <v>1777</v>
      </c>
      <c r="F8" s="12" t="n">
        <v>1998</v>
      </c>
      <c r="G8" s="4" t="n"/>
      <c r="H8" s="4" t="n"/>
      <c r="I8" s="4" t="n"/>
      <c r="J8" s="4" t="n"/>
      <c r="K8" s="4" t="n"/>
      <c r="L8" s="4" t="n"/>
    </row>
    <row r="9">
      <c r="A9" s="8" t="inlineStr">
        <is>
          <t>Total current assets</t>
        </is>
      </c>
      <c r="B9" s="34">
        <f>SUM(B4:B8)</f>
        <v/>
      </c>
      <c r="C9" s="34">
        <f>SUM(C4:C8)</f>
        <v/>
      </c>
      <c r="D9" s="34">
        <f>SUM(D4:D8)</f>
        <v/>
      </c>
      <c r="E9" s="34">
        <f>SUM(E4:E8)</f>
        <v/>
      </c>
      <c r="F9" s="34">
        <f>SUM(F4:F8)</f>
        <v/>
      </c>
      <c r="G9" s="4" t="n"/>
      <c r="H9" s="4" t="n"/>
      <c r="I9" s="4" t="n"/>
      <c r="J9" s="4" t="n"/>
      <c r="K9" s="4" t="n"/>
      <c r="L9" s="4" t="n"/>
    </row>
    <row r="10">
      <c r="A10" s="7" t="inlineStr">
        <is>
          <t>Property and equipment, net</t>
        </is>
      </c>
      <c r="B10" s="12" t="n">
        <v>24646</v>
      </c>
      <c r="C10" s="12" t="n">
        <v>26684</v>
      </c>
      <c r="D10" s="12" t="n">
        <v>29032</v>
      </c>
      <c r="E10" s="12" t="n">
        <v>31909</v>
      </c>
      <c r="F10" s="12" t="n">
        <v>35633</v>
      </c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Operating lease right-of-use assets</t>
        </is>
      </c>
      <c r="B11" s="12" t="n">
        <v>2774</v>
      </c>
      <c r="C11" s="12" t="n">
        <v>2713</v>
      </c>
      <c r="D11" s="12" t="n">
        <v>2617</v>
      </c>
      <c r="E11" s="12" t="n">
        <v>2725</v>
      </c>
      <c r="F11" s="12" t="n">
        <v>2697</v>
      </c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Other long-term assets</t>
        </is>
      </c>
      <c r="B12" s="12" t="n">
        <v>4050</v>
      </c>
      <c r="C12" s="12" t="n">
        <v>3718</v>
      </c>
      <c r="D12" s="12" t="n">
        <v>3936</v>
      </c>
      <c r="E12" s="12" t="n">
        <v>4085</v>
      </c>
      <c r="F12" s="12" t="n">
        <v>4133</v>
      </c>
      <c r="G12" s="4" t="n"/>
      <c r="H12" s="4" t="n"/>
      <c r="I12" s="4" t="n"/>
      <c r="J12" s="4" t="n"/>
      <c r="K12" s="4" t="n"/>
      <c r="L12" s="4" t="n"/>
    </row>
    <row r="13">
      <c r="A13" s="8" t="inlineStr">
        <is>
          <t>TOTAL ASSETS</t>
        </is>
      </c>
      <c r="B13" s="34">
        <f>B9+B10+B11+B12</f>
        <v/>
      </c>
      <c r="C13" s="34">
        <f>C9+C10+C11+C12</f>
        <v/>
      </c>
      <c r="D13" s="34">
        <f>D9+D10+D11+D12</f>
        <v/>
      </c>
      <c r="E13" s="34">
        <f>E9+E10+E11+E12</f>
        <v/>
      </c>
      <c r="F13" s="34">
        <f>F9+F10+F11+F12</f>
        <v/>
      </c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Total assets as reported</t>
        </is>
      </c>
      <c r="B14" s="12" t="n">
        <v>64166</v>
      </c>
      <c r="C14" s="12" t="n">
        <v>68994</v>
      </c>
      <c r="D14" s="12" t="n">
        <v>69831</v>
      </c>
      <c r="E14" s="12" t="n">
        <v>77099</v>
      </c>
      <c r="F14" s="12" t="n">
        <v>89045</v>
      </c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Check: computed less reported total assets (must be 0)</t>
        </is>
      </c>
      <c r="B15" s="11">
        <f>B13-B14</f>
        <v/>
      </c>
      <c r="C15" s="11">
        <f>C13-C14</f>
        <v/>
      </c>
      <c r="D15" s="11">
        <f>D13-D14</f>
        <v/>
      </c>
      <c r="E15" s="11">
        <f>E13-E14</f>
        <v/>
      </c>
      <c r="F15" s="11">
        <f>F13-F14</f>
        <v/>
      </c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7" t="inlineStr">
        <is>
          <t>Accounts payable</t>
        </is>
      </c>
      <c r="B17" s="12" t="n">
        <v>17848</v>
      </c>
      <c r="C17" s="12" t="n">
        <v>17483</v>
      </c>
      <c r="D17" s="12" t="n">
        <v>19421</v>
      </c>
      <c r="E17" s="12" t="n">
        <v>19783</v>
      </c>
      <c r="F17" s="12" t="n">
        <v>22591</v>
      </c>
      <c r="G17" s="4" t="n"/>
      <c r="H17" s="4" t="n"/>
      <c r="I17" s="4" t="n"/>
      <c r="J17" s="4" t="n"/>
      <c r="K17" s="4" t="n"/>
      <c r="L17" s="4" t="n"/>
    </row>
    <row r="18">
      <c r="A18" s="7" t="inlineStr">
        <is>
          <t>Accrued salaries and benefits</t>
        </is>
      </c>
      <c r="B18" s="12" t="n">
        <v>4381</v>
      </c>
      <c r="C18" s="12" t="n">
        <v>4278</v>
      </c>
      <c r="D18" s="12" t="n">
        <v>4794</v>
      </c>
      <c r="E18" s="12" t="n">
        <v>5205</v>
      </c>
      <c r="F18" s="12" t="n">
        <v>5641</v>
      </c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Accrued member rewards</t>
        </is>
      </c>
      <c r="B19" s="12" t="n">
        <v>1911</v>
      </c>
      <c r="C19" s="12" t="n">
        <v>2150</v>
      </c>
      <c r="D19" s="12" t="n">
        <v>2435</v>
      </c>
      <c r="E19" s="12" t="n">
        <v>2677</v>
      </c>
      <c r="F19" s="12" t="n">
        <v>3037</v>
      </c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Deferred membership fees</t>
        </is>
      </c>
      <c r="B20" s="12" t="n">
        <v>2174</v>
      </c>
      <c r="C20" s="12" t="n">
        <v>2337</v>
      </c>
      <c r="D20" s="12" t="n">
        <v>2501</v>
      </c>
      <c r="E20" s="12" t="n">
        <v>2854</v>
      </c>
      <c r="F20" s="12" t="n">
        <v>3006</v>
      </c>
      <c r="G20" s="4" t="n"/>
      <c r="H20" s="4" t="n"/>
      <c r="I20" s="4" t="n"/>
      <c r="J20" s="4" t="n"/>
      <c r="K20" s="4" t="n"/>
      <c r="L20" s="4" t="n"/>
    </row>
    <row r="21">
      <c r="A21" s="7" t="inlineStr">
        <is>
          <t>Current portion of long-term debt</t>
        </is>
      </c>
      <c r="B21" s="12" t="n">
        <v>73</v>
      </c>
      <c r="C21" s="12" t="n">
        <v>1081</v>
      </c>
      <c r="D21" s="12" t="n">
        <v>103</v>
      </c>
      <c r="E21" s="12" t="n">
        <v>75</v>
      </c>
      <c r="F21" s="12" t="n">
        <v>2248</v>
      </c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Other current liabilities</t>
        </is>
      </c>
      <c r="B22" s="12" t="n">
        <v>5611</v>
      </c>
      <c r="C22" s="12" t="n">
        <v>6254</v>
      </c>
      <c r="D22" s="12" t="n">
        <v>6210</v>
      </c>
      <c r="E22" s="12" t="n">
        <v>6514</v>
      </c>
      <c r="F22" s="12" t="n">
        <v>7429</v>
      </c>
      <c r="G22" s="4" t="n"/>
      <c r="H22" s="4" t="n"/>
      <c r="I22" s="4" t="n"/>
      <c r="J22" s="4" t="n"/>
      <c r="K22" s="4" t="n"/>
      <c r="L22" s="4" t="n"/>
    </row>
    <row r="23">
      <c r="A23" s="8" t="inlineStr">
        <is>
          <t>Total current liabilities</t>
        </is>
      </c>
      <c r="B23" s="34">
        <f>SUM(B17:B22)</f>
        <v/>
      </c>
      <c r="C23" s="34">
        <f>SUM(C17:C22)</f>
        <v/>
      </c>
      <c r="D23" s="34">
        <f>SUM(D17:D22)</f>
        <v/>
      </c>
      <c r="E23" s="34">
        <f>SUM(E17:E22)</f>
        <v/>
      </c>
      <c r="F23" s="34">
        <f>SUM(F17:F22)</f>
        <v/>
      </c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Long-term debt, excluding current portion</t>
        </is>
      </c>
      <c r="B24" s="12" t="n">
        <v>6484</v>
      </c>
      <c r="C24" s="12" t="n">
        <v>5377</v>
      </c>
      <c r="D24" s="12" t="n">
        <v>5794</v>
      </c>
      <c r="E24" s="12" t="n">
        <v>5713</v>
      </c>
      <c r="F24" s="12" t="n">
        <v>3914</v>
      </c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Long-term operating lease liabilities</t>
        </is>
      </c>
      <c r="B25" s="12" t="n">
        <v>2482</v>
      </c>
      <c r="C25" s="12" t="n">
        <v>2426</v>
      </c>
      <c r="D25" s="12" t="n">
        <v>2375</v>
      </c>
      <c r="E25" s="12" t="n">
        <v>2460</v>
      </c>
      <c r="F25" s="12" t="n">
        <v>2414</v>
      </c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Other long-term liabilities</t>
        </is>
      </c>
      <c r="B26" s="12" t="n">
        <v>2555</v>
      </c>
      <c r="C26" s="12" t="n">
        <v>2550</v>
      </c>
      <c r="D26" s="12" t="n">
        <v>2576</v>
      </c>
      <c r="E26" s="12" t="n">
        <v>2654</v>
      </c>
      <c r="F26" s="12" t="n">
        <v>2962</v>
      </c>
      <c r="G26" s="4" t="n"/>
      <c r="H26" s="4" t="n"/>
      <c r="I26" s="4" t="n"/>
      <c r="J26" s="4" t="n"/>
      <c r="K26" s="4" t="n"/>
      <c r="L26" s="4" t="n"/>
    </row>
    <row r="27">
      <c r="A27" s="8" t="inlineStr">
        <is>
          <t>TOTAL LIABILITIES</t>
        </is>
      </c>
      <c r="B27" s="34">
        <f>B23+B24+B25+B26</f>
        <v/>
      </c>
      <c r="C27" s="34">
        <f>C23+C24+C25+C26</f>
        <v/>
      </c>
      <c r="D27" s="34">
        <f>D23+D24+D25+D26</f>
        <v/>
      </c>
      <c r="E27" s="34">
        <f>E23+E24+E25+E26</f>
        <v/>
      </c>
      <c r="F27" s="34">
        <f>F23+F24+F25+F26</f>
        <v/>
      </c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Total equity (incl. noncontrolling interests)</t>
        </is>
      </c>
      <c r="B28" s="12" t="n">
        <v>20647</v>
      </c>
      <c r="C28" s="12" t="n">
        <v>25058</v>
      </c>
      <c r="D28" s="12" t="n">
        <v>23622</v>
      </c>
      <c r="E28" s="12" t="n">
        <v>29164</v>
      </c>
      <c r="F28" s="12" t="n">
        <v>35803</v>
      </c>
      <c r="G28" s="4" t="n"/>
      <c r="H28" s="4" t="n"/>
      <c r="I28" s="4" t="n"/>
      <c r="J28" s="4" t="n"/>
      <c r="K28" s="4" t="n"/>
      <c r="L28" s="4" t="n"/>
    </row>
    <row r="29">
      <c r="A29" s="7" t="inlineStr">
        <is>
          <t xml:space="preserve">  of which noncontrolling interests</t>
        </is>
      </c>
      <c r="B29" s="12" t="n">
        <v>5</v>
      </c>
      <c r="C29" s="12" t="n">
        <v>0</v>
      </c>
      <c r="D29" s="12" t="n">
        <v>0</v>
      </c>
      <c r="E29" s="12" t="n">
        <v>0</v>
      </c>
      <c r="F29" s="12" t="n">
        <v>0</v>
      </c>
      <c r="G29" s="4" t="n"/>
      <c r="H29" s="4" t="n"/>
      <c r="I29" s="4" t="n"/>
      <c r="J29" s="4" t="n"/>
      <c r="K29" s="4" t="n"/>
      <c r="L29" s="4" t="n"/>
    </row>
    <row r="30">
      <c r="A30" s="7" t="inlineStr">
        <is>
          <t>Check: assets less liabilities less equity (must be 0)</t>
        </is>
      </c>
      <c r="B30" s="11">
        <f>B13-B27-B28</f>
        <v/>
      </c>
      <c r="C30" s="11">
        <f>C13-C27-C28</f>
        <v/>
      </c>
      <c r="D30" s="11">
        <f>D13-D27-D28</f>
        <v/>
      </c>
      <c r="E30" s="11">
        <f>E13-E27-E28</f>
        <v/>
      </c>
      <c r="F30" s="11">
        <f>F13-F27-F28</f>
        <v/>
      </c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Shares issued and outstanding at year end (000s)</t>
        </is>
      </c>
      <c r="B31" s="12" t="n">
        <v>442664</v>
      </c>
      <c r="C31" s="12" t="n">
        <v>442793</v>
      </c>
      <c r="D31" s="12" t="n">
        <v>443126</v>
      </c>
      <c r="E31" s="12" t="n">
        <v>443237</v>
      </c>
      <c r="F31" s="12" t="n">
        <v>443266</v>
      </c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5" t="inlineStr">
        <is>
          <t>DERIVED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7" t="inlineStr">
        <is>
          <t>Total debt (current + long-term)</t>
        </is>
      </c>
      <c r="B34" s="11">
        <f>B21+B24</f>
        <v/>
      </c>
      <c r="C34" s="11">
        <f>C21+C24</f>
        <v/>
      </c>
      <c r="D34" s="11">
        <f>D21+D24</f>
        <v/>
      </c>
      <c r="E34" s="11">
        <f>E21+E24</f>
        <v/>
      </c>
      <c r="F34" s="11">
        <f>F21+F24</f>
        <v/>
      </c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Cash + short-term investments</t>
        </is>
      </c>
      <c r="B35" s="11">
        <f>B4+B5</f>
        <v/>
      </c>
      <c r="C35" s="11">
        <f>C4+C5</f>
        <v/>
      </c>
      <c r="D35" s="11">
        <f>D4+D5</f>
        <v/>
      </c>
      <c r="E35" s="11">
        <f>E4+E5</f>
        <v/>
      </c>
      <c r="F35" s="11">
        <f>F4+F5</f>
        <v/>
      </c>
      <c r="G35" s="4" t="n"/>
      <c r="H35" s="4" t="n"/>
      <c r="I35" s="4" t="n"/>
      <c r="J35" s="4" t="n"/>
      <c r="K35" s="4" t="n"/>
      <c r="L35" s="4" t="n"/>
    </row>
    <row r="36">
      <c r="A36" s="8" t="inlineStr">
        <is>
          <t>Net cash (excl. leases)</t>
        </is>
      </c>
      <c r="B36" s="34">
        <f>B35-B34</f>
        <v/>
      </c>
      <c r="C36" s="34">
        <f>C35-C34</f>
        <v/>
      </c>
      <c r="D36" s="34">
        <f>D35-D34</f>
        <v/>
      </c>
      <c r="E36" s="34">
        <f>E35-E34</f>
        <v/>
      </c>
      <c r="F36" s="34">
        <f>F35-F34</f>
        <v/>
      </c>
      <c r="G36" s="4" t="n"/>
      <c r="H36" s="4" t="n"/>
      <c r="I36" s="4" t="n"/>
      <c r="J36" s="4" t="n"/>
      <c r="K36" s="4" t="n"/>
      <c r="L36" s="4" t="n"/>
    </row>
    <row r="37">
      <c r="A37" s="7" t="inlineStr">
        <is>
          <t>Operating net working capital (excl. cash, investments, debt)</t>
        </is>
      </c>
      <c r="B37" s="11">
        <f>B6+B7+B8-(B23-B21)</f>
        <v/>
      </c>
      <c r="C37" s="11">
        <f>C6+C7+C8-(C23-C21)</f>
        <v/>
      </c>
      <c r="D37" s="11">
        <f>D6+D7+D8-(D23-D21)</f>
        <v/>
      </c>
      <c r="E37" s="11">
        <f>E6+E7+E8-(E23-E21)</f>
        <v/>
      </c>
      <c r="F37" s="11">
        <f>F6+F7+F8-(F23-F21)</f>
        <v/>
      </c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Costco stockholders' equity</t>
        </is>
      </c>
      <c r="B38" s="11">
        <f>B28-B29</f>
        <v/>
      </c>
      <c r="C38" s="11">
        <f>C28-C29</f>
        <v/>
      </c>
      <c r="D38" s="11">
        <f>D28-D29</f>
        <v/>
      </c>
      <c r="E38" s="11">
        <f>E28-E29</f>
        <v/>
      </c>
      <c r="F38" s="11">
        <f>F28-F29</f>
        <v/>
      </c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Invested capital = equity + debt − cash − investments</t>
        </is>
      </c>
      <c r="B39" s="11">
        <f>B38+B34-B35</f>
        <v/>
      </c>
      <c r="C39" s="11">
        <f>C38+C34-C35</f>
        <v/>
      </c>
      <c r="D39" s="11">
        <f>D38+D34-D35</f>
        <v/>
      </c>
      <c r="E39" s="11">
        <f>E38+E34-E35</f>
        <v/>
      </c>
      <c r="F39" s="11">
        <f>F38+F34-F35</f>
        <v/>
      </c>
      <c r="G39" s="4" t="n"/>
      <c r="H39" s="4" t="n"/>
      <c r="I39" s="4" t="n"/>
      <c r="J39" s="4" t="n"/>
      <c r="K39" s="4" t="n"/>
      <c r="L39" s="4" t="n"/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10" defaultColWidth="8.83203125" defaultRowHeight="15"/>
  <cols>
    <col width="85" customWidth="1" min="1" max="1"/>
    <col width="13" customWidth="1" min="2" max="29"/>
  </cols>
  <sheetData>
    <row r="1" ht="19" customHeight="1">
      <c r="A1" s="1" t="inlineStr">
        <is>
          <t>Costco — Cash Flow, FY2022–FY2026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Source: Costco Q4/FY results releases, investor.costco.com (FY2023 incl. FY2022 comparatives; FY2024; FY2026 incl. FY2025). $m except per share.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8" t="inlineStr">
        <is>
          <t>$ millions</t>
        </is>
      </c>
      <c r="B3" s="33" t="inlineStr">
        <is>
          <t>FY2022</t>
        </is>
      </c>
      <c r="C3" s="33" t="inlineStr">
        <is>
          <t>FY2023</t>
        </is>
      </c>
      <c r="D3" s="33" t="inlineStr">
        <is>
          <t>FY2024</t>
        </is>
      </c>
      <c r="E3" s="33" t="inlineStr">
        <is>
          <t>FY2025</t>
        </is>
      </c>
      <c r="F3" s="33" t="inlineStr">
        <is>
          <t>FY2026</t>
        </is>
      </c>
      <c r="G3" s="4" t="n"/>
      <c r="H3" s="4" t="n"/>
      <c r="I3" s="4" t="n"/>
      <c r="J3" s="4" t="n"/>
      <c r="K3" s="4" t="n"/>
      <c r="L3" s="4" t="n"/>
    </row>
    <row r="4">
      <c r="A4" s="7" t="inlineStr">
        <is>
          <t>Net income including noncontrolling interests</t>
        </is>
      </c>
      <c r="B4" s="12" t="n">
        <v>5915</v>
      </c>
      <c r="C4" s="12" t="n">
        <v>6292</v>
      </c>
      <c r="D4" s="12" t="n">
        <v>7367</v>
      </c>
      <c r="E4" s="12" t="n">
        <v>8099</v>
      </c>
      <c r="F4" s="12" t="n">
        <v>9226</v>
      </c>
      <c r="G4" s="4" t="n"/>
      <c r="H4" s="4" t="n"/>
      <c r="I4" s="4" t="n"/>
      <c r="J4" s="4" t="n"/>
      <c r="K4" s="4" t="n"/>
      <c r="L4" s="4" t="n"/>
    </row>
    <row r="5">
      <c r="A5" s="7" t="inlineStr">
        <is>
          <t>Depreciation and amortization</t>
        </is>
      </c>
      <c r="B5" s="12" t="n">
        <v>1900</v>
      </c>
      <c r="C5" s="12" t="n">
        <v>2077</v>
      </c>
      <c r="D5" s="12" t="n">
        <v>2237</v>
      </c>
      <c r="E5" s="12" t="n">
        <v>2426</v>
      </c>
      <c r="F5" s="12" t="n">
        <v>2674</v>
      </c>
      <c r="G5" s="4" t="n"/>
      <c r="H5" s="4" t="n"/>
      <c r="I5" s="4" t="n"/>
      <c r="J5" s="4" t="n"/>
      <c r="K5" s="4" t="n"/>
      <c r="L5" s="4" t="n"/>
    </row>
    <row r="6">
      <c r="A6" s="7" t="inlineStr">
        <is>
          <t>Stock-based compensation</t>
        </is>
      </c>
      <c r="B6" s="12" t="n">
        <v>724</v>
      </c>
      <c r="C6" s="12" t="n">
        <v>774</v>
      </c>
      <c r="D6" s="12" t="n">
        <v>818</v>
      </c>
      <c r="E6" s="12" t="n">
        <v>860</v>
      </c>
      <c r="F6" s="12" t="n">
        <v>924</v>
      </c>
      <c r="G6" s="4" t="n"/>
      <c r="H6" s="4" t="n"/>
      <c r="I6" s="4" t="n"/>
      <c r="J6" s="4" t="n"/>
      <c r="K6" s="4" t="n"/>
      <c r="L6" s="4" t="n"/>
    </row>
    <row r="7">
      <c r="A7" s="7" t="inlineStr">
        <is>
          <t>Changes in working capital</t>
        </is>
      </c>
      <c r="B7" s="12" t="n">
        <v>-1563</v>
      </c>
      <c r="C7" s="12" t="n">
        <v>1018</v>
      </c>
      <c r="D7" s="12" t="n">
        <v>611</v>
      </c>
      <c r="E7" s="12" t="n">
        <v>1764</v>
      </c>
      <c r="F7" s="12" t="n">
        <v>2328</v>
      </c>
      <c r="G7" s="4" t="n"/>
      <c r="H7" s="4" t="n"/>
      <c r="I7" s="4" t="n"/>
      <c r="J7" s="4" t="n"/>
      <c r="K7" s="4" t="n"/>
      <c r="L7" s="4" t="n"/>
    </row>
    <row r="8">
      <c r="A8" s="7" t="inlineStr">
        <is>
          <t>Net cash provided by operating activities</t>
        </is>
      </c>
      <c r="B8" s="12" t="n">
        <v>7392</v>
      </c>
      <c r="C8" s="12" t="n">
        <v>11068</v>
      </c>
      <c r="D8" s="12" t="n">
        <v>11339</v>
      </c>
      <c r="E8" s="12" t="n">
        <v>13335</v>
      </c>
      <c r="F8" s="12" t="n">
        <v>15825</v>
      </c>
      <c r="G8" s="4" t="n"/>
      <c r="H8" s="4" t="n"/>
      <c r="I8" s="4" t="n"/>
      <c r="J8" s="4" t="n"/>
      <c r="K8" s="4" t="n"/>
      <c r="L8" s="4" t="n"/>
    </row>
    <row r="9">
      <c r="A9" s="7" t="inlineStr">
        <is>
          <t>Additions to property and equipment</t>
        </is>
      </c>
      <c r="B9" s="12" t="n">
        <v>-3891</v>
      </c>
      <c r="C9" s="12" t="n">
        <v>-4323</v>
      </c>
      <c r="D9" s="12" t="n">
        <v>-4710</v>
      </c>
      <c r="E9" s="12" t="n">
        <v>-5498</v>
      </c>
      <c r="F9" s="12" t="n">
        <v>-6435</v>
      </c>
      <c r="G9" s="4" t="n"/>
      <c r="H9" s="4" t="n"/>
      <c r="I9" s="4" t="n"/>
      <c r="J9" s="4" t="n"/>
      <c r="K9" s="4" t="n"/>
      <c r="L9" s="4" t="n"/>
    </row>
    <row r="10">
      <c r="A10" s="7" t="inlineStr">
        <is>
          <t>Cash dividend payments (incl. special)</t>
        </is>
      </c>
      <c r="B10" s="12" t="n">
        <v>-1498</v>
      </c>
      <c r="C10" s="12" t="n">
        <v>-1251</v>
      </c>
      <c r="D10" s="12" t="n">
        <v>-9041</v>
      </c>
      <c r="E10" s="12" t="n">
        <v>-2183</v>
      </c>
      <c r="F10" s="12" t="n">
        <v>-2458</v>
      </c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Repurchases of common stock</t>
        </is>
      </c>
      <c r="B11" s="12" t="n">
        <v>-439</v>
      </c>
      <c r="C11" s="12" t="n">
        <v>-676</v>
      </c>
      <c r="D11" s="12" t="n">
        <v>-700</v>
      </c>
      <c r="E11" s="12" t="n">
        <v>-903</v>
      </c>
      <c r="F11" s="12" t="n">
        <v>-848</v>
      </c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Other operating items (residual)</t>
        </is>
      </c>
      <c r="B12" s="11">
        <f>B8-B4-B5-B6-B7</f>
        <v/>
      </c>
      <c r="C12" s="11">
        <f>C8-C4-C5-C6-C7</f>
        <v/>
      </c>
      <c r="D12" s="11">
        <f>D8-D4-D5-D6-D7</f>
        <v/>
      </c>
      <c r="E12" s="11">
        <f>E8-E4-E5-E6-E7</f>
        <v/>
      </c>
      <c r="F12" s="11">
        <f>F8-F4-F5-F6-F7</f>
        <v/>
      </c>
      <c r="G12" s="4" t="n"/>
      <c r="H12" s="4" t="n"/>
      <c r="I12" s="4" t="n"/>
      <c r="J12" s="4" t="n"/>
      <c r="K12" s="4" t="n"/>
      <c r="L12" s="4" t="n"/>
    </row>
    <row r="13">
      <c r="A13" s="8" t="inlineStr">
        <is>
          <t>FREE CASH FLOW = operating cash flow + capex</t>
        </is>
      </c>
      <c r="B13" s="34">
        <f>B8+B9</f>
        <v/>
      </c>
      <c r="C13" s="34">
        <f>C8+C9</f>
        <v/>
      </c>
      <c r="D13" s="34">
        <f>D8+D9</f>
        <v/>
      </c>
      <c r="E13" s="34">
        <f>E8+E9</f>
        <v/>
      </c>
      <c r="F13" s="34">
        <f>F8+F9</f>
        <v/>
      </c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Cash returned to shareholders</t>
        </is>
      </c>
      <c r="B14" s="11">
        <f>-(B10+B11)</f>
        <v/>
      </c>
      <c r="C14" s="11">
        <f>-(C10+C11)</f>
        <v/>
      </c>
      <c r="D14" s="11">
        <f>-(D10+D11)</f>
        <v/>
      </c>
      <c r="E14" s="11">
        <f>-(E10+E11)</f>
        <v/>
      </c>
      <c r="F14" s="11">
        <f>-(F10+F11)</f>
        <v/>
      </c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3" t="inlineStr">
        <is>
          <t>FY2024 dividends include the $15.00 special paid January 2024 (~$6.7bn). FY2022 net income includes $71m of noncontrolling interest.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8">
      <c r="A18" s="66" t="inlineStr">
        <is>
          <t>Change in cash and equivalents, balance sheet ($m)</t>
        </is>
      </c>
      <c r="B18" s="67">
        <f>'Balance Sheet'!B4-B19</f>
        <v/>
      </c>
      <c r="C18" s="67">
        <f>'Balance Sheet'!C4-'Balance Sheet'!B4</f>
        <v/>
      </c>
      <c r="D18" s="67">
        <f>'Balance Sheet'!D4-'Balance Sheet'!C4</f>
        <v/>
      </c>
      <c r="E18" s="67">
        <f>'Balance Sheet'!E4-'Balance Sheet'!D4</f>
        <v/>
      </c>
      <c r="F18" s="67">
        <f>'Balance Sheet'!F4-'Balance Sheet'!E4</f>
        <v/>
      </c>
    </row>
    <row r="19">
      <c r="A19" s="66" t="inlineStr">
        <is>
          <t>Cash and equivalents at the start of FY2022 ($m)</t>
        </is>
      </c>
      <c r="B19" s="68" t="n">
        <v>11258</v>
      </c>
    </row>
    <row r="20">
      <c r="A20" s="66" t="inlineStr">
        <is>
          <t>Other investing, financing and FX flows = change in cash − FCF + cash returned ($m)</t>
        </is>
      </c>
      <c r="B20" s="69">
        <f>B18-B13+B14</f>
        <v/>
      </c>
      <c r="C20" s="69">
        <f>C18-C13+C14</f>
        <v/>
      </c>
      <c r="D20" s="69">
        <f>D18-D13+D14</f>
        <v/>
      </c>
      <c r="E20" s="69">
        <f>E18-E13+E14</f>
        <v/>
      </c>
      <c r="F20" s="69">
        <f>F18-F13+F14</f>
        <v/>
      </c>
    </row>
    <row r="21">
      <c r="A21" s="66" t="inlineStr">
        <is>
          <t>Net cash used in investing activities, reported ($m)</t>
        </is>
      </c>
      <c r="B21" s="82" t="n">
        <v>-3915</v>
      </c>
      <c r="C21" s="82" t="n">
        <v>-4972</v>
      </c>
      <c r="D21" s="82" t="n">
        <v>-4409</v>
      </c>
      <c r="E21" s="82" t="n">
        <v>-5311</v>
      </c>
      <c r="F21" s="82" t="n">
        <v>-6386</v>
      </c>
    </row>
    <row r="22">
      <c r="A22" s="66" t="inlineStr">
        <is>
          <t>Net cash used in financing activities, reported ($m)</t>
        </is>
      </c>
      <c r="B22" s="82" t="n">
        <v>-4283</v>
      </c>
      <c r="C22" s="82" t="n">
        <v>-2614</v>
      </c>
      <c r="D22" s="82" t="n">
        <v>-10764</v>
      </c>
      <c r="E22" s="82" t="n">
        <v>-3775</v>
      </c>
      <c r="F22" s="82" t="n">
        <v>-3355</v>
      </c>
    </row>
    <row r="23">
      <c r="A23" s="66" t="inlineStr">
        <is>
          <t>Effect of exchange rates on cash, reported ($m)</t>
        </is>
      </c>
      <c r="B23" s="82" t="n">
        <v>-249</v>
      </c>
      <c r="C23" s="82" t="n">
        <v>15</v>
      </c>
      <c r="D23" s="82" t="n">
        <v>40</v>
      </c>
      <c r="E23" s="82" t="n">
        <v>6</v>
      </c>
      <c r="F23" s="82" t="n">
        <v>-38</v>
      </c>
    </row>
    <row r="24">
      <c r="A24" s="66" t="inlineStr">
        <is>
          <t>Check: operating + investing + financing + FX less change in cash (must be 0)</t>
        </is>
      </c>
      <c r="B24" s="69">
        <f>B8+B21+B22+B23-B18</f>
        <v/>
      </c>
      <c r="C24" s="69">
        <f>C8+C21+C22+C23-C18</f>
        <v/>
      </c>
      <c r="D24" s="69">
        <f>D8+D21+D22+D23-D18</f>
        <v/>
      </c>
      <c r="E24" s="69">
        <f>E8+E21+E22+E23-E18</f>
        <v/>
      </c>
      <c r="F24" s="69">
        <f>F8+F21+F22+F23-F18</f>
        <v/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28"/>
  <sheetViews>
    <sheetView showGridLines="0" zoomScale="141" workbookViewId="0">
      <selection activeCell="F5" sqref="F5"/>
    </sheetView>
  </sheetViews>
  <sheetFormatPr baseColWidth="10" defaultColWidth="8.83203125" defaultRowHeight="15"/>
  <cols>
    <col width="85" customWidth="1" min="1" max="1"/>
    <col width="13" customWidth="1" min="2" max="29"/>
  </cols>
  <sheetData>
    <row r="1" ht="19" customHeight="1">
      <c r="A1" s="1" t="inlineStr">
        <is>
          <t>Costco — Key Ratios, FY2022–FY2026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Every ratio is a formula on the statement sheets.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33" t="inlineStr">
        <is>
          <t>FY2022</t>
        </is>
      </c>
      <c r="C3" s="33" t="inlineStr">
        <is>
          <t>FY2023</t>
        </is>
      </c>
      <c r="D3" s="33" t="inlineStr">
        <is>
          <t>FY2024</t>
        </is>
      </c>
      <c r="E3" s="33" t="inlineStr">
        <is>
          <t>FY2025</t>
        </is>
      </c>
      <c r="F3" s="33" t="inlineStr">
        <is>
          <t>FY2026</t>
        </is>
      </c>
      <c r="G3" s="4" t="n"/>
      <c r="H3" s="4" t="n"/>
      <c r="I3" s="4" t="n"/>
      <c r="J3" s="4" t="n"/>
      <c r="K3" s="4" t="n"/>
      <c r="L3" s="4" t="n"/>
    </row>
    <row r="4">
      <c r="A4" s="5" t="inlineStr">
        <is>
          <t>GROWTH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inlineStr">
        <is>
          <t>Net sales growth</t>
        </is>
      </c>
      <c r="B5" s="23" t="n"/>
      <c r="C5" s="30">
        <f>'Income Statement'!C4/'Income Statement'!B4-1</f>
        <v/>
      </c>
      <c r="D5" s="30">
        <f>'Income Statement'!D4/'Income Statement'!C4-1</f>
        <v/>
      </c>
      <c r="E5" s="30">
        <f>'Income Statement'!E4/'Income Statement'!D4-1</f>
        <v/>
      </c>
      <c r="F5" s="30">
        <f>'Income Statement'!F4/'Income Statement'!E4-1</f>
        <v/>
      </c>
      <c r="G5" s="4" t="n"/>
      <c r="H5" s="4" t="n"/>
      <c r="I5" s="4" t="n"/>
      <c r="J5" s="4" t="n"/>
      <c r="K5" s="4" t="n"/>
      <c r="L5" s="4" t="n"/>
    </row>
    <row r="6">
      <c r="A6" s="7" t="inlineStr">
        <is>
          <t>Membership fee growth</t>
        </is>
      </c>
      <c r="B6" s="23" t="n"/>
      <c r="C6" s="30">
        <f>'Income Statement'!C5/'Income Statement'!B5-1</f>
        <v/>
      </c>
      <c r="D6" s="30">
        <f>'Income Statement'!D5/'Income Statement'!C5-1</f>
        <v/>
      </c>
      <c r="E6" s="30">
        <f>'Income Statement'!E5/'Income Statement'!D5-1</f>
        <v/>
      </c>
      <c r="F6" s="30">
        <f>'Income Statement'!F5/'Income Statement'!E5-1</f>
        <v/>
      </c>
      <c r="G6" s="4" t="n"/>
      <c r="H6" s="4" t="n"/>
      <c r="I6" s="4" t="n"/>
      <c r="J6" s="4" t="n"/>
      <c r="K6" s="4" t="n"/>
      <c r="L6" s="4" t="n"/>
    </row>
    <row r="7">
      <c r="A7" s="7" t="inlineStr">
        <is>
          <t>Diluted EPS growth (reported)</t>
        </is>
      </c>
      <c r="B7" s="23" t="n"/>
      <c r="C7" s="30">
        <f>'Income Statement'!C18/'Income Statement'!B18-1</f>
        <v/>
      </c>
      <c r="D7" s="30">
        <f>'Income Statement'!D18/'Income Statement'!C18-1</f>
        <v/>
      </c>
      <c r="E7" s="30">
        <f>'Income Statement'!E18/'Income Statement'!D18-1</f>
        <v/>
      </c>
      <c r="F7" s="30">
        <f>'Income Statement'!F18/'Income Statement'!E18-1</f>
        <v/>
      </c>
      <c r="G7" s="4" t="n"/>
      <c r="H7" s="4" t="n"/>
      <c r="I7" s="4" t="n"/>
      <c r="J7" s="4" t="n"/>
      <c r="K7" s="4" t="n"/>
      <c r="L7" s="4" t="n"/>
    </row>
    <row r="8">
      <c r="A8" s="5" t="inlineStr">
        <is>
          <t>THE TWO BUSINESSES — a membership club wrapped round a near-cost retailer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7" t="inlineStr">
        <is>
          <t>Gross margin on net sales</t>
        </is>
      </c>
      <c r="B9" s="31">
        <f>1-'Income Statement'!B7/'Income Statement'!B4</f>
        <v/>
      </c>
      <c r="C9" s="31">
        <f>1-'Income Statement'!C7/'Income Statement'!C4</f>
        <v/>
      </c>
      <c r="D9" s="31">
        <f>1-'Income Statement'!D7/'Income Statement'!D4</f>
        <v/>
      </c>
      <c r="E9" s="31">
        <f>1-'Income Statement'!E7/'Income Statement'!E4</f>
        <v/>
      </c>
      <c r="F9" s="31">
        <f>1-'Income Statement'!F7/'Income Statement'!F4</f>
        <v/>
      </c>
      <c r="G9" s="4" t="n"/>
      <c r="H9" s="4" t="n"/>
      <c r="I9" s="4" t="n"/>
      <c r="J9" s="4" t="n"/>
      <c r="K9" s="4" t="n"/>
      <c r="L9" s="4" t="n"/>
    </row>
    <row r="10">
      <c r="A10" s="7" t="inlineStr">
        <is>
          <t>SG&amp;A as % of net sales</t>
        </is>
      </c>
      <c r="B10" s="31">
        <f>'Income Statement'!B8/'Income Statement'!B4</f>
        <v/>
      </c>
      <c r="C10" s="31">
        <f>'Income Statement'!C8/'Income Statement'!C4</f>
        <v/>
      </c>
      <c r="D10" s="31">
        <f>'Income Statement'!D8/'Income Statement'!D4</f>
        <v/>
      </c>
      <c r="E10" s="31">
        <f>'Income Statement'!E8/'Income Statement'!E4</f>
        <v/>
      </c>
      <c r="F10" s="31">
        <f>'Income Statement'!F8/'Income Statement'!F4</f>
        <v/>
      </c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Operating margin on total revenue</t>
        </is>
      </c>
      <c r="B11" s="31">
        <f>'Income Statement'!B9/'Income Statement'!B6</f>
        <v/>
      </c>
      <c r="C11" s="31">
        <f>'Income Statement'!C9/'Income Statement'!C6</f>
        <v/>
      </c>
      <c r="D11" s="31">
        <f>'Income Statement'!D9/'Income Statement'!D6</f>
        <v/>
      </c>
      <c r="E11" s="31">
        <f>'Income Statement'!E9/'Income Statement'!E6</f>
        <v/>
      </c>
      <c r="F11" s="31">
        <f>'Income Statement'!F9/'Income Statement'!F6</f>
        <v/>
      </c>
      <c r="G11" s="4" t="n"/>
      <c r="H11" s="4" t="n"/>
      <c r="I11" s="4" t="n"/>
      <c r="J11" s="4" t="n"/>
      <c r="K11" s="4" t="n"/>
      <c r="L11" s="4" t="n"/>
    </row>
    <row r="12">
      <c r="A12" s="8" t="inlineStr">
        <is>
          <t>Membership fees as % of operating income</t>
        </is>
      </c>
      <c r="B12" s="38">
        <f>'Income Statement'!B5/'Income Statement'!B9</f>
        <v/>
      </c>
      <c r="C12" s="38">
        <f>'Income Statement'!C5/'Income Statement'!C9</f>
        <v/>
      </c>
      <c r="D12" s="38">
        <f>'Income Statement'!D5/'Income Statement'!D9</f>
        <v/>
      </c>
      <c r="E12" s="38">
        <f>'Income Statement'!E5/'Income Statement'!E9</f>
        <v/>
      </c>
      <c r="F12" s="38">
        <f>'Income Statement'!F5/'Income Statement'!F9</f>
        <v/>
      </c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Merchandise operating profit = operating income − fees ($m)</t>
        </is>
      </c>
      <c r="B13" s="39">
        <f>'Income Statement'!B9-'Income Statement'!B5</f>
        <v/>
      </c>
      <c r="C13" s="39">
        <f>'Income Statement'!C9-'Income Statement'!C5</f>
        <v/>
      </c>
      <c r="D13" s="39">
        <f>'Income Statement'!D9-'Income Statement'!D5</f>
        <v/>
      </c>
      <c r="E13" s="39">
        <f>'Income Statement'!E9-'Income Statement'!E5</f>
        <v/>
      </c>
      <c r="F13" s="39">
        <f>'Income Statement'!F9-'Income Statement'!F5</f>
        <v/>
      </c>
      <c r="G13" s="4" t="n"/>
      <c r="H13" s="4" t="n"/>
      <c r="I13" s="4" t="n"/>
      <c r="J13" s="4" t="n"/>
      <c r="K13" s="4" t="n"/>
      <c r="L13" s="4" t="n"/>
    </row>
    <row r="14">
      <c r="A14" s="8" t="inlineStr">
        <is>
          <t>Merchandise operating margin on net sales</t>
        </is>
      </c>
      <c r="B14" s="21">
        <f>('Income Statement'!B9-'Income Statement'!B5)/'Income Statement'!B4</f>
        <v/>
      </c>
      <c r="C14" s="21">
        <f>('Income Statement'!C9-'Income Statement'!C5)/'Income Statement'!C4</f>
        <v/>
      </c>
      <c r="D14" s="21">
        <f>('Income Statement'!D9-'Income Statement'!D5)/'Income Statement'!D4</f>
        <v/>
      </c>
      <c r="E14" s="21">
        <f>('Income Statement'!E9-'Income Statement'!E5)/'Income Statement'!E4</f>
        <v/>
      </c>
      <c r="F14" s="21">
        <f>('Income Statement'!F9-'Income Statement'!F5)/'Income Statement'!F4</f>
        <v/>
      </c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Net margin on total revenue</t>
        </is>
      </c>
      <c r="B15" s="31">
        <f>'Income Statement'!B15/'Income Statement'!B6</f>
        <v/>
      </c>
      <c r="C15" s="31">
        <f>'Income Statement'!C15/'Income Statement'!C6</f>
        <v/>
      </c>
      <c r="D15" s="31">
        <f>'Income Statement'!D15/'Income Statement'!D6</f>
        <v/>
      </c>
      <c r="E15" s="31">
        <f>'Income Statement'!E15/'Income Statement'!E6</f>
        <v/>
      </c>
      <c r="F15" s="31">
        <f>'Income Statement'!F15/'Income Statement'!F6</f>
        <v/>
      </c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Effective tax rate</t>
        </is>
      </c>
      <c r="B16" s="30">
        <f>'Income Statement'!B13/'Income Statement'!B12</f>
        <v/>
      </c>
      <c r="C16" s="30">
        <f>'Income Statement'!C13/'Income Statement'!C12</f>
        <v/>
      </c>
      <c r="D16" s="30">
        <f>'Income Statement'!D13/'Income Statement'!D12</f>
        <v/>
      </c>
      <c r="E16" s="30">
        <f>'Income Statement'!E13/'Income Statement'!E12</f>
        <v/>
      </c>
      <c r="F16" s="30">
        <f>'Income Statement'!F13/'Income Statement'!F12</f>
        <v/>
      </c>
      <c r="G16" s="4" t="n"/>
      <c r="H16" s="4" t="n"/>
      <c r="I16" s="4" t="n"/>
      <c r="J16" s="4" t="n"/>
      <c r="K16" s="4" t="n"/>
      <c r="L16" s="4" t="n"/>
    </row>
    <row r="17">
      <c r="A17" s="5" t="inlineStr">
        <is>
          <t>RETURNS AND CASH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7" t="inlineStr">
        <is>
          <t>Return on average Costco equity</t>
        </is>
      </c>
      <c r="B18" s="23" t="n"/>
      <c r="C18" s="30">
        <f>'Income Statement'!C15/AVERAGE('Balance Sheet'!C38,'Balance Sheet'!B38)</f>
        <v/>
      </c>
      <c r="D18" s="30">
        <f>'Income Statement'!D15/AVERAGE('Balance Sheet'!D38,'Balance Sheet'!C38)</f>
        <v/>
      </c>
      <c r="E18" s="30">
        <f>'Income Statement'!E15/AVERAGE('Balance Sheet'!E38,'Balance Sheet'!D38)</f>
        <v/>
      </c>
      <c r="F18" s="30">
        <f>'Income Statement'!F15/AVERAGE('Balance Sheet'!F38,'Balance Sheet'!E38)</f>
        <v/>
      </c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Return on invested capital (after-tax op. income ÷ year-end invested capital)</t>
        </is>
      </c>
      <c r="B19" s="30">
        <f>'Income Statement'!B9*(1-'Income Statement'!B13/'Income Statement'!B12)/'Balance Sheet'!B39</f>
        <v/>
      </c>
      <c r="C19" s="30">
        <f>'Income Statement'!C9*(1-'Income Statement'!C13/'Income Statement'!C12)/'Balance Sheet'!C39</f>
        <v/>
      </c>
      <c r="D19" s="30">
        <f>'Income Statement'!D9*(1-'Income Statement'!D13/'Income Statement'!D12)/'Balance Sheet'!D39</f>
        <v/>
      </c>
      <c r="E19" s="30">
        <f>'Income Statement'!E9*(1-'Income Statement'!E13/'Income Statement'!E12)/'Balance Sheet'!E39</f>
        <v/>
      </c>
      <c r="F19" s="30">
        <f>'Income Statement'!F9*(1-'Income Statement'!F13/'Income Statement'!F12)/'Balance Sheet'!F39</f>
        <v/>
      </c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Free cash flow ($m)</t>
        </is>
      </c>
      <c r="B20" s="39">
        <f>'Cash Flow'!B13</f>
        <v/>
      </c>
      <c r="C20" s="39">
        <f>'Cash Flow'!C13</f>
        <v/>
      </c>
      <c r="D20" s="39">
        <f>'Cash Flow'!D13</f>
        <v/>
      </c>
      <c r="E20" s="39">
        <f>'Cash Flow'!E13</f>
        <v/>
      </c>
      <c r="F20" s="39">
        <f>'Cash Flow'!F13</f>
        <v/>
      </c>
      <c r="G20" s="4" t="n"/>
      <c r="H20" s="4" t="n"/>
      <c r="I20" s="4" t="n"/>
      <c r="J20" s="4" t="n"/>
      <c r="K20" s="4" t="n"/>
      <c r="L20" s="4" t="n"/>
    </row>
    <row r="21">
      <c r="A21" s="7" t="inlineStr">
        <is>
          <t>Free cash flow ÷ net income</t>
        </is>
      </c>
      <c r="B21" s="30">
        <f>'Cash Flow'!B13/'Income Statement'!B15</f>
        <v/>
      </c>
      <c r="C21" s="30">
        <f>'Cash Flow'!C13/'Income Statement'!C15</f>
        <v/>
      </c>
      <c r="D21" s="30">
        <f>'Cash Flow'!D13/'Income Statement'!D15</f>
        <v/>
      </c>
      <c r="E21" s="30">
        <f>'Cash Flow'!E13/'Income Statement'!E15</f>
        <v/>
      </c>
      <c r="F21" s="30">
        <f>'Cash Flow'!F13/'Income Statement'!F15</f>
        <v/>
      </c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Capex as % of net sales</t>
        </is>
      </c>
      <c r="B22" s="31">
        <f>-'Cash Flow'!B9/'Income Statement'!B4</f>
        <v/>
      </c>
      <c r="C22" s="31">
        <f>-'Cash Flow'!C9/'Income Statement'!C4</f>
        <v/>
      </c>
      <c r="D22" s="31">
        <f>-'Cash Flow'!D9/'Income Statement'!D4</f>
        <v/>
      </c>
      <c r="E22" s="31">
        <f>-'Cash Flow'!E9/'Income Statement'!E4</f>
        <v/>
      </c>
      <c r="F22" s="31">
        <f>-'Cash Flow'!F9/'Income Statement'!F4</f>
        <v/>
      </c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D&amp;A as % of net sales</t>
        </is>
      </c>
      <c r="B23" s="31">
        <f>'Cash Flow'!B5/'Income Statement'!B4</f>
        <v/>
      </c>
      <c r="C23" s="31">
        <f>'Cash Flow'!C5/'Income Statement'!C4</f>
        <v/>
      </c>
      <c r="D23" s="31">
        <f>'Cash Flow'!D5/'Income Statement'!D4</f>
        <v/>
      </c>
      <c r="E23" s="31">
        <f>'Cash Flow'!E5/'Income Statement'!E4</f>
        <v/>
      </c>
      <c r="F23" s="31">
        <f>'Cash Flow'!F5/'Income Statement'!F4</f>
        <v/>
      </c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Operating net working capital as % of net sales (negative = suppliers fund it)</t>
        </is>
      </c>
      <c r="B24" s="31">
        <f>'Balance Sheet'!B37/'Income Statement'!B4</f>
        <v/>
      </c>
      <c r="C24" s="31">
        <f>'Balance Sheet'!C37/'Income Statement'!C4</f>
        <v/>
      </c>
      <c r="D24" s="31">
        <f>'Balance Sheet'!D37/'Income Statement'!D4</f>
        <v/>
      </c>
      <c r="E24" s="31">
        <f>'Balance Sheet'!E37/'Income Statement'!E4</f>
        <v/>
      </c>
      <c r="F24" s="31">
        <f>'Balance Sheet'!F37/'Income Statement'!F4</f>
        <v/>
      </c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Dividend payout incl. specials (÷ net income)</t>
        </is>
      </c>
      <c r="B25" s="30">
        <f>-'Cash Flow'!B10/'Income Statement'!B15</f>
        <v/>
      </c>
      <c r="C25" s="30">
        <f>-'Cash Flow'!C10/'Income Statement'!C15</f>
        <v/>
      </c>
      <c r="D25" s="30">
        <f>-'Cash Flow'!D10/'Income Statement'!D15</f>
        <v/>
      </c>
      <c r="E25" s="30">
        <f>-'Cash Flow'!E10/'Income Statement'!E15</f>
        <v/>
      </c>
      <c r="F25" s="30">
        <f>-'Cash Flow'!F10/'Income Statement'!F15</f>
        <v/>
      </c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Net cash ($m)</t>
        </is>
      </c>
      <c r="B26" s="39">
        <f>'Balance Sheet'!B36</f>
        <v/>
      </c>
      <c r="C26" s="39">
        <f>'Balance Sheet'!C36</f>
        <v/>
      </c>
      <c r="D26" s="39">
        <f>'Balance Sheet'!D36</f>
        <v/>
      </c>
      <c r="E26" s="39">
        <f>'Balance Sheet'!E36</f>
        <v/>
      </c>
      <c r="F26" s="39">
        <f>'Balance Sheet'!F36</f>
        <v/>
      </c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Diluted share count drift vs FY2022</t>
        </is>
      </c>
      <c r="B27" s="31">
        <f>'Income Statement'!B16/'Income Statement'!B16-1</f>
        <v/>
      </c>
      <c r="C27" s="31">
        <f>'Income Statement'!C16/'Income Statement'!B16-1</f>
        <v/>
      </c>
      <c r="D27" s="31">
        <f>'Income Statement'!D16/'Income Statement'!B16-1</f>
        <v/>
      </c>
      <c r="E27" s="31">
        <f>'Income Statement'!E16/'Income Statement'!B16-1</f>
        <v/>
      </c>
      <c r="F27" s="31">
        <f>'Income Statement'!F16/'Income Statement'!B16-1</f>
        <v/>
      </c>
      <c r="G27" s="4" t="n"/>
      <c r="H27" s="4" t="n"/>
      <c r="I27" s="4" t="n"/>
      <c r="J27" s="4" t="n"/>
      <c r="K27" s="4" t="n"/>
      <c r="L27" s="4" t="n"/>
    </row>
    <row r="28">
      <c r="A28" s="66" t="inlineStr">
        <is>
          <t>Operating income growth</t>
        </is>
      </c>
      <c r="C28" s="136">
        <f>'Income Statement'!C9/'Income Statement'!B9-1</f>
        <v/>
      </c>
      <c r="D28" s="136">
        <f>'Income Statement'!D9/'Income Statement'!C9-1</f>
        <v/>
      </c>
      <c r="E28" s="136">
        <f>'Income Statement'!E9/'Income Statement'!D9-1</f>
        <v/>
      </c>
      <c r="F28" s="136">
        <f>'Income Statement'!F9/'Income Statement'!E9-1</f>
        <v/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46"/>
  <sheetViews>
    <sheetView showGridLines="0" tabSelected="1" zoomScale="136" workbookViewId="0">
      <selection activeCell="A1" sqref="A1"/>
    </sheetView>
  </sheetViews>
  <sheetFormatPr baseColWidth="10" defaultColWidth="8.83203125" defaultRowHeight="15"/>
  <cols>
    <col width="46" customWidth="1" min="1" max="1"/>
    <col width="13" customWidth="1" min="2" max="29"/>
  </cols>
  <sheetData>
    <row r="1" ht="19" customHeight="1">
      <c r="A1" s="1" t="inlineStr">
        <is>
          <t>Forecast FY2027E–FY2036E — Costco modelled as two businesses: membership fees + a near-cost merchandise operation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Blue = driver. FY2026A column is RECURRING (tariff-refund benefit removed). Every FY2027E+ line is a formula on its drivers.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33" t="inlineStr">
        <is>
          <t>FY2026A</t>
        </is>
      </c>
      <c r="C3" s="33" t="inlineStr">
        <is>
          <t>FY2027E</t>
        </is>
      </c>
      <c r="D3" s="33" t="inlineStr">
        <is>
          <t>FY2028E</t>
        </is>
      </c>
      <c r="E3" s="33" t="inlineStr">
        <is>
          <t>FY2029E</t>
        </is>
      </c>
      <c r="F3" s="33" t="inlineStr">
        <is>
          <t>FY2030E</t>
        </is>
      </c>
      <c r="G3" s="33" t="inlineStr">
        <is>
          <t>FY2031E</t>
        </is>
      </c>
      <c r="H3" s="33" t="inlineStr">
        <is>
          <t>FY2032E</t>
        </is>
      </c>
      <c r="I3" s="33" t="inlineStr">
        <is>
          <t>FY2033E</t>
        </is>
      </c>
      <c r="J3" s="33" t="inlineStr">
        <is>
          <t>FY2034E</t>
        </is>
      </c>
      <c r="K3" s="33" t="inlineStr">
        <is>
          <t>FY2035E</t>
        </is>
      </c>
      <c r="L3" s="33" t="inlineStr">
        <is>
          <t>FY2036E</t>
        </is>
      </c>
    </row>
    <row r="4">
      <c r="A4" s="7" t="inlineStr">
        <is>
          <t>Net sales growth</t>
        </is>
      </c>
      <c r="B4" s="30">
        <f>'Key Ratios'!F5</f>
        <v/>
      </c>
      <c r="C4" s="25" t="n">
        <v>0.08</v>
      </c>
      <c r="D4" s="25" t="n">
        <v>0.075</v>
      </c>
      <c r="E4" s="25" t="n">
        <v>0.07000000000000001</v>
      </c>
      <c r="F4" s="25" t="n">
        <v>0.065</v>
      </c>
      <c r="G4" s="25" t="n">
        <v>0.06</v>
      </c>
      <c r="H4" s="25" t="n">
        <v>0.055</v>
      </c>
      <c r="I4" s="25" t="n">
        <v>0.0525</v>
      </c>
      <c r="J4" s="25" t="n">
        <v>0.05</v>
      </c>
      <c r="K4" s="25" t="n">
        <v>0.0475</v>
      </c>
      <c r="L4" s="25" t="n">
        <v>0.045</v>
      </c>
    </row>
    <row r="5">
      <c r="A5" s="7" t="inlineStr">
        <is>
          <t>Net sales ($m)</t>
        </is>
      </c>
      <c r="B5" s="39">
        <f>'Income Statement'!F4</f>
        <v/>
      </c>
      <c r="C5" s="11">
        <f>B5*(1+C4)</f>
        <v/>
      </c>
      <c r="D5" s="11">
        <f>C5*(1+D4)</f>
        <v/>
      </c>
      <c r="E5" s="11">
        <f>D5*(1+E4)</f>
        <v/>
      </c>
      <c r="F5" s="11">
        <f>E5*(1+F4)</f>
        <v/>
      </c>
      <c r="G5" s="11">
        <f>F5*(1+G4)</f>
        <v/>
      </c>
      <c r="H5" s="11">
        <f>G5*(1+H4)</f>
        <v/>
      </c>
      <c r="I5" s="11">
        <f>H5*(1+I4)</f>
        <v/>
      </c>
      <c r="J5" s="11">
        <f>I5*(1+J4)</f>
        <v/>
      </c>
      <c r="K5" s="11">
        <f>J5*(1+K4)</f>
        <v/>
      </c>
      <c r="L5" s="11">
        <f>K5*(1+L4)</f>
        <v/>
      </c>
    </row>
    <row r="6">
      <c r="A6" s="7" t="inlineStr">
        <is>
          <t>Membership fee growth</t>
        </is>
      </c>
      <c r="B6" s="30">
        <f>'Key Ratios'!F6</f>
        <v/>
      </c>
      <c r="C6" s="25" t="n">
        <v>0.065</v>
      </c>
      <c r="D6" s="25" t="n">
        <v>0.065</v>
      </c>
      <c r="E6" s="25" t="n">
        <v>0.065</v>
      </c>
      <c r="F6" s="25" t="n">
        <v>0.065</v>
      </c>
      <c r="G6" s="25" t="n">
        <v>0.09</v>
      </c>
      <c r="H6" s="25" t="n">
        <v>0.06</v>
      </c>
      <c r="I6" s="25" t="n">
        <v>0.06</v>
      </c>
      <c r="J6" s="25" t="n">
        <v>0.055</v>
      </c>
      <c r="K6" s="25" t="n">
        <v>0.055</v>
      </c>
      <c r="L6" s="25" t="n">
        <v>0.05</v>
      </c>
    </row>
    <row r="7">
      <c r="A7" s="7" t="inlineStr">
        <is>
          <t>Membership fees ($m)</t>
        </is>
      </c>
      <c r="B7" s="39">
        <f>'Income Statement'!F5</f>
        <v/>
      </c>
      <c r="C7" s="11">
        <f>B7*(1+C6)</f>
        <v/>
      </c>
      <c r="D7" s="11">
        <f>C7*(1+D6)</f>
        <v/>
      </c>
      <c r="E7" s="11">
        <f>D7*(1+E6)</f>
        <v/>
      </c>
      <c r="F7" s="11">
        <f>E7*(1+F6)</f>
        <v/>
      </c>
      <c r="G7" s="11">
        <f>F7*(1+G6)</f>
        <v/>
      </c>
      <c r="H7" s="11">
        <f>G7*(1+H6)</f>
        <v/>
      </c>
      <c r="I7" s="11">
        <f>H7*(1+I6)</f>
        <v/>
      </c>
      <c r="J7" s="11">
        <f>I7*(1+J6)</f>
        <v/>
      </c>
      <c r="K7" s="11">
        <f>J7*(1+K6)</f>
        <v/>
      </c>
      <c r="L7" s="11">
        <f>K7*(1+L6)</f>
        <v/>
      </c>
    </row>
    <row r="8">
      <c r="A8" s="8" t="inlineStr">
        <is>
          <t>Total revenue ($m)</t>
        </is>
      </c>
      <c r="B8" s="34">
        <f>B5+B7</f>
        <v/>
      </c>
      <c r="C8" s="34">
        <f>C5+C7</f>
        <v/>
      </c>
      <c r="D8" s="34">
        <f>D5+D7</f>
        <v/>
      </c>
      <c r="E8" s="34">
        <f>E5+E7</f>
        <v/>
      </c>
      <c r="F8" s="34">
        <f>F5+F7</f>
        <v/>
      </c>
      <c r="G8" s="34">
        <f>G5+G7</f>
        <v/>
      </c>
      <c r="H8" s="34">
        <f>H5+H7</f>
        <v/>
      </c>
      <c r="I8" s="34">
        <f>I5+I7</f>
        <v/>
      </c>
      <c r="J8" s="34">
        <f>J5+J7</f>
        <v/>
      </c>
      <c r="K8" s="34">
        <f>K5+K7</f>
        <v/>
      </c>
      <c r="L8" s="34">
        <f>L5+L7</f>
        <v/>
      </c>
    </row>
    <row r="9">
      <c r="A9" s="7" t="inlineStr">
        <is>
          <t>Merchandise margin step (pp per year)</t>
        </is>
      </c>
      <c r="B9" s="4" t="n"/>
      <c r="C9" s="19" t="n">
        <v>0.0005999999999999999</v>
      </c>
      <c r="D9" s="19" t="n">
        <v>0.0005999999999999999</v>
      </c>
      <c r="E9" s="19" t="n">
        <v>0.0005999999999999999</v>
      </c>
      <c r="F9" s="19" t="n">
        <v>0.0005999999999999999</v>
      </c>
      <c r="G9" s="19" t="n">
        <v>0.0005999999999999999</v>
      </c>
      <c r="H9" s="19" t="n">
        <v>0.0003</v>
      </c>
      <c r="I9" s="19" t="n">
        <v>0.0003</v>
      </c>
      <c r="J9" s="19" t="n">
        <v>0.0003</v>
      </c>
      <c r="K9" s="19" t="n">
        <v>0.0003</v>
      </c>
      <c r="L9" s="19" t="n">
        <v>0.0003</v>
      </c>
    </row>
    <row r="10">
      <c r="A10" s="7" t="inlineStr">
        <is>
          <t>Merchandise operating margin on net sales</t>
        </is>
      </c>
      <c r="B10" s="40">
        <f>('Income Statement'!F26-'Income Statement'!F5)/'Income Statement'!F4</f>
        <v/>
      </c>
      <c r="C10" s="41">
        <f>B10+C9</f>
        <v/>
      </c>
      <c r="D10" s="41">
        <f>C10+D9</f>
        <v/>
      </c>
      <c r="E10" s="41">
        <f>D10+E9</f>
        <v/>
      </c>
      <c r="F10" s="41">
        <f>E10+F9</f>
        <v/>
      </c>
      <c r="G10" s="41">
        <f>F10+G9</f>
        <v/>
      </c>
      <c r="H10" s="41">
        <f>G10+H9</f>
        <v/>
      </c>
      <c r="I10" s="41">
        <f>H10+I9</f>
        <v/>
      </c>
      <c r="J10" s="41">
        <f>I10+J9</f>
        <v/>
      </c>
      <c r="K10" s="41">
        <f>J10+K9</f>
        <v/>
      </c>
      <c r="L10" s="41">
        <f>K10+L9</f>
        <v/>
      </c>
    </row>
    <row r="11">
      <c r="A11" s="7" t="inlineStr">
        <is>
          <t>Merchandise operating profit ($m)</t>
        </is>
      </c>
      <c r="B11" s="11">
        <f>B5*B10</f>
        <v/>
      </c>
      <c r="C11" s="11">
        <f>C5*C10</f>
        <v/>
      </c>
      <c r="D11" s="11">
        <f>D5*D10</f>
        <v/>
      </c>
      <c r="E11" s="11">
        <f>E5*E10</f>
        <v/>
      </c>
      <c r="F11" s="11">
        <f>F5*F10</f>
        <v/>
      </c>
      <c r="G11" s="11">
        <f>G5*G10</f>
        <v/>
      </c>
      <c r="H11" s="11">
        <f>H5*H10</f>
        <v/>
      </c>
      <c r="I11" s="11">
        <f>I5*I10</f>
        <v/>
      </c>
      <c r="J11" s="11">
        <f>J5*J10</f>
        <v/>
      </c>
      <c r="K11" s="11">
        <f>K5*K10</f>
        <v/>
      </c>
      <c r="L11" s="11">
        <f>L5*L10</f>
        <v/>
      </c>
    </row>
    <row r="12">
      <c r="A12" s="8" t="inlineStr">
        <is>
          <t>Operating income ($m)</t>
        </is>
      </c>
      <c r="B12" s="34">
        <f>B11+B7</f>
        <v/>
      </c>
      <c r="C12" s="34">
        <f>C11+C7</f>
        <v/>
      </c>
      <c r="D12" s="34">
        <f>D11+D7</f>
        <v/>
      </c>
      <c r="E12" s="34">
        <f>E11+E7</f>
        <v/>
      </c>
      <c r="F12" s="34">
        <f>F11+F7</f>
        <v/>
      </c>
      <c r="G12" s="34">
        <f>G11+G7</f>
        <v/>
      </c>
      <c r="H12" s="34">
        <f>H11+H7</f>
        <v/>
      </c>
      <c r="I12" s="34">
        <f>I11+I7</f>
        <v/>
      </c>
      <c r="J12" s="34">
        <f>J11+J7</f>
        <v/>
      </c>
      <c r="K12" s="34">
        <f>K11+K7</f>
        <v/>
      </c>
      <c r="L12" s="34">
        <f>L11+L7</f>
        <v/>
      </c>
    </row>
    <row r="13">
      <c r="A13" s="7" t="inlineStr">
        <is>
          <t>Operating margin on total revenue</t>
        </is>
      </c>
      <c r="B13" s="16">
        <f>B12/B8</f>
        <v/>
      </c>
      <c r="C13" s="16">
        <f>C12/C8</f>
        <v/>
      </c>
      <c r="D13" s="16">
        <f>D12/D8</f>
        <v/>
      </c>
      <c r="E13" s="16">
        <f>E12/E8</f>
        <v/>
      </c>
      <c r="F13" s="16">
        <f>F12/F8</f>
        <v/>
      </c>
      <c r="G13" s="16">
        <f>G12/G8</f>
        <v/>
      </c>
      <c r="H13" s="16">
        <f>H12/H8</f>
        <v/>
      </c>
      <c r="I13" s="16">
        <f>I12/I8</f>
        <v/>
      </c>
      <c r="J13" s="16">
        <f>J12/J8</f>
        <v/>
      </c>
      <c r="K13" s="16">
        <f>K12/K8</f>
        <v/>
      </c>
      <c r="L13" s="16">
        <f>L12/L8</f>
        <v/>
      </c>
    </row>
    <row r="14">
      <c r="A14" s="7" t="inlineStr">
        <is>
          <t>Membership fees as % of operating income</t>
        </is>
      </c>
      <c r="B14" s="23">
        <f>B7/B12</f>
        <v/>
      </c>
      <c r="C14" s="23">
        <f>C7/C12</f>
        <v/>
      </c>
      <c r="D14" s="23">
        <f>D7/D12</f>
        <v/>
      </c>
      <c r="E14" s="23">
        <f>E7/E12</f>
        <v/>
      </c>
      <c r="F14" s="23">
        <f>F7/F12</f>
        <v/>
      </c>
      <c r="G14" s="23">
        <f>G7/G12</f>
        <v/>
      </c>
      <c r="H14" s="23">
        <f>H7/H12</f>
        <v/>
      </c>
      <c r="I14" s="23">
        <f>I7/I12</f>
        <v/>
      </c>
      <c r="J14" s="23">
        <f>J7/J12</f>
        <v/>
      </c>
      <c r="K14" s="23">
        <f>K7/K12</f>
        <v/>
      </c>
      <c r="L14" s="23">
        <f>L7/L12</f>
        <v/>
      </c>
    </row>
    <row r="15">
      <c r="A15" s="7" t="inlineStr">
        <is>
          <t>Interest income and other growth</t>
        </is>
      </c>
      <c r="B15" s="4" t="n"/>
      <c r="C15" s="25" t="n">
        <v>0.03</v>
      </c>
      <c r="D15" s="25" t="n">
        <v>0.03</v>
      </c>
      <c r="E15" s="25" t="n">
        <v>0.03</v>
      </c>
      <c r="F15" s="25" t="n">
        <v>0.03</v>
      </c>
      <c r="G15" s="25" t="n">
        <v>0.03</v>
      </c>
      <c r="H15" s="25" t="n">
        <v>0.03</v>
      </c>
      <c r="I15" s="25" t="n">
        <v>0.03</v>
      </c>
      <c r="J15" s="25" t="n">
        <v>0.03</v>
      </c>
      <c r="K15" s="25" t="n">
        <v>0.03</v>
      </c>
      <c r="L15" s="25" t="n">
        <v>0.03</v>
      </c>
    </row>
    <row r="16">
      <c r="A16" s="7" t="inlineStr">
        <is>
          <t>Interest income and other, net ($m)</t>
        </is>
      </c>
      <c r="B16" s="39">
        <f>'Income Statement'!F11</f>
        <v/>
      </c>
      <c r="C16" s="11">
        <f>B16*(1+C15)</f>
        <v/>
      </c>
      <c r="D16" s="11">
        <f>C16*(1+D15)</f>
        <v/>
      </c>
      <c r="E16" s="11">
        <f>D16*(1+E15)</f>
        <v/>
      </c>
      <c r="F16" s="11">
        <f>E16*(1+F15)</f>
        <v/>
      </c>
      <c r="G16" s="11">
        <f>F16*(1+G15)</f>
        <v/>
      </c>
      <c r="H16" s="11">
        <f>G16*(1+H15)</f>
        <v/>
      </c>
      <c r="I16" s="11">
        <f>H16*(1+I15)</f>
        <v/>
      </c>
      <c r="J16" s="11">
        <f>I16*(1+J15)</f>
        <v/>
      </c>
      <c r="K16" s="11">
        <f>J16*(1+K15)</f>
        <v/>
      </c>
      <c r="L16" s="11">
        <f>K16*(1+L15)</f>
        <v/>
      </c>
    </row>
    <row r="17">
      <c r="A17" s="7" t="inlineStr">
        <is>
          <t>Interest expense ($m)</t>
        </is>
      </c>
      <c r="B17" s="39">
        <f>'Income Statement'!F10</f>
        <v/>
      </c>
      <c r="C17" s="11">
        <f>B17</f>
        <v/>
      </c>
      <c r="D17" s="11">
        <f>C17</f>
        <v/>
      </c>
      <c r="E17" s="11">
        <f>D17</f>
        <v/>
      </c>
      <c r="F17" s="11">
        <f>E17</f>
        <v/>
      </c>
      <c r="G17" s="11">
        <f>F17</f>
        <v/>
      </c>
      <c r="H17" s="11">
        <f>G17</f>
        <v/>
      </c>
      <c r="I17" s="11">
        <f>H17</f>
        <v/>
      </c>
      <c r="J17" s="11">
        <f>I17</f>
        <v/>
      </c>
      <c r="K17" s="11">
        <f>J17</f>
        <v/>
      </c>
      <c r="L17" s="11">
        <f>K17</f>
        <v/>
      </c>
    </row>
    <row r="18">
      <c r="A18" s="7" t="inlineStr">
        <is>
          <t>Income before taxes ($m)</t>
        </is>
      </c>
      <c r="B18" s="11">
        <f>B12+B16+B17</f>
        <v/>
      </c>
      <c r="C18" s="11">
        <f>C12+C16+C17</f>
        <v/>
      </c>
      <c r="D18" s="11">
        <f>D12+D16+D17</f>
        <v/>
      </c>
      <c r="E18" s="11">
        <f>E12+E16+E17</f>
        <v/>
      </c>
      <c r="F18" s="11">
        <f>F12+F16+F17</f>
        <v/>
      </c>
      <c r="G18" s="11">
        <f>G12+G16+G17</f>
        <v/>
      </c>
      <c r="H18" s="11">
        <f>H12+H16+H17</f>
        <v/>
      </c>
      <c r="I18" s="11">
        <f>I12+I16+I17</f>
        <v/>
      </c>
      <c r="J18" s="11">
        <f>J12+J16+J17</f>
        <v/>
      </c>
      <c r="K18" s="11">
        <f>K12+K16+K17</f>
        <v/>
      </c>
      <c r="L18" s="11">
        <f>L12+L16+L17</f>
        <v/>
      </c>
    </row>
    <row r="19">
      <c r="A19" s="7" t="inlineStr">
        <is>
          <t>Tax rate</t>
        </is>
      </c>
      <c r="B19" s="30">
        <f>'Key Ratios'!F16</f>
        <v/>
      </c>
      <c r="C19" s="25" t="n">
        <v>0.247</v>
      </c>
      <c r="D19" s="25" t="n">
        <v>0.247</v>
      </c>
      <c r="E19" s="25" t="n">
        <v>0.247</v>
      </c>
      <c r="F19" s="25" t="n">
        <v>0.247</v>
      </c>
      <c r="G19" s="25" t="n">
        <v>0.247</v>
      </c>
      <c r="H19" s="25" t="n">
        <v>0.247</v>
      </c>
      <c r="I19" s="25" t="n">
        <v>0.247</v>
      </c>
      <c r="J19" s="25" t="n">
        <v>0.247</v>
      </c>
      <c r="K19" s="25" t="n">
        <v>0.247</v>
      </c>
      <c r="L19" s="25" t="n">
        <v>0.247</v>
      </c>
    </row>
    <row r="20">
      <c r="A20" s="8" t="inlineStr">
        <is>
          <t>Net income ($m)</t>
        </is>
      </c>
      <c r="B20" s="34">
        <f>B18*(1-B19)</f>
        <v/>
      </c>
      <c r="C20" s="34">
        <f>C18*(1-C19)</f>
        <v/>
      </c>
      <c r="D20" s="34">
        <f>D18*(1-D19)</f>
        <v/>
      </c>
      <c r="E20" s="34">
        <f>E18*(1-E19)</f>
        <v/>
      </c>
      <c r="F20" s="34">
        <f>F18*(1-F19)</f>
        <v/>
      </c>
      <c r="G20" s="34">
        <f>G18*(1-G19)</f>
        <v/>
      </c>
      <c r="H20" s="34">
        <f>H18*(1-H19)</f>
        <v/>
      </c>
      <c r="I20" s="34">
        <f>I18*(1-I19)</f>
        <v/>
      </c>
      <c r="J20" s="34">
        <f>J18*(1-J19)</f>
        <v/>
      </c>
      <c r="K20" s="34">
        <f>K18*(1-K19)</f>
        <v/>
      </c>
      <c r="L20" s="34">
        <f>L18*(1-L19)</f>
        <v/>
      </c>
    </row>
    <row r="21">
      <c r="A21" s="7" t="inlineStr">
        <is>
          <t>Diluted shares (m)</t>
        </is>
      </c>
      <c r="B21" s="42">
        <f>'Income Statement'!F16/1000</f>
        <v/>
      </c>
      <c r="C21" s="43">
        <f>B21</f>
        <v/>
      </c>
      <c r="D21" s="43">
        <f>C21</f>
        <v/>
      </c>
      <c r="E21" s="43">
        <f>D21</f>
        <v/>
      </c>
      <c r="F21" s="43">
        <f>E21</f>
        <v/>
      </c>
      <c r="G21" s="43">
        <f>F21</f>
        <v/>
      </c>
      <c r="H21" s="43">
        <f>G21</f>
        <v/>
      </c>
      <c r="I21" s="43">
        <f>H21</f>
        <v/>
      </c>
      <c r="J21" s="43">
        <f>I21</f>
        <v/>
      </c>
      <c r="K21" s="43">
        <f>J21</f>
        <v/>
      </c>
      <c r="L21" s="43">
        <f>K21</f>
        <v/>
      </c>
    </row>
    <row r="22">
      <c r="A22" s="8" t="inlineStr">
        <is>
          <t>Diluted EPS ($)</t>
        </is>
      </c>
      <c r="B22" s="36">
        <f>B20/B21</f>
        <v/>
      </c>
      <c r="C22" s="36">
        <f>C20/C21</f>
        <v/>
      </c>
      <c r="D22" s="36">
        <f>D20/D21</f>
        <v/>
      </c>
      <c r="E22" s="36">
        <f>E20/E21</f>
        <v/>
      </c>
      <c r="F22" s="36">
        <f>F20/F21</f>
        <v/>
      </c>
      <c r="G22" s="36">
        <f>G20/G21</f>
        <v/>
      </c>
      <c r="H22" s="36">
        <f>H20/H21</f>
        <v/>
      </c>
      <c r="I22" s="36">
        <f>I20/I21</f>
        <v/>
      </c>
      <c r="J22" s="36">
        <f>J20/J21</f>
        <v/>
      </c>
      <c r="K22" s="36">
        <f>K20/K21</f>
        <v/>
      </c>
      <c r="L22" s="36">
        <f>L20/L21</f>
        <v/>
      </c>
    </row>
    <row r="23">
      <c r="A23" s="7" t="inlineStr">
        <is>
          <t>EPS growth (FY2027E vs recurring FY2026)</t>
        </is>
      </c>
      <c r="B23" s="4" t="n"/>
      <c r="C23" s="30">
        <f>C22/'Income Statement'!F27-1</f>
        <v/>
      </c>
      <c r="D23" s="23">
        <f>D22/C22-1</f>
        <v/>
      </c>
      <c r="E23" s="23">
        <f>E22/D22-1</f>
        <v/>
      </c>
      <c r="F23" s="23">
        <f>F22/E22-1</f>
        <v/>
      </c>
      <c r="G23" s="23">
        <f>G22/F22-1</f>
        <v/>
      </c>
      <c r="H23" s="23">
        <f>H22/G22-1</f>
        <v/>
      </c>
      <c r="I23" s="23">
        <f>I22/H22-1</f>
        <v/>
      </c>
      <c r="J23" s="23">
        <f>J22/I22-1</f>
        <v/>
      </c>
      <c r="K23" s="23">
        <f>K22/J22-1</f>
        <v/>
      </c>
      <c r="L23" s="23">
        <f>L22/K22-1</f>
        <v/>
      </c>
    </row>
    <row r="24">
      <c r="A24" s="7" t="inlineStr">
        <is>
          <t>D&amp;A as % of net sales</t>
        </is>
      </c>
      <c r="B24" s="31">
        <f>'Key Ratios'!F23</f>
        <v/>
      </c>
      <c r="C24" s="19" t="n">
        <v>0.008999999999999999</v>
      </c>
      <c r="D24" s="19" t="n">
        <v>0.008999999999999999</v>
      </c>
      <c r="E24" s="19" t="n">
        <v>0.008999999999999999</v>
      </c>
      <c r="F24" s="19" t="n">
        <v>0.008999999999999999</v>
      </c>
      <c r="G24" s="19" t="n">
        <v>0.008999999999999999</v>
      </c>
      <c r="H24" s="19" t="n">
        <v>0.008999999999999999</v>
      </c>
      <c r="I24" s="19" t="n">
        <v>0.008999999999999999</v>
      </c>
      <c r="J24" s="19" t="n">
        <v>0.008999999999999999</v>
      </c>
      <c r="K24" s="19" t="n">
        <v>0.008999999999999999</v>
      </c>
      <c r="L24" s="19" t="n">
        <v>0.008999999999999999</v>
      </c>
    </row>
    <row r="25">
      <c r="A25" s="7" t="inlineStr">
        <is>
          <t>D&amp;A ($m)</t>
        </is>
      </c>
      <c r="B25" s="39">
        <f>'Cash Flow'!F5</f>
        <v/>
      </c>
      <c r="C25" s="11">
        <f>C5*C24</f>
        <v/>
      </c>
      <c r="D25" s="11">
        <f>D5*D24</f>
        <v/>
      </c>
      <c r="E25" s="11">
        <f>E5*E24</f>
        <v/>
      </c>
      <c r="F25" s="11">
        <f>F5*F24</f>
        <v/>
      </c>
      <c r="G25" s="11">
        <f>G5*G24</f>
        <v/>
      </c>
      <c r="H25" s="11">
        <f>H5*H24</f>
        <v/>
      </c>
      <c r="I25" s="11">
        <f>I5*I24</f>
        <v/>
      </c>
      <c r="J25" s="11">
        <f>J5*J24</f>
        <v/>
      </c>
      <c r="K25" s="11">
        <f>K5*K24</f>
        <v/>
      </c>
      <c r="L25" s="11">
        <f>L5*L24</f>
        <v/>
      </c>
    </row>
    <row r="26">
      <c r="A26" s="7" t="inlineStr">
        <is>
          <t>EBITDA ($m)</t>
        </is>
      </c>
      <c r="B26" s="11">
        <f>B12+B25</f>
        <v/>
      </c>
      <c r="C26" s="11">
        <f>C12+C25</f>
        <v/>
      </c>
      <c r="D26" s="11">
        <f>D12+D25</f>
        <v/>
      </c>
      <c r="E26" s="11">
        <f>E12+E25</f>
        <v/>
      </c>
      <c r="F26" s="11">
        <f>F12+F25</f>
        <v/>
      </c>
      <c r="G26" s="11">
        <f>G12+G25</f>
        <v/>
      </c>
      <c r="H26" s="11">
        <f>H12+H25</f>
        <v/>
      </c>
      <c r="I26" s="11">
        <f>I12+I25</f>
        <v/>
      </c>
      <c r="J26" s="11">
        <f>J12+J25</f>
        <v/>
      </c>
      <c r="K26" s="11">
        <f>K12+K25</f>
        <v/>
      </c>
      <c r="L26" s="11">
        <f>L12+L25</f>
        <v/>
      </c>
    </row>
    <row r="27">
      <c r="A27" s="7" t="inlineStr">
        <is>
          <t>Capex as % of net sales</t>
        </is>
      </c>
      <c r="B27" s="31">
        <f>'Key Ratios'!F22</f>
        <v/>
      </c>
      <c r="C27" s="31">
        <f>Overview!B23/C5</f>
        <v/>
      </c>
      <c r="D27" s="19" t="n">
        <v>0.0225</v>
      </c>
      <c r="E27" s="19" t="n">
        <v>0.022</v>
      </c>
      <c r="F27" s="19" t="n">
        <v>0.0215</v>
      </c>
      <c r="G27" s="19" t="n">
        <v>0.021</v>
      </c>
      <c r="H27" s="19" t="n">
        <v>0.0205</v>
      </c>
      <c r="I27" s="19" t="n">
        <v>0.02</v>
      </c>
      <c r="J27" s="19" t="n">
        <v>0.0195</v>
      </c>
      <c r="K27" s="19" t="n">
        <v>0.019</v>
      </c>
      <c r="L27" s="19" t="n">
        <v>0.019</v>
      </c>
    </row>
    <row r="28">
      <c r="A28" s="7" t="inlineStr">
        <is>
          <t>Capex ($m)</t>
        </is>
      </c>
      <c r="B28" s="39">
        <f>-'Cash Flow'!F9</f>
        <v/>
      </c>
      <c r="C28" s="11">
        <f>C5*C27</f>
        <v/>
      </c>
      <c r="D28" s="11">
        <f>D5*D27</f>
        <v/>
      </c>
      <c r="E28" s="11">
        <f>E5*E27</f>
        <v/>
      </c>
      <c r="F28" s="11">
        <f>F5*F27</f>
        <v/>
      </c>
      <c r="G28" s="11">
        <f>G5*G27</f>
        <v/>
      </c>
      <c r="H28" s="11">
        <f>H5*H27</f>
        <v/>
      </c>
      <c r="I28" s="11">
        <f>I5*I27</f>
        <v/>
      </c>
      <c r="J28" s="11">
        <f>J5*J27</f>
        <v/>
      </c>
      <c r="K28" s="11">
        <f>K5*K27</f>
        <v/>
      </c>
      <c r="L28" s="11">
        <f>L5*L27</f>
        <v/>
      </c>
    </row>
    <row r="29">
      <c r="A29" s="7" t="inlineStr">
        <is>
          <t>Operating NWC as % of net sales (held at FY2026)</t>
        </is>
      </c>
      <c r="B29" s="31">
        <f>'Key Ratios'!F24</f>
        <v/>
      </c>
      <c r="C29" s="16">
        <f>$B$29</f>
        <v/>
      </c>
      <c r="D29" s="16">
        <f>$B$29</f>
        <v/>
      </c>
      <c r="E29" s="16">
        <f>$B$29</f>
        <v/>
      </c>
      <c r="F29" s="16">
        <f>$B$29</f>
        <v/>
      </c>
      <c r="G29" s="16">
        <f>$B$29</f>
        <v/>
      </c>
      <c r="H29" s="16">
        <f>$B$29</f>
        <v/>
      </c>
      <c r="I29" s="16">
        <f>$B$29</f>
        <v/>
      </c>
      <c r="J29" s="16">
        <f>$B$29</f>
        <v/>
      </c>
      <c r="K29" s="16">
        <f>$B$29</f>
        <v/>
      </c>
      <c r="L29" s="16">
        <f>$B$29</f>
        <v/>
      </c>
    </row>
    <row r="30">
      <c r="A30" s="7" t="inlineStr">
        <is>
          <t>Operating NWC ($m)</t>
        </is>
      </c>
      <c r="B30" s="11">
        <f>B5*B29</f>
        <v/>
      </c>
      <c r="C30" s="11">
        <f>C5*C29</f>
        <v/>
      </c>
      <c r="D30" s="11">
        <f>D5*D29</f>
        <v/>
      </c>
      <c r="E30" s="11">
        <f>E5*E29</f>
        <v/>
      </c>
      <c r="F30" s="11">
        <f>F5*F29</f>
        <v/>
      </c>
      <c r="G30" s="11">
        <f>G5*G29</f>
        <v/>
      </c>
      <c r="H30" s="11">
        <f>H5*H29</f>
        <v/>
      </c>
      <c r="I30" s="11">
        <f>I5*I29</f>
        <v/>
      </c>
      <c r="J30" s="11">
        <f>J5*J29</f>
        <v/>
      </c>
      <c r="K30" s="11">
        <f>K5*K29</f>
        <v/>
      </c>
      <c r="L30" s="11">
        <f>L5*L29</f>
        <v/>
      </c>
    </row>
    <row r="31">
      <c r="A31" s="7" t="inlineStr">
        <is>
          <t>Cash released by working capital ($m)</t>
        </is>
      </c>
      <c r="B31" s="4" t="n"/>
      <c r="C31" s="11">
        <f>-(C30-B30)</f>
        <v/>
      </c>
      <c r="D31" s="11">
        <f>-(D30-C30)</f>
        <v/>
      </c>
      <c r="E31" s="11">
        <f>-(E30-D30)</f>
        <v/>
      </c>
      <c r="F31" s="11">
        <f>-(F30-E30)</f>
        <v/>
      </c>
      <c r="G31" s="11">
        <f>-(G30-F30)</f>
        <v/>
      </c>
      <c r="H31" s="11">
        <f>-(H30-G30)</f>
        <v/>
      </c>
      <c r="I31" s="11">
        <f>-(I30-H30)</f>
        <v/>
      </c>
      <c r="J31" s="11">
        <f>-(J30-I30)</f>
        <v/>
      </c>
      <c r="K31" s="11">
        <f>-(K30-J30)</f>
        <v/>
      </c>
      <c r="L31" s="11">
        <f>-(L30-K30)</f>
        <v/>
      </c>
    </row>
    <row r="32">
      <c r="A32" s="7" t="inlineStr">
        <is>
          <t>NOPAT = operating income × (1 − tax) ($m)</t>
        </is>
      </c>
      <c r="B32" s="11">
        <f>B12*(1-B19)</f>
        <v/>
      </c>
      <c r="C32" s="11">
        <f>C12*(1-C19)</f>
        <v/>
      </c>
      <c r="D32" s="11">
        <f>D12*(1-D19)</f>
        <v/>
      </c>
      <c r="E32" s="11">
        <f>E12*(1-E19)</f>
        <v/>
      </c>
      <c r="F32" s="11">
        <f>F12*(1-F19)</f>
        <v/>
      </c>
      <c r="G32" s="11">
        <f>G12*(1-G19)</f>
        <v/>
      </c>
      <c r="H32" s="11">
        <f>H12*(1-H19)</f>
        <v/>
      </c>
      <c r="I32" s="11">
        <f>I12*(1-I19)</f>
        <v/>
      </c>
      <c r="J32" s="11">
        <f>J12*(1-J19)</f>
        <v/>
      </c>
      <c r="K32" s="11">
        <f>K12*(1-K19)</f>
        <v/>
      </c>
      <c r="L32" s="11">
        <f>L12*(1-L19)</f>
        <v/>
      </c>
    </row>
    <row r="33">
      <c r="A33" s="8" t="inlineStr">
        <is>
          <t>FREE CASH FLOW TO FIRM ($m)</t>
        </is>
      </c>
      <c r="B33" s="4" t="n"/>
      <c r="C33" s="34">
        <f>C32+C25-C28+C31</f>
        <v/>
      </c>
      <c r="D33" s="34">
        <f>D32+D25-D28+D31</f>
        <v/>
      </c>
      <c r="E33" s="34">
        <f>E32+E25-E28+E31</f>
        <v/>
      </c>
      <c r="F33" s="34">
        <f>F32+F25-F28+F31</f>
        <v/>
      </c>
      <c r="G33" s="34">
        <f>G32+G25-G28+G31</f>
        <v/>
      </c>
      <c r="H33" s="34">
        <f>H32+H25-H28+H31</f>
        <v/>
      </c>
      <c r="I33" s="34">
        <f>I32+I25-I28+I31</f>
        <v/>
      </c>
      <c r="J33" s="34">
        <f>J32+J25-J28+J31</f>
        <v/>
      </c>
      <c r="K33" s="34">
        <f>K32+K25-K28+K31</f>
        <v/>
      </c>
      <c r="L33" s="34">
        <f>L32+L25-L28+L31</f>
        <v/>
      </c>
    </row>
    <row r="34">
      <c r="A34" s="7" t="inlineStr">
        <is>
          <t>FCFF ÷ NOPAT</t>
        </is>
      </c>
      <c r="B34" s="4" t="n"/>
      <c r="C34" s="23">
        <f>C33/C32</f>
        <v/>
      </c>
      <c r="D34" s="23">
        <f>D33/D32</f>
        <v/>
      </c>
      <c r="E34" s="23">
        <f>E33/E32</f>
        <v/>
      </c>
      <c r="F34" s="23">
        <f>F33/F32</f>
        <v/>
      </c>
      <c r="G34" s="23">
        <f>G33/G32</f>
        <v/>
      </c>
      <c r="H34" s="23">
        <f>H33/H32</f>
        <v/>
      </c>
      <c r="I34" s="23">
        <f>I33/I32</f>
        <v/>
      </c>
      <c r="J34" s="23">
        <f>J33/J32</f>
        <v/>
      </c>
      <c r="K34" s="23">
        <f>K33/K32</f>
        <v/>
      </c>
      <c r="L34" s="23">
        <f>L33/L32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5" t="inlineStr">
        <is>
          <t>HOW THE DRIVERS WERE SET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3" t="inlineStr">
        <is>
          <t>Net sales +8.0% in FY2027: FY2026 comps ex gas and FX were 6.6%, and 28 net new warehouses in FY2027 (3.0% of the base, less productive at first) add ~1.5pp; we do NOT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3" t="inlineStr">
        <is>
          <t>extrapolate the ~3pp gas-price lift to Q4. Fades 0.5pp a year to 5.5% in FY2032, then 0.25pp a year to 4.5% by FY2036.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3" t="inlineStr">
        <is>
          <t>Membership fees +6.5%: Q4 fee growth ex the fee increase and FX was 6.8%, and Q4 FY2026 was the last quarter carrying the Sep-2024 increase. FY2031 carries +9.0% for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3" t="inlineStr">
        <is>
          <t>the next fee increase — the last five came every 5–7 years (2000, 2006, 2011, 2017, 2024). Best estimate, not a haircut.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3" t="inlineStr">
        <is>
          <t>Merchandise margin +6bp a year to FY2031 (it rose from 1.49% in FY2023 to 1.91% recurring in FY2026), then +3bp. Operating margin on revenue reaches the level in row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3" t="inlineStr">
        <is>
          <t>13 — above anything Costco has reported.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3" t="inlineStr">
        <is>
          <t>Share count held flat: diluted shares were 444.8m in FY2022 and 444.4m in FY2026 — buybacks offset dilution and do not shrink the count.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3" t="inlineStr">
        <is>
          <t>Capex: $7.5bn guided for FY2027 (2.3% of sales); management expects capex growth to slow after FY2027, so the ratio eases to 1.9%. Working capital stays at FY2026's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3" t="inlineStr">
        <is>
          <t>negative level, so growth RELEASES cash.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3">
        <f>"Our FY2027E EPS sits below consensus ($22.82, S&amp;P Global, 15-Oct-2026) while revenue is within "&amp;TEXT(ABS('Peers &amp; Street'!B59),"0.0%")&amp;": the gap is fee growth and margin, not gas — see Peers &amp; Street."</f>
        <v/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56"/>
  <sheetViews>
    <sheetView showGridLines="0" zoomScale="141" workbookViewId="0">
      <selection activeCell="A1" sqref="A1"/>
    </sheetView>
  </sheetViews>
  <sheetFormatPr baseColWidth="10" defaultColWidth="8.83203125" defaultRowHeight="15"/>
  <cols>
    <col width="62" customWidth="1" min="1" max="1"/>
    <col width="13" customWidth="1" min="2" max="29"/>
  </cols>
  <sheetData>
    <row r="1" ht="19" customHeight="1">
      <c r="A1" s="1" t="inlineStr">
        <is>
          <t>Method 1 — FCFF DCF at WACC (unlevered cash flow ↔ WACC)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Valuation date 16-Oct-2026. Mid-year convention: FY2027 cash flow centred on 1-Mar-2027, 0.373 years out.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DISCOUNT RATE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Risk-free — US 10-yr Treasury, 16-Oct-2026</t>
        </is>
      </c>
      <c r="B4" s="31">
        <f>Overview!B17</f>
        <v/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7" t="inlineStr">
        <is>
          <t>Beta</t>
        </is>
      </c>
      <c r="B5" s="44">
        <f>Overview!B16</f>
        <v/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7" t="inlineStr">
        <is>
          <t>Equity risk premium</t>
        </is>
      </c>
      <c r="B6" s="31">
        <f>Overview!B18</f>
        <v/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8" t="inlineStr">
        <is>
          <t>COST OF EQUITY</t>
        </is>
      </c>
      <c r="B7" s="22">
        <f>B4+B5*B6</f>
        <v/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7" t="inlineStr">
        <is>
          <t>Credit spread over Treasuries</t>
        </is>
      </c>
      <c r="B8" s="19" t="n">
        <v>0.005</v>
      </c>
      <c r="C8" s="4" t="n"/>
      <c r="D8" s="3" t="inlineStr">
        <is>
          <t>Costco is rated Aa3/A+; ~50bp is a long-dated single-A/AA spread</t>
        </is>
      </c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Pre-tax cost of debt</t>
        </is>
      </c>
      <c r="B9" s="16">
        <f>B4+B8</f>
        <v/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7" t="inlineStr">
        <is>
          <t>Tax rate</t>
        </is>
      </c>
      <c r="B10" s="30">
        <f>Forecast!C19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Market capitalisation ($m)</t>
        </is>
      </c>
      <c r="B11" s="39">
        <f>Overview!B8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Debt ($m)</t>
        </is>
      </c>
      <c r="B12" s="39">
        <f>'Balance Sheet'!F34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Equity weight</t>
        </is>
      </c>
      <c r="B13" s="23">
        <f>B11/(B11+B12)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8" t="inlineStr">
        <is>
          <t>WACC</t>
        </is>
      </c>
      <c r="B14" s="22">
        <f>B13*B7+(1-B13)*B9*(1-B10)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5" t="inlineStr">
        <is>
          <t>CASH FLOWS ($m)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4" t="n"/>
      <c r="B17" s="4" t="n"/>
      <c r="C17" s="33" t="inlineStr">
        <is>
          <t>FY2027E</t>
        </is>
      </c>
      <c r="D17" s="33" t="inlineStr">
        <is>
          <t>FY2028E</t>
        </is>
      </c>
      <c r="E17" s="33" t="inlineStr">
        <is>
          <t>FY2029E</t>
        </is>
      </c>
      <c r="F17" s="33" t="inlineStr">
        <is>
          <t>FY2030E</t>
        </is>
      </c>
      <c r="G17" s="33" t="inlineStr">
        <is>
          <t>FY2031E</t>
        </is>
      </c>
      <c r="H17" s="33" t="inlineStr">
        <is>
          <t>FY2032E</t>
        </is>
      </c>
      <c r="I17" s="33" t="inlineStr">
        <is>
          <t>FY2033E</t>
        </is>
      </c>
      <c r="J17" s="33" t="inlineStr">
        <is>
          <t>FY2034E</t>
        </is>
      </c>
      <c r="K17" s="33" t="inlineStr">
        <is>
          <t>FY2035E</t>
        </is>
      </c>
      <c r="L17" s="33" t="inlineStr">
        <is>
          <t>FY2036E</t>
        </is>
      </c>
    </row>
    <row r="18">
      <c r="A18" s="7" t="inlineStr">
        <is>
          <t>Free cash flow to firm</t>
        </is>
      </c>
      <c r="B18" s="4" t="n"/>
      <c r="C18" s="39">
        <f>Forecast!C33</f>
        <v/>
      </c>
      <c r="D18" s="39">
        <f>Forecast!D33</f>
        <v/>
      </c>
      <c r="E18" s="39">
        <f>Forecast!E33</f>
        <v/>
      </c>
      <c r="F18" s="39">
        <f>Forecast!F33</f>
        <v/>
      </c>
      <c r="G18" s="39">
        <f>Forecast!G33</f>
        <v/>
      </c>
      <c r="H18" s="39">
        <f>Forecast!H33</f>
        <v/>
      </c>
      <c r="I18" s="39">
        <f>Forecast!I33</f>
        <v/>
      </c>
      <c r="J18" s="39">
        <f>Forecast!J33</f>
        <v/>
      </c>
      <c r="K18" s="39">
        <f>Forecast!K33</f>
        <v/>
      </c>
      <c r="L18" s="39">
        <f>Forecast!L33</f>
        <v/>
      </c>
    </row>
    <row r="19">
      <c r="A19" s="7" t="inlineStr">
        <is>
          <t>Years from valuation date (mid-year)</t>
        </is>
      </c>
      <c r="B19" s="4" t="n"/>
      <c r="C19" s="45" t="n">
        <v>0.373</v>
      </c>
      <c r="D19" s="46">
        <f>C19+1</f>
        <v/>
      </c>
      <c r="E19" s="46">
        <f>D19+1</f>
        <v/>
      </c>
      <c r="F19" s="46">
        <f>E19+1</f>
        <v/>
      </c>
      <c r="G19" s="46">
        <f>F19+1</f>
        <v/>
      </c>
      <c r="H19" s="46">
        <f>G19+1</f>
        <v/>
      </c>
      <c r="I19" s="46">
        <f>H19+1</f>
        <v/>
      </c>
      <c r="J19" s="46">
        <f>I19+1</f>
        <v/>
      </c>
      <c r="K19" s="46">
        <f>J19+1</f>
        <v/>
      </c>
      <c r="L19" s="46">
        <f>K19+1</f>
        <v/>
      </c>
    </row>
    <row r="20">
      <c r="A20" s="7" t="inlineStr">
        <is>
          <t>Discount factor</t>
        </is>
      </c>
      <c r="B20" s="4" t="n"/>
      <c r="C20" s="47">
        <f>1/(1+$B$14)^C19</f>
        <v/>
      </c>
      <c r="D20" s="47">
        <f>1/(1+$B$14)^D19</f>
        <v/>
      </c>
      <c r="E20" s="47">
        <f>1/(1+$B$14)^E19</f>
        <v/>
      </c>
      <c r="F20" s="47">
        <f>1/(1+$B$14)^F19</f>
        <v/>
      </c>
      <c r="G20" s="47">
        <f>1/(1+$B$14)^G19</f>
        <v/>
      </c>
      <c r="H20" s="47">
        <f>1/(1+$B$14)^H19</f>
        <v/>
      </c>
      <c r="I20" s="47">
        <f>1/(1+$B$14)^I19</f>
        <v/>
      </c>
      <c r="J20" s="47">
        <f>1/(1+$B$14)^J19</f>
        <v/>
      </c>
      <c r="K20" s="47">
        <f>1/(1+$B$14)^K19</f>
        <v/>
      </c>
      <c r="L20" s="47">
        <f>1/(1+$B$14)^L19</f>
        <v/>
      </c>
    </row>
    <row r="21">
      <c r="A21" s="7" t="inlineStr">
        <is>
          <t>Present value</t>
        </is>
      </c>
      <c r="B21" s="4" t="n"/>
      <c r="C21" s="11">
        <f>C18*C20</f>
        <v/>
      </c>
      <c r="D21" s="11">
        <f>D18*D20</f>
        <v/>
      </c>
      <c r="E21" s="11">
        <f>E18*E20</f>
        <v/>
      </c>
      <c r="F21" s="11">
        <f>F18*F20</f>
        <v/>
      </c>
      <c r="G21" s="11">
        <f>G18*G20</f>
        <v/>
      </c>
      <c r="H21" s="11">
        <f>H18*H20</f>
        <v/>
      </c>
      <c r="I21" s="11">
        <f>I18*I20</f>
        <v/>
      </c>
      <c r="J21" s="11">
        <f>J18*J20</f>
        <v/>
      </c>
      <c r="K21" s="11">
        <f>K18*K20</f>
        <v/>
      </c>
      <c r="L21" s="11">
        <f>L18*L20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5" t="inlineStr">
        <is>
          <t>TERMINAL VALUE — growth and reinvestment tied (g = RONIC × reinvestment rate)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7" t="inlineStr">
        <is>
          <t>Sum of PV, FY2027E–FY2036E</t>
        </is>
      </c>
      <c r="B24" s="11">
        <f>SUM(C21:L21)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Terminal growth</t>
        </is>
      </c>
      <c r="B25" s="19" t="n">
        <v>0.04</v>
      </c>
      <c r="C25" s="4" t="n"/>
      <c r="D25" s="3" t="inlineStr">
        <is>
          <t>below the 5.09% risk-free; ~US long-run nominal growth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Return on new invested capital in perpetuity</t>
        </is>
      </c>
      <c r="B26" s="25" t="n">
        <v>0.3</v>
      </c>
      <c r="C26" s="4" t="n"/>
      <c r="D26" s="3" t="inlineStr">
        <is>
          <t>ROIC was ~43% in FY2026 (Key Ratios); faded, as new-market warehouses mature slowly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Reinvestment rate = g ÷ RONIC</t>
        </is>
      </c>
      <c r="B27" s="23">
        <f>B25/B26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FY2037 NOPAT ($m)</t>
        </is>
      </c>
      <c r="B28" s="39">
        <f>Forecast!L32*(1+B25)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7" t="inlineStr">
        <is>
          <t>Terminal FCFF ($m)</t>
        </is>
      </c>
      <c r="B29" s="11">
        <f>B28*(1-B27)</f>
        <v/>
      </c>
      <c r="C29" s="4" t="n"/>
      <c r="D29" s="3" t="inlineStr">
        <is>
          <t>FCFF/NOPAT steps from FY2036's level (Forecast row 34) to 1 − g/RONIC here; row 49 holds it flat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7" t="inlineStr">
        <is>
          <t>Terminal value at mid-FY2036 ($m)</t>
        </is>
      </c>
      <c r="B30" s="11">
        <f>B29/(B14-B25)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Discount period for terminal value (mid-year)</t>
        </is>
      </c>
      <c r="B31" s="46">
        <f>L19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PV of terminal value ($m)</t>
        </is>
      </c>
      <c r="B32" s="11">
        <f>B30/(1+B14)^B31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8" t="inlineStr">
        <is>
          <t>ENTERPRISE VALUE ($m)</t>
        </is>
      </c>
      <c r="B33" s="34">
        <f>B24+B32</f>
        <v/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Terminal share of enterprise value</t>
        </is>
      </c>
      <c r="B34" s="23">
        <f>B32/B33</f>
        <v/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Implied terminal value ÷ FY2036E NOPAT (x)</t>
        </is>
      </c>
      <c r="B35" s="20">
        <f>B30/Forecast!L32</f>
        <v/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Plus cash and short-term investments ($m)</t>
        </is>
      </c>
      <c r="B36" s="39">
        <f>'Balance Sheet'!F35</f>
        <v/>
      </c>
      <c r="C36" s="4" t="n"/>
      <c r="D36" s="3" t="inlineStr">
        <is>
          <t>Interest income ran ~3.3% on this cash, below the 10-yr — worth about carrying value, no premium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7" t="inlineStr">
        <is>
          <t>Less debt ($m)</t>
        </is>
      </c>
      <c r="B37" s="11">
        <f>-B12</f>
        <v/>
      </c>
      <c r="C37" s="4" t="n"/>
      <c r="D37" s="3" t="inlineStr">
        <is>
          <t>Finance-lease liabilities sit inside other liabilities and are not split out in the release; not deducted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Equity value ($m)</t>
        </is>
      </c>
      <c r="B38" s="11">
        <f>B33+B36+B37</f>
        <v/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Diluted shares (m), FY2026 weighted average</t>
        </is>
      </c>
      <c r="B39" s="10">
        <f>Forecast!B21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8" t="inlineStr">
        <is>
          <t>METHOD 1 — DCF VALUE PER SHARE ($)</t>
        </is>
      </c>
      <c r="B40" s="36">
        <f>B38/B39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7" t="inlineStr">
        <is>
          <t>vs price</t>
        </is>
      </c>
      <c r="B41" s="30">
        <f>B40/Overview!B6-1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5" t="inlineStr">
        <is>
          <t>WHAT THE PRICE IMPLIES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7" t="inlineStr">
        <is>
          <t>WACC at which the DCF equals the price (solved numerically; memo)</t>
        </is>
      </c>
      <c r="B44" s="111" t="n">
        <v>0.06494900000000001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DCF at that WACC — must land within $2 of the price</t>
        </is>
      </c>
      <c r="B45" s="32">
        <f>((SUMPRODUCT($C$18:$L$18,1/(1+$B$44)^$C$19:$L$19)+Forecast!$L$32*(1+$B$25)*(1-$B$25/$B$26)/($B$44-$B$25)/(1+$B$44)^$B$31+$B$36+$B$37)/$B$39)</f>
        <v/>
      </c>
      <c r="C45" s="53">
        <f>IF(ABS(B45-Overview!B6)&lt;2,"PASS","FAIL")</f>
        <v/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8" t="inlineStr">
        <is>
          <t>Spread of that WACC over the 10-yr Treasury</t>
        </is>
      </c>
      <c r="B46" s="22">
        <f>B44-B4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7" t="inlineStr">
        <is>
          <t>Perpetual growth the price implies at our WACC (solved numerically; memo)</t>
        </is>
      </c>
      <c r="B47" s="19" t="n">
        <v>0.071503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DCF at that growth — must land within $2 of the price</t>
        </is>
      </c>
      <c r="B48" s="32">
        <f>((SUMPRODUCT($C$18:$L$18,1/(1+$B$14)^$C$19:$L$19)+Forecast!$L$32*(1+$B$47)*(1-$B$47/$B$26)/($B$14-$B$47)/(1+$B$14)^$B$31+$B$36+$B$37)/$B$39)</f>
        <v/>
      </c>
      <c r="C48" s="53">
        <f>IF(ABS(B48-Overview!B6)&lt;2,"PASS","FAIL")</f>
        <v/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inlineStr">
        <is>
          <t>DCF if terminal FCFF conversion is held at FY2036's level ($)</t>
        </is>
      </c>
      <c r="B49" s="32">
        <f>((SUMPRODUCT($C$18:$L$18,1/(1+$B$14)^$C$19:$L$19)+Forecast!$L$32*(1+$B$25)*Forecast!$L$34/($B$14-$B$25)/(1+$B$14)^$B$31+$B$36+$B$37)/$B$39)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5" t="inlineStr">
        <is>
          <t>SENSITIVITY — DCF $/share: WACC (rows) × terminal growth (columns); each cell a full re-computation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37" t="inlineStr">
        <is>
          <t>WACC ↓  /  terminal growth →</t>
        </is>
      </c>
      <c r="B51" s="25" t="n">
        <v>0.03</v>
      </c>
      <c r="C51" s="25" t="n">
        <v>0.035</v>
      </c>
      <c r="D51" s="23">
        <f>$B$25</f>
        <v/>
      </c>
      <c r="E51" s="25" t="n">
        <v>0.045</v>
      </c>
      <c r="F51" s="4" t="n"/>
      <c r="G51" s="4" t="n"/>
      <c r="H51" s="4" t="n"/>
      <c r="I51" s="4" t="n"/>
      <c r="J51" s="4" t="n"/>
      <c r="K51" s="4" t="n"/>
      <c r="L51" s="4" t="n"/>
    </row>
    <row r="52">
      <c r="A52" s="19" t="n">
        <v>0.07000000000000001</v>
      </c>
      <c r="B52" s="48">
        <f>((SUMPRODUCT($C$18:$L$18,1/(1+$A52)^$C$19:$L$19)+Forecast!$L$32*(1+B$51)*(1-B$51/$B$26)/($A52-B$51)/(1+$A52)^$B$31+$B$36+$B$37)/$B$39)</f>
        <v/>
      </c>
      <c r="C52" s="48">
        <f>((SUMPRODUCT($C$18:$L$18,1/(1+$A52)^$C$19:$L$19)+Forecast!$L$32*(1+C$51)*(1-C$51/$B$26)/($A52-C$51)/(1+$A52)^$B$31+$B$36+$B$37)/$B$39)</f>
        <v/>
      </c>
      <c r="D52" s="48">
        <f>((SUMPRODUCT($C$18:$L$18,1/(1+$A52)^$C$19:$L$19)+Forecast!$L$32*(1+D$51)*(1-D$51/$B$26)/($A52-D$51)/(1+$A52)^$B$31+$B$36+$B$37)/$B$39)</f>
        <v/>
      </c>
      <c r="E52" s="48">
        <f>((SUMPRODUCT($C$18:$L$18,1/(1+$A52)^$C$19:$L$19)+Forecast!$L$32*(1+E$51)*(1-E$51/$B$26)/($A52-E$51)/(1+$A52)^$B$31+$B$36+$B$37)/$B$39)</f>
        <v/>
      </c>
      <c r="F52" s="4" t="n"/>
      <c r="G52" s="4" t="n"/>
      <c r="H52" s="4" t="n"/>
      <c r="I52" s="4" t="n"/>
      <c r="J52" s="4" t="n"/>
      <c r="K52" s="4" t="n"/>
      <c r="L52" s="4" t="n"/>
    </row>
    <row r="53">
      <c r="A53" s="19" t="n">
        <v>0.08</v>
      </c>
      <c r="B53" s="48">
        <f>((SUMPRODUCT($C$18:$L$18,1/(1+$A53)^$C$19:$L$19)+Forecast!$L$32*(1+B$51)*(1-B$51/$B$26)/($A53-B$51)/(1+$A53)^$B$31+$B$36+$B$37)/$B$39)</f>
        <v/>
      </c>
      <c r="C53" s="48">
        <f>((SUMPRODUCT($C$18:$L$18,1/(1+$A53)^$C$19:$L$19)+Forecast!$L$32*(1+C$51)*(1-C$51/$B$26)/($A53-C$51)/(1+$A53)^$B$31+$B$36+$B$37)/$B$39)</f>
        <v/>
      </c>
      <c r="D53" s="48">
        <f>((SUMPRODUCT($C$18:$L$18,1/(1+$A53)^$C$19:$L$19)+Forecast!$L$32*(1+D$51)*(1-D$51/$B$26)/($A53-D$51)/(1+$A53)^$B$31+$B$36+$B$37)/$B$39)</f>
        <v/>
      </c>
      <c r="E53" s="48">
        <f>((SUMPRODUCT($C$18:$L$18,1/(1+$A53)^$C$19:$L$19)+Forecast!$L$32*(1+E$51)*(1-E$51/$B$26)/($A53-E$51)/(1+$A53)^$B$31+$B$36+$B$37)/$B$39)</f>
        <v/>
      </c>
      <c r="F53" s="4" t="n"/>
      <c r="G53" s="4" t="n"/>
      <c r="H53" s="4" t="n"/>
      <c r="I53" s="4" t="n"/>
      <c r="J53" s="4" t="n"/>
      <c r="K53" s="4" t="n"/>
      <c r="L53" s="4" t="n"/>
    </row>
    <row r="54">
      <c r="A54" s="16">
        <f>$B$14</f>
        <v/>
      </c>
      <c r="B54" s="48">
        <f>((SUMPRODUCT($C$18:$L$18,1/(1+$A54)^$C$19:$L$19)+Forecast!$L$32*(1+B$51)*(1-B$51/$B$26)/($A54-B$51)/(1+$A54)^$B$31+$B$36+$B$37)/$B$39)</f>
        <v/>
      </c>
      <c r="C54" s="48">
        <f>((SUMPRODUCT($C$18:$L$18,1/(1+$A54)^$C$19:$L$19)+Forecast!$L$32*(1+C$51)*(1-C$51/$B$26)/($A54-C$51)/(1+$A54)^$B$31+$B$36+$B$37)/$B$39)</f>
        <v/>
      </c>
      <c r="D54" s="48">
        <f>((SUMPRODUCT($C$18:$L$18,1/(1+$A54)^$C$19:$L$19)+Forecast!$L$32*(1+D$51)*(1-D$51/$B$26)/($A54-D$51)/(1+$A54)^$B$31+$B$36+$B$37)/$B$39)</f>
        <v/>
      </c>
      <c r="E54" s="48">
        <f>((SUMPRODUCT($C$18:$L$18,1/(1+$A54)^$C$19:$L$19)+Forecast!$L$32*(1+E$51)*(1-E$51/$B$26)/($A54-E$51)/(1+$A54)^$B$31+$B$36+$B$37)/$B$39)</f>
        <v/>
      </c>
      <c r="F54" s="4" t="n"/>
      <c r="G54" s="4" t="n"/>
      <c r="H54" s="4" t="n"/>
      <c r="I54" s="4" t="n"/>
      <c r="J54" s="4" t="n"/>
      <c r="K54" s="4" t="n"/>
      <c r="L54" s="4" t="n"/>
    </row>
    <row r="55">
      <c r="A55" s="19" t="n">
        <v>0.1</v>
      </c>
      <c r="B55" s="48">
        <f>((SUMPRODUCT($C$18:$L$18,1/(1+$A55)^$C$19:$L$19)+Forecast!$L$32*(1+B$51)*(1-B$51/$B$26)/($A55-B$51)/(1+$A55)^$B$31+$B$36+$B$37)/$B$39)</f>
        <v/>
      </c>
      <c r="C55" s="48">
        <f>((SUMPRODUCT($C$18:$L$18,1/(1+$A55)^$C$19:$L$19)+Forecast!$L$32*(1+C$51)*(1-C$51/$B$26)/($A55-C$51)/(1+$A55)^$B$31+$B$36+$B$37)/$B$39)</f>
        <v/>
      </c>
      <c r="D55" s="48">
        <f>((SUMPRODUCT($C$18:$L$18,1/(1+$A55)^$C$19:$L$19)+Forecast!$L$32*(1+D$51)*(1-D$51/$B$26)/($A55-D$51)/(1+$A55)^$B$31+$B$36+$B$37)/$B$39)</f>
        <v/>
      </c>
      <c r="E55" s="48">
        <f>((SUMPRODUCT($C$18:$L$18,1/(1+$A55)^$C$19:$L$19)+Forecast!$L$32*(1+E$51)*(1-E$51/$B$26)/($A55-E$51)/(1+$A55)^$B$31+$B$36+$B$37)/$B$39)</f>
        <v/>
      </c>
      <c r="F55" s="4" t="n"/>
      <c r="G55" s="4" t="n"/>
      <c r="H55" s="4" t="n"/>
      <c r="I55" s="4" t="n"/>
      <c r="J55" s="4" t="n"/>
      <c r="K55" s="4" t="n"/>
      <c r="L55" s="4" t="n"/>
    </row>
    <row r="56">
      <c r="A56" s="7" t="inlineStr">
        <is>
          <t>Check: base cell (our WACC, 4.0%) less Method 1 — must be 0</t>
        </is>
      </c>
      <c r="B56" s="49">
        <f>ROUND(D54-B40,6)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E31837"/>
    <outlinePr summaryBelow="1" summaryRight="1"/>
    <pageSetUpPr fitToPage="1"/>
  </sheetPr>
  <dimension ref="A1:L116"/>
  <sheetViews>
    <sheetView showGridLines="0" zoomScale="150" workbookViewId="0">
      <selection activeCell="A1" sqref="A1"/>
    </sheetView>
  </sheetViews>
  <sheetFormatPr baseColWidth="10" defaultColWidth="8.83203125" defaultRowHeight="15"/>
  <cols>
    <col width="85" customWidth="1" min="1" max="1"/>
    <col width="13" customWidth="1" min="2" max="3"/>
    <col width="14" customWidth="1" min="4" max="4"/>
    <col width="13" customWidth="1" min="5" max="5"/>
    <col width="14" customWidth="1" min="6" max="6"/>
    <col width="13" customWidth="1" min="7" max="29"/>
  </cols>
  <sheetData>
    <row r="1" ht="19" customHeight="1">
      <c r="A1" s="1" t="inlineStr">
        <is>
          <t>Valuation — Walmart-relative methods lead; Costco's own history and the DCF are zero-weight cross-checks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COST OF EQUITY AND HURDLES</t>
        </is>
      </c>
      <c r="B3" s="6" t="n"/>
      <c r="C3" s="6" t="n"/>
      <c r="D3" s="6" t="n"/>
      <c r="E3" s="6" t="n"/>
      <c r="F3" s="6" t="n"/>
      <c r="G3" s="6" t="n"/>
      <c r="H3" s="6" t="n"/>
      <c r="I3" s="4" t="n"/>
      <c r="J3" s="4" t="n"/>
      <c r="K3" s="4" t="n"/>
      <c r="L3" s="4" t="n"/>
    </row>
    <row r="4">
      <c r="A4" s="7" t="inlineStr">
        <is>
          <t>Risk-free — US 10-yr Treasury, 16-Oct-2026</t>
        </is>
      </c>
      <c r="B4" s="31">
        <f>DCF!B4</f>
        <v/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7" t="inlineStr">
        <is>
          <t>Beta</t>
        </is>
      </c>
      <c r="B5" s="44">
        <f>DCF!B5</f>
        <v/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7" t="inlineStr">
        <is>
          <t>Equity risk premium</t>
        </is>
      </c>
      <c r="B6" s="31">
        <f>DCF!B6</f>
        <v/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8" t="inlineStr">
        <is>
          <t>COST OF EQUITY (BUY hurdle)</t>
        </is>
      </c>
      <c r="B7" s="22">
        <f>B4+B5*B6</f>
        <v/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7" t="inlineStr">
        <is>
          <t>ACCUMULATE hurdle (10-yr + 2pp)</t>
        </is>
      </c>
      <c r="B8" s="16">
        <f>B4+B9</f>
        <v/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inlineStr">
        <is>
          <t>ACCUMULATE spread over the 10-yr (house rule)</t>
        </is>
      </c>
      <c r="B9" s="19" t="n">
        <v>0.02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5" t="inlineStr">
        <is>
          <t>KEY INPUTS</t>
        </is>
      </c>
      <c r="B10" s="6" t="n"/>
      <c r="C10" s="6" t="n"/>
      <c r="D10" s="6" t="n"/>
      <c r="E10" s="6" t="n"/>
      <c r="F10" s="6" t="n"/>
      <c r="G10" s="6" t="n"/>
      <c r="H10" s="6" t="n"/>
      <c r="I10" s="4" t="n"/>
      <c r="J10" s="4" t="n"/>
      <c r="K10" s="4" t="n"/>
      <c r="L10" s="4" t="n"/>
    </row>
    <row r="11">
      <c r="A11" s="7" t="inlineStr">
        <is>
          <t>Live price ($)</t>
        </is>
      </c>
      <c r="B11" s="32">
        <f>Overview!B6</f>
        <v/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Diluted shares (m)</t>
        </is>
      </c>
      <c r="B12" s="10">
        <f>Forecast!B21</f>
        <v/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FY2027E EPS ($)</t>
        </is>
      </c>
      <c r="B13" s="32">
        <f>Forecast!C22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FY2026 EBITDA, reported ($m) — Costco's multiple is computed on this same basis (row 32); Walmart's is the vendor's</t>
        </is>
      </c>
      <c r="B14" s="39">
        <f>'Income Statement'!F9+'Cash Flow'!F5</f>
        <v/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Net cash less lease liabilities ($m) — matches the peer EV definition</t>
        </is>
      </c>
      <c r="B15" s="39">
        <f>'Balance Sheet'!F35-'Balance Sheet'!F34-'Balance Sheet'!F25</f>
        <v/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Dividend yield</t>
        </is>
      </c>
      <c r="B16" s="31">
        <f>Overview!B13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8" t="inlineStr">
        <is>
          <t>Share of Costco's current premium to Walmart retained</t>
        </is>
      </c>
      <c r="B17" s="70" t="n">
        <v>1</v>
      </c>
      <c r="C17" s="4" t="n"/>
      <c r="D17" s="3" t="inlineStr">
        <is>
          <t>Peers &amp; Street rows 81–91: today's premium is the series low (62% at the Oct-2023 yield peak) — no basis for a haircut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5" t="inlineStr">
        <is>
          <t>METHOD 1 — FCFF DCF (shown as a FLOOR, 0% weight — house method for staples)</t>
        </is>
      </c>
      <c r="B18" s="6" t="n"/>
      <c r="C18" s="6" t="n"/>
      <c r="D18" s="6" t="n"/>
      <c r="E18" s="6" t="n"/>
      <c r="F18" s="6" t="n"/>
      <c r="G18" s="6" t="n"/>
      <c r="H18" s="6" t="n"/>
      <c r="I18" s="4" t="n"/>
      <c r="J18" s="4" t="n"/>
      <c r="K18" s="4" t="n"/>
      <c r="L18" s="4" t="n"/>
    </row>
    <row r="19">
      <c r="A19" s="8" t="inlineStr">
        <is>
          <t>METHOD 1 — VALUE PER SHARE ($)</t>
        </is>
      </c>
      <c r="B19" s="29">
        <f>DCF!B40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inlineStr">
        <is>
          <t>METHOD 2 — FORWARD P/E vs WALMART, TODAY'S PREMIUM KEPT (two-thirds weight)</t>
        </is>
      </c>
      <c r="B21" s="6" t="n"/>
      <c r="C21" s="6" t="n"/>
      <c r="D21" s="6" t="n"/>
      <c r="E21" s="6" t="n"/>
      <c r="F21" s="6" t="n"/>
      <c r="G21" s="6" t="n"/>
      <c r="H21" s="6" t="n"/>
      <c r="I21" s="4" t="n"/>
      <c r="J21" s="4" t="n"/>
      <c r="K21" s="4" t="n"/>
      <c r="L21" s="4" t="n"/>
    </row>
    <row r="22">
      <c r="A22" s="7" t="inlineStr">
        <is>
          <t>Walmart forward P/E (x)</t>
        </is>
      </c>
      <c r="B22" s="20">
        <f>'Peers &amp; Street'!F6</f>
        <v/>
      </c>
      <c r="C22" s="4" t="n"/>
      <c r="D22" s="3" t="inlineStr">
        <is>
          <t>same vendor, same day as Costco's own (next row)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Costco forward P/E on consensus FY2027 EPS (x)</t>
        </is>
      </c>
      <c r="B23" s="20">
        <f>'Peers &amp; Street'!F5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Forward P/E applied = Walmart + retained share × (Costco − Walmart) (x)</t>
        </is>
      </c>
      <c r="B24" s="50">
        <f>B22+B17*(B23-B22)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8" t="inlineStr">
        <is>
          <t>METHOD 2 — VALUE PER SHARE ($)</t>
        </is>
      </c>
      <c r="B25" s="36">
        <f>B24*B13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Forward P/E at which Method 2 equals the price (x)</t>
        </is>
      </c>
      <c r="B26" s="50">
        <f>B11/B13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5" t="inlineStr">
        <is>
          <t>METHOD 3 — EV/EBITDA vs WALMART, TODAY'S PREMIUM KEPT (one-third weight)</t>
        </is>
      </c>
      <c r="B28" s="6" t="n"/>
      <c r="C28" s="6" t="n"/>
      <c r="D28" s="6" t="n"/>
      <c r="E28" s="6" t="n"/>
      <c r="F28" s="6" t="n"/>
      <c r="G28" s="6" t="n"/>
      <c r="H28" s="6" t="n"/>
      <c r="I28" s="4" t="n"/>
      <c r="J28" s="4" t="n"/>
      <c r="K28" s="4" t="n"/>
      <c r="L28" s="4" t="n"/>
    </row>
    <row r="29">
      <c r="A29" s="7" t="inlineStr">
        <is>
          <t>Walmart EV/EBITDA, trailing (x)</t>
        </is>
      </c>
      <c r="B29" s="20">
        <f>'Peers &amp; Street'!G6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7" t="inlineStr">
        <is>
          <t>EV/EBITDA applied = Walmart + retained share × (Costco − Walmart) (x)</t>
        </is>
      </c>
      <c r="B30" s="20">
        <f>B29+B17*('Peers &amp; Street'!G5-B29)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8" t="inlineStr">
        <is>
          <t>METHOD 3 — VALUE PER SHARE ($)</t>
        </is>
      </c>
      <c r="B31" s="36">
        <f>(B30*B14+B15)/B12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EV/EBITDA at which Method 3 equals the price (x)</t>
        </is>
      </c>
      <c r="B32" s="50">
        <f>(B11*B12-B15)/B14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5" t="inlineStr">
        <is>
          <t>BLENDED VALUATION AND RATING</t>
        </is>
      </c>
      <c r="B34" s="6" t="n"/>
      <c r="C34" s="6" t="n"/>
      <c r="D34" s="6" t="n"/>
      <c r="E34" s="6" t="n"/>
      <c r="F34" s="6" t="n"/>
      <c r="G34" s="6" t="n"/>
      <c r="H34" s="6" t="n"/>
      <c r="I34" s="4" t="n"/>
      <c r="J34" s="4" t="n"/>
      <c r="K34" s="4" t="n"/>
      <c r="L34" s="4" t="n"/>
    </row>
    <row r="35">
      <c r="A35" s="37" t="inlineStr">
        <is>
          <t>Method</t>
        </is>
      </c>
      <c r="B35" s="37" t="inlineStr">
        <is>
          <t>Value/share ($)</t>
        </is>
      </c>
      <c r="C35" s="37" t="inlineStr">
        <is>
          <t>vs price</t>
        </is>
      </c>
      <c r="D35" s="37" t="inlineStr">
        <is>
          <t>Weight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FCFF DCF at WACC</t>
        </is>
      </c>
      <c r="B36" s="15">
        <f>B19</f>
        <v/>
      </c>
      <c r="C36" s="23">
        <f>B36/$B$11-1</f>
        <v/>
      </c>
      <c r="D36" s="25" t="n">
        <v>0</v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7" t="inlineStr">
        <is>
          <t>Forward P/E vs Walmart, premium kept</t>
        </is>
      </c>
      <c r="B37" s="15">
        <f>B25</f>
        <v/>
      </c>
      <c r="C37" s="23">
        <f>B37/$B$11-1</f>
        <v/>
      </c>
      <c r="D37" s="25" t="n">
        <v>0.6667</v>
      </c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EV/EBITDA vs Walmart, premium kept</t>
        </is>
      </c>
      <c r="B38" s="15">
        <f>B31</f>
        <v/>
      </c>
      <c r="C38" s="23">
        <f>B38/$B$11-1</f>
        <v/>
      </c>
      <c r="D38" s="25" t="n">
        <v>0.3333</v>
      </c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Costco's own P/E, Oct-2023 yield-peak window (cross-check)</t>
        </is>
      </c>
      <c r="B39" s="32">
        <f>'Peers &amp; Street'!B91*'Income Statement'!F27</f>
        <v/>
      </c>
      <c r="C39" s="23">
        <f>B39/$B$11-1</f>
        <v/>
      </c>
      <c r="D39" s="25" t="n">
        <v>0</v>
      </c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8" t="inlineStr">
        <is>
          <t>BLENDED FAIR VALUE ($)</t>
        </is>
      </c>
      <c r="B40" s="15">
        <f>SUMPRODUCT(B36:B39,D36:D39)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7" t="inlineStr">
        <is>
          <t>Upside / (downside)</t>
        </is>
      </c>
      <c r="B41" s="23">
        <f>B40/B11-1</f>
        <v/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Add: dividend yield</t>
        </is>
      </c>
      <c r="B42" s="16">
        <f>B16</f>
        <v/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8" t="inlineStr">
        <is>
          <t>TOTAL EXPECTED RETURN</t>
        </is>
      </c>
      <c r="B43" s="51">
        <f>B41+B42</f>
        <v/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8" t="inlineStr">
        <is>
          <t>RATING</t>
        </is>
      </c>
      <c r="B44" s="37">
        <f>IF(D44&lt;&gt;"",D44,C44)</f>
        <v/>
      </c>
      <c r="C44" s="37">
        <f>IF(B43&gt;B7,"BUY",IF(B43&gt;B8,"ACCUMULATE",IF(B43&gt;0,"HOLD","REDUCE")))</f>
        <v/>
      </c>
      <c r="D44" s="98" t="inlineStr">
        <is>
          <t>HOLD</t>
        </is>
      </c>
      <c r="E44" s="99">
        <f>"C44 = band rating ("&amp;C44&amp;"); D44 = analyst override. One reason: HOLD needs FY2027 EPS of $"&amp;TEXT('Stress Tests'!B45,"0.00")&amp;" against our $"&amp;TEXT(B13,"0.00")&amp;", a "&amp;TEXT('Stress Tests'!B46,"0.0%")&amp;" gap inside our "&amp;TEXT(ABS('Peers &amp; Street'!B60),"0.0%")&amp;" shortfall to consensus (Stress Tests rows 42, 45–46). Row 46 is reference only."</f>
        <v/>
      </c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Distance from the HOLD boundary (total return must rise by this much)</t>
        </is>
      </c>
      <c r="B45" s="23">
        <f>0-B43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inlineStr">
        <is>
          <t>Total return on a 12-month basis = fair value × (1 + cost of equity) ÷ price − 1</t>
        </is>
      </c>
      <c r="B46" s="23">
        <f>B40*(1+B7)/B11-1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83" t="inlineStr">
        <is>
          <t>THE DCF FLOOR, AND WHAT A 40% DCF WEIGHT WOULD DO</t>
        </is>
      </c>
      <c r="B47" s="6" t="n"/>
      <c r="C47" s="6" t="n"/>
      <c r="D47" s="6" t="n"/>
      <c r="E47" s="6" t="n"/>
      <c r="F47" s="6" t="n"/>
      <c r="G47" s="6" t="n"/>
      <c r="H47" s="6" t="n"/>
      <c r="I47" s="4" t="n"/>
      <c r="J47" s="4" t="n"/>
      <c r="K47" s="4" t="n"/>
      <c r="L47" s="4" t="n"/>
    </row>
    <row r="48">
      <c r="A48" s="7" t="inlineStr">
        <is>
          <t>Blend if the DCF carried 40% (40/40/20 weights) ($)</t>
        </is>
      </c>
      <c r="B48" s="15">
        <f>0.4*B36+0.4*B37+0.2*B38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DCF floor vs price</t>
        </is>
      </c>
      <c r="B49" s="23">
        <f>B36/B11-1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7" t="inlineStr">
        <is>
          <t>Total return with the DCF at 40%</t>
        </is>
      </c>
      <c r="B50" s="23">
        <f>B48/B11-1+B16</f>
        <v/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Rating with the DCF at 40%</t>
        </is>
      </c>
      <c r="B51" s="7">
        <f>IF(B50&gt;B7,"BUY",IF(B50&gt;B8,"ACCUMULATE",IF(B50&gt;0,"HOLD","REDUCE")))</f>
        <v/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5" t="inlineStr">
        <is>
          <t>RECONCILIATION — each check must read 0</t>
        </is>
      </c>
      <c r="B53" s="6" t="n"/>
      <c r="C53" s="6" t="n"/>
      <c r="D53" s="6" t="n"/>
      <c r="E53" s="6" t="n"/>
      <c r="F53" s="6" t="n"/>
      <c r="G53" s="6" t="n"/>
      <c r="H53" s="6" t="n"/>
      <c r="I53" s="4" t="n"/>
      <c r="J53" s="4" t="n"/>
      <c r="K53" s="4" t="n"/>
      <c r="L53" s="4" t="n"/>
    </row>
    <row r="54">
      <c r="A54" s="7" t="inlineStr">
        <is>
          <t>Check: blended value less Scenarios Base column (must be 0)</t>
        </is>
      </c>
      <c r="B54" s="52">
        <f>ROUND(B40-Scenarios!D24,6)</f>
        <v/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Check: blended value less 'what has to be true' base cell (must be 0)</t>
        </is>
      </c>
      <c r="B55" s="49">
        <f>ROUND(B40-B64,6)</f>
        <v/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7" t="inlineStr">
        <is>
          <t>Check: Method 1 less DCF sensitivity base cell (must be 0)</t>
        </is>
      </c>
      <c r="B56" s="52">
        <f>ROUND(B19-DCF!D54,6)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5" t="inlineStr">
        <is>
          <t>WHAT HAS TO BE TRUE — blended fair value ($)</t>
        </is>
      </c>
      <c r="B58" s="6" t="n"/>
      <c r="C58" s="6" t="n"/>
      <c r="D58" s="6" t="n"/>
      <c r="E58" s="6" t="n"/>
      <c r="F58" s="6" t="n"/>
      <c r="G58" s="6" t="n"/>
      <c r="H58" s="6" t="n"/>
      <c r="I58" s="4" t="n"/>
      <c r="J58" s="4" t="n"/>
      <c r="K58" s="4" t="n"/>
      <c r="L58" s="4" t="n"/>
    </row>
    <row r="59" ht="30" customHeight="1">
      <c r="A59" s="8" t="inlineStr">
        <is>
          <t>Share of premium retained ↓  /  weight on own-history anchor (Method 4) →</t>
        </is>
      </c>
      <c r="B59" s="70" t="n">
        <v>0</v>
      </c>
      <c r="C59" s="70" t="n">
        <v>0.25</v>
      </c>
      <c r="D59" s="70" t="n">
        <v>0.5</v>
      </c>
      <c r="E59" s="84" t="inlineStr">
        <is>
          <t>Base weights, consensus EPS</t>
        </is>
      </c>
      <c r="F59" s="37" t="inlineStr">
        <is>
          <t>P/E applied</t>
        </is>
      </c>
      <c r="G59" s="37" t="inlineStr">
        <is>
          <t>EV/EBITDA applied</t>
        </is>
      </c>
      <c r="H59" s="4" t="n"/>
      <c r="I59" s="4" t="n"/>
      <c r="J59" s="4" t="n"/>
      <c r="K59" s="4" t="n"/>
      <c r="L59" s="4" t="n"/>
    </row>
    <row r="60">
      <c r="A60" s="7" t="inlineStr">
        <is>
          <t>Rows flex both Walmart-based methods together; columns flex the weight on Costco's own Oct-2023 window P/E (DCF at 0%)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25" t="n">
        <v>0</v>
      </c>
      <c r="B61" s="64">
        <f>B$59*$B$39+(1-B$59)*($D$37*$F61*$B$13+$D$38*($G61*$B$14+$B$15)/$B$12)/($D$37+$D$38)</f>
        <v/>
      </c>
      <c r="C61" s="64">
        <f>C$59*$B$39+(1-C$59)*($D$37*$F61*$B$13+$D$38*($G61*$B$14+$B$15)/$B$12)/($D$37+$D$38)</f>
        <v/>
      </c>
      <c r="D61" s="64">
        <f>D$59*$B$39+(1-D$59)*($D$37*$F61*$B$13+$D$38*($G61*$B$14+$B$15)/$B$12)/($D$37+$D$38)</f>
        <v/>
      </c>
      <c r="E61" s="48">
        <f>$D$39*$B$39+(1-$D$39)*($D$37*$F61*'Peers &amp; Street'!$B$23+$D$38*($G61*$B$14+$B$15)/$B$12)/($D$37+$D$38)</f>
        <v/>
      </c>
      <c r="F61" s="50">
        <f>$B$22+A61*($B$23-$B$22)</f>
        <v/>
      </c>
      <c r="G61" s="20">
        <f>$B$29+A61*('Peers &amp; Street'!$G$5-$B$29)</f>
        <v/>
      </c>
      <c r="H61" s="4" t="n"/>
      <c r="I61" s="4" t="n"/>
      <c r="J61" s="4" t="n"/>
      <c r="K61" s="4" t="n"/>
      <c r="L61" s="4" t="n"/>
    </row>
    <row r="62">
      <c r="A62" s="70" t="n">
        <v>0.5</v>
      </c>
      <c r="B62" s="64">
        <f>B$59*$B$39+(1-B$59)*($D$37*$F62*$B$13+$D$38*($G62*$B$14+$B$15)/$B$12)/($D$37+$D$38)</f>
        <v/>
      </c>
      <c r="C62" s="64">
        <f>C$59*$B$39+(1-C$59)*($D$37*$F62*$B$13+$D$38*($G62*$B$14+$B$15)/$B$12)/($D$37+$D$38)</f>
        <v/>
      </c>
      <c r="D62" s="64">
        <f>D$59*$B$39+(1-D$59)*($D$37*$F62*$B$13+$D$38*($G62*$B$14+$B$15)/$B$12)/($D$37+$D$38)</f>
        <v/>
      </c>
      <c r="E62" s="48">
        <f>$D$39*$B$39+(1-$D$39)*($D$37*$F62*'Peers &amp; Street'!$B$23+$D$38*($G62*$B$14+$B$15)/$B$12)/($D$37+$D$38)</f>
        <v/>
      </c>
      <c r="F62" s="50">
        <f>$B$22+A62*($B$23-$B$22)</f>
        <v/>
      </c>
      <c r="G62" s="20">
        <f>$B$29+A62*('Peers &amp; Street'!$G$5-$B$29)</f>
        <v/>
      </c>
      <c r="H62" s="4" t="n"/>
      <c r="I62" s="4" t="n"/>
      <c r="J62" s="4" t="n"/>
      <c r="K62" s="4" t="n"/>
      <c r="L62" s="4" t="n"/>
    </row>
    <row r="63">
      <c r="A63" s="25" t="n">
        <v>0.75</v>
      </c>
      <c r="B63" s="64">
        <f>B$59*$B$39+(1-B$59)*($D$37*$F63*$B$13+$D$38*($G63*$B$14+$B$15)/$B$12)/($D$37+$D$38)</f>
        <v/>
      </c>
      <c r="C63" s="64">
        <f>C$59*$B$39+(1-C$59)*($D$37*$F63*$B$13+$D$38*($G63*$B$14+$B$15)/$B$12)/($D$37+$D$38)</f>
        <v/>
      </c>
      <c r="D63" s="64">
        <f>D$59*$B$39+(1-D$59)*($D$37*$F63*$B$13+$D$38*($G63*$B$14+$B$15)/$B$12)/($D$37+$D$38)</f>
        <v/>
      </c>
      <c r="E63" s="48">
        <f>$D$39*$B$39+(1-$D$39)*($D$37*$F63*'Peers &amp; Street'!$B$23+$D$38*($G63*$B$14+$B$15)/$B$12)/($D$37+$D$38)</f>
        <v/>
      </c>
      <c r="F63" s="50">
        <f>$B$22+A63*($B$23-$B$22)</f>
        <v/>
      </c>
      <c r="G63" s="20">
        <f>$B$29+A63*('Peers &amp; Street'!$G$5-$B$29)</f>
        <v/>
      </c>
      <c r="H63" s="4" t="n"/>
      <c r="I63" s="4" t="n"/>
      <c r="J63" s="4" t="n"/>
      <c r="K63" s="4" t="n"/>
      <c r="L63" s="4" t="n"/>
    </row>
    <row r="64">
      <c r="A64" s="71">
        <f>B17</f>
        <v/>
      </c>
      <c r="B64" s="64">
        <f>B$59*$B$39+(1-B$59)*($D$37*$F64*$B$13+$D$38*($G64*$B$14+$B$15)/$B$12)/($D$37+$D$38)</f>
        <v/>
      </c>
      <c r="C64" s="64">
        <f>C$59*$B$39+(1-C$59)*($D$37*$F64*$B$13+$D$38*($G64*$B$14+$B$15)/$B$12)/($D$37+$D$38)</f>
        <v/>
      </c>
      <c r="D64" s="64">
        <f>D$59*$B$39+(1-D$59)*($D$37*$F64*$B$13+$D$38*($G64*$B$14+$B$15)/$B$12)/($D$37+$D$38)</f>
        <v/>
      </c>
      <c r="E64" s="48">
        <f>$D$39*$B$39+(1-$D$39)*($D$37*$F64*'Peers &amp; Street'!$B$23+$D$38*($G64*$B$14+$B$15)/$B$12)/($D$37+$D$38)</f>
        <v/>
      </c>
      <c r="F64" s="50">
        <f>$B$22+A64*($B$23-$B$22)</f>
        <v/>
      </c>
      <c r="G64" s="20">
        <f>$B$29+A64*('Peers &amp; Street'!$G$5-$B$29)</f>
        <v/>
      </c>
      <c r="H64" s="4" t="n"/>
      <c r="I64" s="4" t="n"/>
      <c r="J64" s="4" t="n"/>
      <c r="K64" s="4" t="n"/>
      <c r="L64" s="4" t="n"/>
    </row>
    <row r="65">
      <c r="A65" s="7" t="inlineStr">
        <is>
          <t>The 100% row keeps today's premium (the base); the 0% row prices Costco at Walmart's own multiples. Column B is the base weighting.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5" t="inlineStr">
        <is>
          <t>SAME GRID AS TOTAL EXPECTED RETURN</t>
        </is>
      </c>
      <c r="B67" s="6" t="n"/>
      <c r="C67" s="6" t="n"/>
      <c r="D67" s="6" t="n"/>
      <c r="E67" s="6" t="n"/>
      <c r="F67" s="6" t="n"/>
      <c r="G67" s="6" t="n"/>
      <c r="H67" s="6" t="n"/>
      <c r="I67" s="4" t="n"/>
      <c r="J67" s="4" t="n"/>
      <c r="K67" s="4" t="n"/>
      <c r="L67" s="4" t="n"/>
    </row>
    <row r="68">
      <c r="A68" s="4" t="n"/>
      <c r="B68" s="16">
        <f>B59</f>
        <v/>
      </c>
      <c r="C68" s="16">
        <f>C59</f>
        <v/>
      </c>
      <c r="D68" s="16">
        <f>D59</f>
        <v/>
      </c>
      <c r="E68" s="16">
        <f>E59</f>
        <v/>
      </c>
      <c r="F68" s="4" t="n"/>
      <c r="G68" s="4" t="n"/>
      <c r="H68" s="4" t="n"/>
      <c r="I68" s="4" t="n"/>
      <c r="J68" s="4" t="n"/>
      <c r="K68" s="4" t="n"/>
      <c r="L68" s="4" t="n"/>
    </row>
    <row r="69">
      <c r="A69" s="23">
        <f>A61</f>
        <v/>
      </c>
      <c r="B69" s="23">
        <f>B61/$B$11-1+$B$16</f>
        <v/>
      </c>
      <c r="C69" s="23">
        <f>C61/$B$11-1+$B$16</f>
        <v/>
      </c>
      <c r="D69" s="23">
        <f>D61/$B$11-1+$B$16</f>
        <v/>
      </c>
      <c r="E69" s="23">
        <f>E61/$B$11-1+$B$16</f>
        <v/>
      </c>
      <c r="F69" s="4" t="n"/>
      <c r="G69" s="4" t="n"/>
      <c r="H69" s="4" t="n"/>
      <c r="I69" s="4" t="n"/>
      <c r="J69" s="4" t="n"/>
      <c r="K69" s="4" t="n"/>
      <c r="L69" s="4" t="n"/>
    </row>
    <row r="70">
      <c r="A70" s="23">
        <f>A62</f>
        <v/>
      </c>
      <c r="B70" s="23">
        <f>B62/$B$11-1+$B$16</f>
        <v/>
      </c>
      <c r="C70" s="23">
        <f>C62/$B$11-1+$B$16</f>
        <v/>
      </c>
      <c r="D70" s="23">
        <f>D62/$B$11-1+$B$16</f>
        <v/>
      </c>
      <c r="E70" s="23">
        <f>E62/$B$11-1+$B$16</f>
        <v/>
      </c>
      <c r="F70" s="4" t="n"/>
      <c r="G70" s="4" t="n"/>
      <c r="H70" s="4" t="n"/>
      <c r="I70" s="4" t="n"/>
      <c r="J70" s="4" t="n"/>
      <c r="K70" s="4" t="n"/>
      <c r="L70" s="4" t="n"/>
    </row>
    <row r="71">
      <c r="A71" s="23">
        <f>A63</f>
        <v/>
      </c>
      <c r="B71" s="23">
        <f>B63/$B$11-1+$B$16</f>
        <v/>
      </c>
      <c r="C71" s="23">
        <f>C63/$B$11-1+$B$16</f>
        <v/>
      </c>
      <c r="D71" s="23">
        <f>D63/$B$11-1+$B$16</f>
        <v/>
      </c>
      <c r="E71" s="23">
        <f>E63/$B$11-1+$B$16</f>
        <v/>
      </c>
      <c r="F71" s="4" t="n"/>
      <c r="G71" s="4" t="n"/>
      <c r="H71" s="4" t="n"/>
      <c r="I71" s="4" t="n"/>
      <c r="J71" s="4" t="n"/>
      <c r="K71" s="4" t="n"/>
      <c r="L71" s="4" t="n"/>
    </row>
    <row r="72">
      <c r="A72" s="23">
        <f>A64</f>
        <v/>
      </c>
      <c r="B72" s="23">
        <f>B64/$B$11-1+$B$16</f>
        <v/>
      </c>
      <c r="C72" s="23">
        <f>C64/$B$11-1+$B$16</f>
        <v/>
      </c>
      <c r="D72" s="23">
        <f>D64/$B$11-1+$B$16</f>
        <v/>
      </c>
      <c r="E72" s="23">
        <f>E64/$B$11-1+$B$16</f>
        <v/>
      </c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5" t="inlineStr">
        <is>
          <t>SCENARIOS — full re-computation on the Scenarios sheet</t>
        </is>
      </c>
      <c r="B74" s="6" t="n"/>
      <c r="C74" s="6" t="n"/>
      <c r="D74" s="6" t="n"/>
      <c r="E74" s="6" t="n"/>
      <c r="F74" s="6" t="n"/>
      <c r="G74" s="6" t="n"/>
      <c r="H74" s="6" t="n"/>
      <c r="I74" s="4" t="n"/>
      <c r="J74" s="4" t="n"/>
      <c r="K74" s="4" t="n"/>
      <c r="L74" s="4" t="n"/>
    </row>
    <row r="75">
      <c r="A75" s="37" t="inlineStr">
        <is>
          <t>Scenario</t>
        </is>
      </c>
      <c r="B75" s="37" t="inlineStr">
        <is>
          <t>Fair value ($)</t>
        </is>
      </c>
      <c r="C75" s="37" t="inlineStr">
        <is>
          <t>Total return</t>
        </is>
      </c>
      <c r="D75" s="37" t="inlineStr">
        <is>
          <t>Rating</t>
        </is>
      </c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7" t="inlineStr">
        <is>
          <t>Bear case</t>
        </is>
      </c>
      <c r="B76" s="32">
        <f>Scenarios!C24</f>
        <v/>
      </c>
      <c r="C76" s="30">
        <f>Scenarios!C26</f>
        <v/>
      </c>
      <c r="D76" s="53">
        <f>Scenarios!C27</f>
        <v/>
      </c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7" t="inlineStr">
        <is>
          <t>Base case</t>
        </is>
      </c>
      <c r="B77" s="32">
        <f>Scenarios!D24</f>
        <v/>
      </c>
      <c r="C77" s="30">
        <f>Scenarios!D26</f>
        <v/>
      </c>
      <c r="D77" s="53">
        <f>Scenarios!D27</f>
        <v/>
      </c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7" t="inlineStr">
        <is>
          <t>Bull case</t>
        </is>
      </c>
      <c r="B78" s="32">
        <f>Scenarios!E24</f>
        <v/>
      </c>
      <c r="C78" s="30">
        <f>Scenarios!E26</f>
        <v/>
      </c>
      <c r="D78" s="53">
        <f>Scenarios!E27</f>
        <v/>
      </c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95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7" t="n"/>
      <c r="B81" s="30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8" t="n"/>
      <c r="B82" s="5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7" t="n"/>
      <c r="B83" s="7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n"/>
      <c r="B84" s="30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8" t="n"/>
      <c r="B85" s="5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7" t="n"/>
      <c r="B86" s="7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7" t="n"/>
      <c r="B87" s="23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7" t="n"/>
      <c r="B88" s="5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7" t="n"/>
      <c r="B89" s="29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7" t="n"/>
      <c r="B90" s="23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19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95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7" t="n"/>
      <c r="B93" s="3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7" t="n"/>
      <c r="B94" s="32" t="n"/>
      <c r="C94" s="4" t="n"/>
      <c r="D94" s="3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7" t="n"/>
      <c r="B95" s="32" t="n"/>
      <c r="C95" s="4" t="n"/>
      <c r="D95" s="3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7" t="n"/>
      <c r="B96" s="32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8" t="n"/>
      <c r="B97" s="32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8" t="n"/>
      <c r="B98" s="5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8" t="n"/>
      <c r="B99" s="37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8" t="n"/>
      <c r="B100" s="55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7" t="n"/>
      <c r="B101" s="23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66" t="n"/>
      <c r="B102" s="85" t="n"/>
      <c r="C102" s="81" t="n"/>
    </row>
    <row r="103">
      <c r="A103" s="66" t="n"/>
      <c r="B103" s="85" t="n"/>
      <c r="C103" s="86" t="n"/>
    </row>
    <row r="104">
      <c r="A104" s="66" t="n"/>
      <c r="B104" s="85" t="n"/>
    </row>
    <row r="105">
      <c r="A105" s="66" t="n"/>
      <c r="B105" s="87" t="n"/>
    </row>
    <row r="106">
      <c r="A106" s="66" t="n"/>
      <c r="B106" s="87" t="n"/>
    </row>
    <row r="107">
      <c r="A107" s="66" t="n"/>
      <c r="B107" s="87" t="n"/>
    </row>
    <row r="108">
      <c r="A108" s="66" t="n"/>
      <c r="B108" s="85" t="n"/>
    </row>
    <row r="109">
      <c r="A109" s="66" t="n"/>
      <c r="B109" s="79" t="n"/>
    </row>
    <row r="110">
      <c r="A110" s="66" t="n"/>
      <c r="B110" s="85" t="n"/>
    </row>
    <row r="111">
      <c r="A111" s="66" t="n"/>
      <c r="B111" s="88" t="n"/>
    </row>
    <row r="112">
      <c r="A112" s="66" t="n"/>
      <c r="B112" s="89" t="n"/>
    </row>
    <row r="113">
      <c r="A113" s="66" t="n"/>
      <c r="B113" s="89" t="n"/>
    </row>
    <row r="114">
      <c r="A114" s="66" t="n"/>
      <c r="B114" s="85" t="n"/>
    </row>
    <row r="115">
      <c r="A115" s="66" t="n"/>
      <c r="B115" s="74" t="n"/>
    </row>
    <row r="116">
      <c r="A116" s="66" t="n"/>
      <c r="B116" s="85" t="n"/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E31837"/>
    <outlinePr summaryBelow="1" summaryRight="1"/>
    <pageSetUpPr fitToPage="1"/>
  </sheetPr>
  <dimension ref="A1:L46"/>
  <sheetViews>
    <sheetView showGridLines="0" zoomScale="185" workbookViewId="0">
      <selection activeCell="A1" sqref="A1"/>
    </sheetView>
  </sheetViews>
  <sheetFormatPr baseColWidth="10" defaultColWidth="8.83203125" defaultRowHeight="15"/>
  <cols>
    <col width="85" customWidth="1" min="1" max="1"/>
    <col width="13" customWidth="1" min="2" max="3"/>
    <col width="14" customWidth="1" min="4" max="4"/>
    <col width="13" customWidth="1" min="5" max="5"/>
    <col width="14" customWidth="1" min="6" max="6"/>
    <col width="13" customWidth="1" min="7" max="9"/>
  </cols>
  <sheetData>
    <row r="1" ht="19" customHeight="1">
      <c r="A1" s="96" t="inlineStr">
        <is>
          <t>Stress tests — the best argument against the call, 12-month view, conservatism check and break-evens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</row>
    <row r="3">
      <c r="A3" s="5" t="inlineStr">
        <is>
          <t>THE BEST ARGUMENT AGAINST THIS CALL — if the multiple simply holds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Our FY2028E EPS growth</t>
        </is>
      </c>
      <c r="B4" s="30">
        <f>Forecast!D23</f>
        <v/>
      </c>
      <c r="C4" s="4" t="n"/>
      <c r="D4" s="4" t="n"/>
      <c r="E4" s="4" t="n"/>
      <c r="F4" s="4" t="n"/>
      <c r="G4" s="4" t="n"/>
      <c r="H4" s="4" t="n"/>
    </row>
    <row r="5">
      <c r="A5" s="8" t="inlineStr">
        <is>
          <t>One-year return if today's forward multiple holds (our EPS) = growth + dividend yield</t>
        </is>
      </c>
      <c r="B5" s="112">
        <f>B4+Valuation!B16</f>
        <v/>
      </c>
      <c r="C5" s="4" t="n"/>
      <c r="D5" s="4" t="n"/>
      <c r="E5" s="4" t="n"/>
      <c r="F5" s="4" t="n"/>
      <c r="G5" s="4" t="n"/>
      <c r="H5" s="4" t="n"/>
    </row>
    <row r="6">
      <c r="A6" s="7" t="inlineStr">
        <is>
          <t>Rating that return would earn</t>
        </is>
      </c>
      <c r="B6" s="113">
        <f>IF(B5&gt;Valuation!B7,"BUY",IF(B5&gt;Valuation!B8,"ACCUMULATE",IF(B5&gt;0,"HOLD","REDUCE")))</f>
        <v/>
      </c>
      <c r="C6" s="4" t="n"/>
      <c r="D6" s="4" t="n"/>
      <c r="E6" s="4" t="n"/>
      <c r="F6" s="4" t="n"/>
      <c r="G6" s="4" t="n"/>
      <c r="H6" s="4" t="n"/>
    </row>
    <row r="7">
      <c r="A7" s="7" t="inlineStr">
        <is>
          <t>Consensus FY2028 EPS growth (S&amp;P Global)</t>
        </is>
      </c>
      <c r="B7" s="30">
        <f>'Peers &amp; Street'!B24/'Peers &amp; Street'!B23-1</f>
        <v/>
      </c>
      <c r="C7" s="4" t="n"/>
      <c r="D7" s="4" t="n"/>
      <c r="E7" s="4" t="n"/>
      <c r="F7" s="4" t="n"/>
      <c r="G7" s="4" t="n"/>
      <c r="H7" s="4" t="n"/>
    </row>
    <row r="8">
      <c r="A8" s="8" t="inlineStr">
        <is>
          <t>One-year return if the multiple holds (consensus EPS)</t>
        </is>
      </c>
      <c r="B8" s="112">
        <f>B7+Valuation!B16</f>
        <v/>
      </c>
      <c r="C8" s="4" t="n"/>
      <c r="D8" s="4" t="n"/>
      <c r="E8" s="4" t="n"/>
      <c r="F8" s="4" t="n"/>
      <c r="G8" s="4" t="n"/>
      <c r="H8" s="4" t="n"/>
    </row>
    <row r="9">
      <c r="A9" s="7" t="inlineStr">
        <is>
          <t>Rating that return would earn</t>
        </is>
      </c>
      <c r="B9" s="113">
        <f>IF(B8&gt;Valuation!B7,"BUY",IF(B8&gt;Valuation!B8,"ACCUMULATE",IF(B8&gt;0,"HOLD","REDUCE")))</f>
        <v/>
      </c>
      <c r="C9" s="4" t="n"/>
      <c r="D9" s="4" t="n"/>
      <c r="E9" s="4" t="n"/>
      <c r="F9" s="4" t="n"/>
      <c r="G9" s="4" t="n"/>
      <c r="H9" s="4" t="n"/>
    </row>
    <row r="10">
      <c r="A10" s="7" t="inlineStr">
        <is>
          <t>Best total return anywhere in the 16-cell grid</t>
        </is>
      </c>
      <c r="B10" s="114">
        <f>MAX(Valuation!B69:E72)</f>
        <v/>
      </c>
      <c r="C10" s="4" t="n"/>
      <c r="D10" s="4" t="n"/>
      <c r="E10" s="4" t="n"/>
      <c r="F10" s="4" t="n"/>
      <c r="G10" s="4" t="n"/>
      <c r="H10" s="4" t="n"/>
    </row>
    <row r="11">
      <c r="A11" s="7" t="inlineStr">
        <is>
          <t>Grid cells with a positive total return</t>
        </is>
      </c>
      <c r="B11" s="115">
        <f>COUNTIF(Valuation!B69:E72,"&gt;0")</f>
        <v/>
      </c>
      <c r="C11" s="4" t="n"/>
      <c r="D11" s="4" t="n"/>
      <c r="E11" s="4" t="n"/>
      <c r="F11" s="4" t="n"/>
      <c r="G11" s="4" t="n"/>
      <c r="H11" s="4" t="n"/>
    </row>
    <row r="12">
      <c r="A12" s="7" t="inlineStr">
        <is>
          <t>12-month price target = fair value × (1 + cost of equity) − regular dividend ($)</t>
        </is>
      </c>
      <c r="B12" s="137">
        <f>Valuation!B40*(1+Valuation!B7)-Overview!B12</f>
        <v/>
      </c>
      <c r="C12" s="4" t="n"/>
      <c r="D12" s="4" t="n"/>
      <c r="E12" s="4" t="n"/>
      <c r="F12" s="4" t="n"/>
      <c r="G12" s="4" t="n"/>
      <c r="H12" s="4" t="n"/>
    </row>
    <row r="13">
      <c r="A13" s="7" t="inlineStr">
        <is>
          <t>12-month price target vs price (price return; the rating test uses row 46)</t>
        </is>
      </c>
      <c r="B13" s="114">
        <f>B12/Valuation!B11-1</f>
        <v/>
      </c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Damodaran implied US ERP, 1-Jan-2026</t>
        </is>
      </c>
      <c r="B14" s="19" t="n">
        <v>0.0423</v>
      </c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CONSERVATISM CHECK — the prudent inputs, reversed one at a time and then together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7" t="inlineStr">
        <is>
          <t>WACC with ERP at Damodaran's 4.23% (1-Jan-2026)</t>
        </is>
      </c>
      <c r="B16" s="31">
        <f>DCF!B13*(DCF!B4+DCF!B5*$B$14)+(1-DCF!B13)*DCF!B9*(1-DCF!B10)</f>
        <v/>
      </c>
      <c r="C16" s="4" t="n"/>
      <c r="D16" s="4" t="n"/>
      <c r="E16" s="4" t="n"/>
      <c r="F16" s="4" t="n"/>
      <c r="G16" s="4" t="n"/>
      <c r="H16" s="4" t="n"/>
    </row>
    <row r="17">
      <c r="A17" s="7" t="inlineStr">
        <is>
          <t>DCF at that WACC ($)</t>
        </is>
      </c>
      <c r="B17" s="32">
        <f>((SUMPRODUCT(DCF!$C$18:$L$18,1/(1+$B$16)^DCF!$C$19:$L$19)+Forecast!$L$32*(1+DCF!$B$25)*(1-DCF!$B$25/DCF!$B$26)/($B$16-DCF!$B$25)/(1+$B$16)^DCF!$B$31+DCF!$B$36+DCF!$B$37)/DCF!$B$39)</f>
        <v/>
      </c>
      <c r="C17" s="4" t="n"/>
      <c r="D17" s="3" t="inlineStr">
        <is>
          <t>DCF has 0% weight: moves the floor, not fair value</t>
        </is>
      </c>
      <c r="E17" s="4" t="n"/>
      <c r="F17" s="4" t="n"/>
      <c r="G17" s="4" t="n"/>
      <c r="H17" s="4" t="n"/>
    </row>
    <row r="18">
      <c r="A18" s="7" t="inlineStr">
        <is>
          <t>DCF with RONIC at FY2026's actual ROIC ($)</t>
        </is>
      </c>
      <c r="B18" s="32">
        <f>((SUMPRODUCT(DCF!$C$18:$L$18,1/(1+DCF!$B$14)^DCF!$C$19:$L$19)+Forecast!$L$32*(1+DCF!$B$25)*(1-DCF!$B$25/'Key Ratios'!$F$19)/(DCF!$B$14-DCF!$B$25)/(1+DCF!$B$14)^DCF!$B$31+DCF!$B$36+DCF!$B$37)/DCF!$B$39)</f>
        <v/>
      </c>
      <c r="C18" s="4" t="n"/>
      <c r="D18" s="3" t="inlineStr">
        <is>
          <t>DCF has 0% weight: moves the floor, not fair value</t>
        </is>
      </c>
      <c r="E18" s="4" t="n"/>
      <c r="F18" s="4" t="n"/>
      <c r="G18" s="4" t="n"/>
      <c r="H18" s="4" t="n"/>
    </row>
    <row r="19">
      <c r="A19" s="7" t="inlineStr">
        <is>
          <t>Method 2 on consensus FY2027 EPS ($)</t>
        </is>
      </c>
      <c r="B19" s="32">
        <f>Valuation!B24*'Peers &amp; Street'!B23</f>
        <v/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All prudent inputs reversed — blended fair value ($)</t>
        </is>
      </c>
      <c r="B20" s="32">
        <f>Valuation!D36*((SUMPRODUCT(DCF!$C$18:$L$18,1/(1+$B$16)^DCF!$C$19:$L$19)+Forecast!$L$32*(1+DCF!$B$25)*(1-DCF!$B$25/'Key Ratios'!$F$19)/($B$16-DCF!$B$25)/(1+$B$16)^DCF!$B$31+DCF!$B$36+DCF!$B$37)/DCF!$B$39)+Valuation!D37*B19+Valuation!D38*Valuation!B31+Valuation!D39*Valuation!B39</f>
        <v/>
      </c>
      <c r="C20" s="4" t="n"/>
      <c r="D20" s="4" t="n"/>
      <c r="E20" s="4" t="n"/>
      <c r="F20" s="4" t="n"/>
      <c r="G20" s="4" t="n"/>
      <c r="H20" s="4" t="n"/>
    </row>
    <row r="21">
      <c r="A21" s="8" t="inlineStr">
        <is>
          <t>All prudent inputs reversed — total return</t>
        </is>
      </c>
      <c r="B21" s="112">
        <f>B20/Valuation!B11-1+Valuation!B16</f>
        <v/>
      </c>
      <c r="C21" s="4" t="n"/>
      <c r="D21" s="4" t="n"/>
      <c r="E21" s="4" t="n"/>
      <c r="F21" s="4" t="n"/>
      <c r="G21" s="4" t="n"/>
      <c r="H21" s="4" t="n"/>
    </row>
    <row r="22">
      <c r="A22" s="8" t="inlineStr">
        <is>
          <t>All prudent inputs reversed — rating</t>
        </is>
      </c>
      <c r="B22" s="116">
        <f>IF(B21&gt;Valuation!B7,"BUY",IF(B21&gt;Valuation!B8,"ACCUMULATE",IF(B21&gt;0,"HOLD","REDUCE")))</f>
        <v/>
      </c>
      <c r="C22" s="4" t="n"/>
      <c r="D22" s="4" t="n"/>
      <c r="E22" s="4" t="n"/>
      <c r="F22" s="4" t="n"/>
      <c r="G22" s="4" t="n"/>
      <c r="H22" s="4" t="n"/>
    </row>
    <row r="23">
      <c r="A23" s="8" t="inlineStr">
        <is>
          <t>Blended fair value ÷ FY2027E EPS (x) — the multiple our fair value implies</t>
        </is>
      </c>
      <c r="B23" s="117">
        <f>Valuation!B40/Valuation!B13</f>
        <v/>
      </c>
      <c r="C23" s="4" t="n"/>
      <c r="D23" s="4" t="n"/>
      <c r="E23" s="4" t="n"/>
      <c r="F23" s="4" t="n"/>
      <c r="G23" s="4" t="n"/>
      <c r="H23" s="4" t="n"/>
    </row>
    <row r="24">
      <c r="A24" s="7" t="inlineStr">
        <is>
          <t>Our fair value's premium (+) or discount (−) to Walmart's forward multiple</t>
        </is>
      </c>
      <c r="B24" s="114">
        <f>B23/Valuation!B22-1</f>
        <v/>
      </c>
      <c r="C24" s="4" t="n"/>
      <c r="D24" s="4" t="n"/>
      <c r="E24" s="4" t="n"/>
      <c r="F24" s="4" t="n"/>
      <c r="G24" s="4" t="n"/>
      <c r="H24" s="4" t="n"/>
    </row>
    <row r="25">
      <c r="A25" s="66" t="inlineStr">
        <is>
          <t>Premium share at which the 12-month total return reaches zero</t>
        </is>
      </c>
      <c r="B25" s="118">
        <f>(Valuation!B11/(1+Valuation!B7)-Valuation!B61)/(Valuation!B64-Valuation!B61)</f>
        <v/>
      </c>
      <c r="C25" s="81">
        <f>IF(ABS((Valuation!D37*(Valuation!B22+B25*(Valuation!B23-Valuation!B22))*Valuation!B13+Valuation!D38*((Valuation!B29+B25*('Peers &amp; Street'!G5-Valuation!B29))*Valuation!B14+Valuation!B15)/Valuation!B12+Valuation!D39*Valuation!B39)/(Valuation!D37+Valuation!D38+Valuation!D39)*(1+Valuation!B7)/Valuation!B11-1)&lt;0.0005,"PASS","FAIL")</f>
        <v/>
      </c>
    </row>
    <row r="26">
      <c r="A26" s="66" t="inlineStr">
        <is>
          <t>Premium share at which the total return on the RATING basis (row 43) reaches zero — HOLD needs more than this</t>
        </is>
      </c>
      <c r="B26" s="118">
        <f>(Valuation!B11*(1-Valuation!B16)-Valuation!B61)/(Valuation!B64-Valuation!B61)</f>
        <v/>
      </c>
      <c r="C26" s="86">
        <f>IF(ABS((Valuation!D37*(Valuation!B22+B26*(Valuation!B23-Valuation!B22))*Valuation!B13+Valuation!D38*((Valuation!B29+B26*('Peers &amp; Street'!G5-Valuation!B29))*Valuation!B14+Valuation!B15)/Valuation!B12+Valuation!D39*Valuation!B39)/(Valuation!D37+Valuation!D38+Valuation!D39)/Valuation!B11-1+Valuation!B16)&lt;0.0005,"PASS","FAIL")</f>
        <v/>
      </c>
    </row>
    <row r="27">
      <c r="A27" s="66" t="inlineStr">
        <is>
          <t>12-month total return on consensus FY2027 EPS (base weights)</t>
        </is>
      </c>
      <c r="B27" s="118">
        <f>Valuation!E64*(1+Valuation!B7)/Valuation!B11-1</f>
        <v/>
      </c>
    </row>
    <row r="28">
      <c r="A28" s="66" t="inlineStr">
        <is>
          <t>Share of the gap to price supplied by Method 2 (forward P/E)</t>
        </is>
      </c>
      <c r="B28" s="119">
        <f>Valuation!D37*(Valuation!B37-Valuation!B11)/(Valuation!B40-Valuation!B11)</f>
        <v/>
      </c>
    </row>
    <row r="29">
      <c r="A29" s="66" t="inlineStr">
        <is>
          <t>Share of the gap to price supplied by Method 3 (EV/EBITDA)</t>
        </is>
      </c>
      <c r="B29" s="119">
        <f>Valuation!D38*(Valuation!B38-Valuation!B11)/(Valuation!B40-Valuation!B11)</f>
        <v/>
      </c>
    </row>
    <row r="30">
      <c r="A30" s="66" t="inlineStr">
        <is>
          <t>Share of the gap to price supplied by Method 4 (own P/E, Oct-2023 window; 0% weight)</t>
        </is>
      </c>
      <c r="B30" s="119">
        <f>Valuation!D39*(Valuation!B39-Valuation!B11)/(Valuation!B40-Valuation!B11)</f>
        <v/>
      </c>
    </row>
    <row r="31">
      <c r="A31" s="66" t="inlineStr">
        <is>
          <t>Fair value vs the base grid cell (must be 0 at base weights)</t>
        </is>
      </c>
      <c r="B31" s="118">
        <f>Valuation!B40/Valuation!B64-1</f>
        <v/>
      </c>
    </row>
    <row r="32">
      <c r="A32" s="66" t="inlineStr">
        <is>
          <t>Forward P/E on FY2028E EPS at which the 12-month total return is zero (x)</t>
        </is>
      </c>
      <c r="B32" s="79">
        <f>(Valuation!B11-Overview!B12)/Forecast!D22</f>
        <v/>
      </c>
    </row>
    <row r="33">
      <c r="A33" s="66" t="inlineStr">
        <is>
          <t xml:space="preserve">  vs Costco's forward P/E today on our FY2027E EPS (same basis)</t>
        </is>
      </c>
      <c r="B33" s="118">
        <f>B32/(Valuation!B11/Valuation!B13)-1</f>
        <v/>
      </c>
    </row>
    <row r="34">
      <c r="A34" s="66" t="inlineStr">
        <is>
          <t>Walmart P/E on its fiscal year to Jan-2027 (consensus EPS $2.89, stockanalysis; price 16-Oct-2026) (x)</t>
        </is>
      </c>
      <c r="B34" s="120">
        <f>'Peers &amp; Street'!F89/2.89</f>
        <v/>
      </c>
    </row>
    <row r="35">
      <c r="A35" s="66" t="inlineStr">
        <is>
          <t>Method 2 with Walmart on that basis ($) — no effect while 100% of the premium is kept</t>
        </is>
      </c>
      <c r="B35" s="121">
        <f>(B34+Valuation!B17*(Valuation!B23-B34))*Valuation!B13</f>
        <v/>
      </c>
    </row>
    <row r="36">
      <c r="A36" s="66" t="inlineStr">
        <is>
          <t>Blended fair value with Walmart on that basis ($) — unchanged by construction at 100% kept</t>
        </is>
      </c>
      <c r="B36" s="121">
        <f>Valuation!D36*Valuation!B36+Valuation!D37*B35+Valuation!D38*Valuation!B38+Valuation!D39*Valuation!B39</f>
        <v/>
      </c>
    </row>
    <row r="37">
      <c r="A37" s="66" t="inlineStr">
        <is>
          <t xml:space="preserve">  total return</t>
        </is>
      </c>
      <c r="B37" s="118">
        <f>B36/Valuation!B11-1+Valuation!B16</f>
        <v/>
      </c>
    </row>
    <row r="38">
      <c r="A38" s="66" t="inlineStr">
        <is>
          <t>Method 3 on recurring (ex tariff refund) EBITDA ($)</t>
        </is>
      </c>
      <c r="B38" s="74">
        <f>(Valuation!B30*Forecast!B26+Valuation!B15)/Valuation!B12</f>
        <v/>
      </c>
    </row>
    <row r="39">
      <c r="A39" s="66" t="inlineStr">
        <is>
          <t>Today's multiples alone (100% premium kept, our EPS, 0% DCF): total return</t>
        </is>
      </c>
      <c r="B39" s="118">
        <f>Valuation!B64/Valuation!B11-1+Valuation!B16</f>
        <v/>
      </c>
    </row>
    <row r="41">
      <c r="A41" s="100" t="inlineStr">
        <is>
          <t>WHY HOLD — the analyst override in Valuation!D44 (band rating REDUCE). One reason: the shortfall is smaller than our EPS gap to consensus</t>
        </is>
      </c>
    </row>
    <row r="42">
      <c r="A42" t="inlineStr">
        <is>
          <t>Total return, spot basis, on consensus FY2027 EPS (base weights)</t>
        </is>
      </c>
      <c r="B42" s="101">
        <f>Valuation!E64/Valuation!B11-1+Valuation!B16</f>
        <v/>
      </c>
    </row>
    <row r="43">
      <c r="A43" t="inlineStr">
        <is>
          <t>Total return, 12-month basis (Valuation row 46) — reference only, not a reason: a stock at fair value returns the cost of equity on this basis</t>
        </is>
      </c>
      <c r="B43" s="101">
        <f>Valuation!B46</f>
        <v/>
      </c>
    </row>
    <row r="44">
      <c r="A44" t="inlineStr">
        <is>
          <t>Rating the 12-month basis would earn — reference only</t>
        </is>
      </c>
      <c r="B44" s="122">
        <f>IF(B43&gt;Valuation!B7,"BUY",IF(B43&gt;Valuation!B8,"ACCUMULATE",IF(B43&gt;0,"HOLD","REDUCE")))</f>
        <v/>
      </c>
    </row>
    <row r="45">
      <c r="A45" t="inlineStr">
        <is>
          <t>FY2027 EPS at which the RATING-basis total return reaches zero ($) — HOLD needs more than this</t>
        </is>
      </c>
      <c r="B45" s="123">
        <f>(Valuation!B11*(1-Valuation!B16)-(Valuation!D36*Valuation!B36+Valuation!D38*Valuation!B38+Valuation!D39*Valuation!B39))/(Valuation!D37*Valuation!B24)</f>
        <v/>
      </c>
      <c r="C45">
        <f>IF(ABS(Valuation!D36*Valuation!B36+Valuation!D37*Valuation!B24*B45+Valuation!D38*Valuation!B38+Valuation!D39*Valuation!B39-Valuation!B11*(1-Valuation!B16))&lt;0.01,"PASS","FAIL")</f>
        <v/>
      </c>
    </row>
    <row r="46">
      <c r="A46" t="inlineStr">
        <is>
          <t xml:space="preserve">  EPS break-even vs our FY2027E EPS (consensus sits above both)</t>
        </is>
      </c>
      <c r="B46" s="124">
        <f>B45/Valuation!B13-1</f>
        <v/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76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3" customWidth="1" min="2" max="29"/>
  </cols>
  <sheetData>
    <row r="1" ht="19" customHeight="1">
      <c r="A1" s="1" t="inlineStr">
        <is>
          <t>Scenarios — Bear / Base / Bull, each a full re-computation of all three methods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Base = every driver with zero deltas; must equal the blended fair value (checked on Valuation).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37" t="inlineStr">
        <is>
          <t>Bear</t>
        </is>
      </c>
      <c r="D4" s="37" t="inlineStr">
        <is>
          <t>Base</t>
        </is>
      </c>
      <c r="E4" s="37" t="inlineStr">
        <is>
          <t>Bull</t>
        </is>
      </c>
      <c r="F4" s="4" t="n"/>
      <c r="G4" s="4" t="n"/>
      <c r="H4" s="4" t="n"/>
      <c r="I4" s="4" t="n"/>
      <c r="J4" s="4" t="n"/>
      <c r="K4" s="4" t="n"/>
      <c r="L4" s="4" t="n"/>
    </row>
    <row r="5">
      <c r="A5" s="7" t="inlineStr">
        <is>
          <t>Net sales growth delta, every year (pp)</t>
        </is>
      </c>
      <c r="B5" s="4" t="n"/>
      <c r="C5" s="19" t="n">
        <v>-0.015</v>
      </c>
      <c r="D5" s="19" t="n">
        <v>0</v>
      </c>
      <c r="E5" s="19" t="n">
        <v>0.015</v>
      </c>
      <c r="F5" s="4" t="n"/>
      <c r="G5" s="4" t="n"/>
      <c r="H5" s="4" t="n"/>
      <c r="I5" s="4" t="n"/>
      <c r="J5" s="4" t="n"/>
      <c r="K5" s="4" t="n"/>
      <c r="L5" s="4" t="n"/>
    </row>
    <row r="6">
      <c r="A6" s="7" t="inlineStr">
        <is>
          <t>Membership fee growth delta, every year (pp)</t>
        </is>
      </c>
      <c r="B6" s="4" t="n"/>
      <c r="C6" s="19" t="n">
        <v>-0.01</v>
      </c>
      <c r="D6" s="19" t="n">
        <v>0</v>
      </c>
      <c r="E6" s="19" t="n">
        <v>0.01</v>
      </c>
      <c r="F6" s="4" t="n"/>
      <c r="G6" s="4" t="n"/>
      <c r="H6" s="4" t="n"/>
      <c r="I6" s="4" t="n"/>
      <c r="J6" s="4" t="n"/>
      <c r="K6" s="4" t="n"/>
      <c r="L6" s="4" t="n"/>
    </row>
    <row r="7">
      <c r="A7" s="7" t="inlineStr">
        <is>
          <t>Merchandise margin step multiplier (× the base step, every year)</t>
        </is>
      </c>
      <c r="B7" s="4" t="n"/>
      <c r="C7" s="72" t="n">
        <v>0.5</v>
      </c>
      <c r="D7" s="72" t="n">
        <v>1</v>
      </c>
      <c r="E7" s="72" t="n">
        <v>1.5</v>
      </c>
      <c r="F7" s="4" t="n"/>
      <c r="G7" s="4" t="n"/>
      <c r="H7" s="4" t="n"/>
      <c r="I7" s="4" t="n"/>
      <c r="J7" s="4" t="n"/>
      <c r="K7" s="4" t="n"/>
      <c r="L7" s="4" t="n"/>
    </row>
    <row r="8">
      <c r="A8" s="7" t="inlineStr">
        <is>
          <t>WACC delta (pp)</t>
        </is>
      </c>
      <c r="B8" s="4" t="n"/>
      <c r="C8" s="19" t="n">
        <v>0.005</v>
      </c>
      <c r="D8" s="19" t="n">
        <v>0</v>
      </c>
      <c r="E8" s="19" t="n">
        <v>-0.005</v>
      </c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Terminal growth</t>
        </is>
      </c>
      <c r="B9" s="4" t="n"/>
      <c r="C9" s="19" t="n">
        <v>0.035</v>
      </c>
      <c r="D9" s="31">
        <f>DCF!B25</f>
        <v/>
      </c>
      <c r="E9" s="19" t="n">
        <v>0.045</v>
      </c>
      <c r="F9" s="4" t="n"/>
      <c r="G9" s="4" t="n"/>
      <c r="H9" s="4" t="n"/>
      <c r="I9" s="4" t="n"/>
      <c r="J9" s="4" t="n"/>
      <c r="K9" s="4" t="n"/>
      <c r="L9" s="4" t="n"/>
    </row>
    <row r="10">
      <c r="A10" s="7" t="inlineStr">
        <is>
          <t>Forward P/E applied (x)</t>
        </is>
      </c>
      <c r="B10" s="4" t="n"/>
      <c r="C10" s="20">
        <f>Valuation!B22</f>
        <v/>
      </c>
      <c r="D10" s="20">
        <f>Valuation!B22+Valuation!B17*('Peers &amp; Street'!F5-Valuation!B22)</f>
        <v/>
      </c>
      <c r="E10" s="20">
        <f>'Peers &amp; Street'!F5</f>
        <v/>
      </c>
      <c r="F10" s="4" t="n"/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EV/EBITDA applied (x)</t>
        </is>
      </c>
      <c r="B11" s="4" t="n"/>
      <c r="C11" s="20">
        <f>Valuation!B29</f>
        <v/>
      </c>
      <c r="D11" s="20">
        <f>Valuation!B29+Valuation!B17*('Peers &amp; Street'!G5-Valuation!B29)</f>
        <v/>
      </c>
      <c r="E11" s="20">
        <f>'Peers &amp; Street'!G5</f>
        <v/>
      </c>
      <c r="F11" s="4" t="n"/>
      <c r="G11" s="4" t="n"/>
      <c r="H11" s="4" t="n"/>
      <c r="I11" s="4" t="n"/>
      <c r="J11" s="4" t="n"/>
      <c r="K11" s="4" t="n"/>
      <c r="L11" s="4" t="n"/>
    </row>
    <row r="12">
      <c r="A12" s="3" t="inlineStr">
        <is>
          <t>Bear: sales −1.5pp, fees −1pp, margin steps halved, WACC +0.5pp, g 3.5%, Walmart multiples, own P/E at its 5-yr low. Bull: the reverse, with today's multiples.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Costco's own trailing P/E applied (x) — bear: 5-yr year-end low; base: Oct-2023 window (0% weight); bull: today's</t>
        </is>
      </c>
      <c r="B13" s="4" t="n"/>
      <c r="C13" s="20">
        <f>'Peers &amp; Street'!B74</f>
        <v/>
      </c>
      <c r="D13" s="20">
        <f>'Peers &amp; Street'!B91</f>
        <v/>
      </c>
      <c r="E13" s="20">
        <f>Overview!B19</f>
        <v/>
      </c>
      <c r="F13" s="4" t="n"/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WACC</t>
        </is>
      </c>
      <c r="B14" s="4" t="n"/>
      <c r="C14" s="31">
        <f>DCF!B14+C8</f>
        <v/>
      </c>
      <c r="D14" s="31">
        <f>DCF!B14+D8</f>
        <v/>
      </c>
      <c r="E14" s="31">
        <f>DCF!B14+E8</f>
        <v/>
      </c>
      <c r="F14" s="4" t="n"/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Sum of PV, FY2027E–FY2036E ($m)</t>
        </is>
      </c>
      <c r="B15" s="4" t="n"/>
      <c r="C15" s="11">
        <f>SUM(C44:L44)</f>
        <v/>
      </c>
      <c r="D15" s="11">
        <f>SUM(C60:L60)</f>
        <v/>
      </c>
      <c r="E15" s="11">
        <f>SUM(C76:L76)</f>
        <v/>
      </c>
      <c r="F15" s="4" t="n"/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Terminal value ($m)</t>
        </is>
      </c>
      <c r="B16" s="4" t="n"/>
      <c r="C16" s="39">
        <f>L38*(1+C9)*(1-C9/DCF!B26)/(C14-C9)</f>
        <v/>
      </c>
      <c r="D16" s="39">
        <f>L54*(1+D9)*(1-D9/DCF!B26)/(D14-D9)</f>
        <v/>
      </c>
      <c r="E16" s="39">
        <f>L70*(1+E9)*(1-E9/DCF!B26)/(E14-E9)</f>
        <v/>
      </c>
      <c r="F16" s="4" t="n"/>
      <c r="G16" s="4" t="n"/>
      <c r="H16" s="4" t="n"/>
      <c r="I16" s="4" t="n"/>
      <c r="J16" s="4" t="n"/>
      <c r="K16" s="4" t="n"/>
      <c r="L16" s="4" t="n"/>
    </row>
    <row r="17">
      <c r="A17" s="7" t="inlineStr">
        <is>
          <t>PV of terminal value ($m)</t>
        </is>
      </c>
      <c r="B17" s="4" t="n"/>
      <c r="C17" s="39">
        <f>C16/(1+C14)^DCF!B31</f>
        <v/>
      </c>
      <c r="D17" s="39">
        <f>D16/(1+D14)^DCF!B31</f>
        <v/>
      </c>
      <c r="E17" s="39">
        <f>E16/(1+E14)^DCF!B31</f>
        <v/>
      </c>
      <c r="F17" s="4" t="n"/>
      <c r="G17" s="4" t="n"/>
      <c r="H17" s="4" t="n"/>
      <c r="I17" s="4" t="n"/>
      <c r="J17" s="4" t="n"/>
      <c r="K17" s="4" t="n"/>
      <c r="L17" s="4" t="n"/>
    </row>
    <row r="18">
      <c r="A18" s="7" t="inlineStr">
        <is>
          <t>Equity value ($m)</t>
        </is>
      </c>
      <c r="B18" s="4" t="n"/>
      <c r="C18" s="39">
        <f>C15+C17+DCF!B36+DCF!B37</f>
        <v/>
      </c>
      <c r="D18" s="39">
        <f>D15+D17+DCF!B36+DCF!B37</f>
        <v/>
      </c>
      <c r="E18" s="39">
        <f>E15+E17+DCF!B36+DCF!B37</f>
        <v/>
      </c>
      <c r="F18" s="4" t="n"/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Method 1 — DCF per share ($)</t>
        </is>
      </c>
      <c r="B19" s="4" t="n"/>
      <c r="C19" s="32">
        <f>C18/Valuation!B12</f>
        <v/>
      </c>
      <c r="D19" s="32">
        <f>D18/Valuation!B12</f>
        <v/>
      </c>
      <c r="E19" s="32">
        <f>E18/Valuation!B12</f>
        <v/>
      </c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FY2027E EPS ($)</t>
        </is>
      </c>
      <c r="B20" s="4" t="n"/>
      <c r="C20" s="32">
        <f>(C37+Forecast!C16+Forecast!C17)*(1-Forecast!C19)/Forecast!C21</f>
        <v/>
      </c>
      <c r="D20" s="32">
        <f>(C53+Forecast!C16+Forecast!C17)*(1-Forecast!C19)/Forecast!C21</f>
        <v/>
      </c>
      <c r="E20" s="32">
        <f>(C69+Forecast!C16+Forecast!C17)*(1-Forecast!C19)/Forecast!C21</f>
        <v/>
      </c>
      <c r="F20" s="4" t="n"/>
      <c r="G20" s="4" t="n"/>
      <c r="H20" s="4" t="n"/>
      <c r="I20" s="4" t="n"/>
      <c r="J20" s="4" t="n"/>
      <c r="K20" s="4" t="n"/>
      <c r="L20" s="4" t="n"/>
    </row>
    <row r="21">
      <c r="A21" s="7" t="inlineStr">
        <is>
          <t>Method 2 — P/E per share ($)</t>
        </is>
      </c>
      <c r="B21" s="4" t="n"/>
      <c r="C21" s="15">
        <f>C10*C20</f>
        <v/>
      </c>
      <c r="D21" s="15">
        <f>D10*D20</f>
        <v/>
      </c>
      <c r="E21" s="15">
        <f>E10*E20</f>
        <v/>
      </c>
      <c r="F21" s="4" t="n"/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FY2026 EBITDA, reported ($m) — Costco multiple on this same basis</t>
        </is>
      </c>
      <c r="B22" s="4" t="n"/>
      <c r="C22" s="39">
        <f>'Income Statement'!F9+'Cash Flow'!F5</f>
        <v/>
      </c>
      <c r="D22" s="39">
        <f>'Income Statement'!F9+'Cash Flow'!F5</f>
        <v/>
      </c>
      <c r="E22" s="39">
        <f>'Income Statement'!F9+'Cash Flow'!F5</f>
        <v/>
      </c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Method 3 — EV/EBITDA per share ($)</t>
        </is>
      </c>
      <c r="B23" s="4" t="n"/>
      <c r="C23" s="32">
        <f>(C11*C22+Valuation!B15)/Valuation!B12</f>
        <v/>
      </c>
      <c r="D23" s="32">
        <f>(D11*D22+Valuation!B15)/Valuation!B12</f>
        <v/>
      </c>
      <c r="E23" s="32">
        <f>(E11*E22+Valuation!B15)/Valuation!B12</f>
        <v/>
      </c>
      <c r="F23" s="4" t="n"/>
      <c r="G23" s="4" t="n"/>
      <c r="H23" s="4" t="n"/>
      <c r="I23" s="4" t="n"/>
      <c r="J23" s="4" t="n"/>
      <c r="K23" s="4" t="n"/>
      <c r="L23" s="4" t="n"/>
    </row>
    <row r="24">
      <c r="A24" s="8" t="inlineStr">
        <is>
          <t>Blended fair value ($)</t>
        </is>
      </c>
      <c r="B24" s="4" t="n"/>
      <c r="C24" s="32">
        <f>Valuation!$D$36*C19+Valuation!$D$37*C21+Valuation!$D$38*C23+Valuation!$D$39*C28</f>
        <v/>
      </c>
      <c r="D24" s="32">
        <f>Valuation!$D$36*D19+Valuation!$D$37*D21+Valuation!$D$38*D23+Valuation!$D$39*D28</f>
        <v/>
      </c>
      <c r="E24" s="32">
        <f>Valuation!$D$36*E19+Valuation!$D$37*E21+Valuation!$D$38*E23+Valuation!$D$39*E28</f>
        <v/>
      </c>
      <c r="F24" s="4" t="n"/>
      <c r="G24" s="4" t="n"/>
      <c r="H24" s="4" t="n"/>
      <c r="I24" s="4" t="n"/>
      <c r="J24" s="4" t="n"/>
      <c r="K24" s="4" t="n"/>
      <c r="L24" s="4" t="n"/>
    </row>
    <row r="25">
      <c r="A25" s="8" t="inlineStr">
        <is>
          <t>Upside / (downside)</t>
        </is>
      </c>
      <c r="B25" s="4" t="n"/>
      <c r="C25" s="30">
        <f>C24/Valuation!$B$11-1</f>
        <v/>
      </c>
      <c r="D25" s="30">
        <f>D24/Valuation!$B$11-1</f>
        <v/>
      </c>
      <c r="E25" s="30">
        <f>E24/Valuation!$B$11-1</f>
        <v/>
      </c>
      <c r="F25" s="4" t="n"/>
      <c r="G25" s="4" t="n"/>
      <c r="H25" s="4" t="n"/>
      <c r="I25" s="4" t="n"/>
      <c r="J25" s="4" t="n"/>
      <c r="K25" s="4" t="n"/>
      <c r="L25" s="4" t="n"/>
    </row>
    <row r="26">
      <c r="A26" s="8" t="inlineStr">
        <is>
          <t>Total expected return</t>
        </is>
      </c>
      <c r="B26" s="4" t="n"/>
      <c r="C26" s="38">
        <f>C25+Valuation!$B$16</f>
        <v/>
      </c>
      <c r="D26" s="38">
        <f>D25+Valuation!$B$16</f>
        <v/>
      </c>
      <c r="E26" s="38">
        <f>E25+Valuation!$B$16</f>
        <v/>
      </c>
      <c r="F26" s="4" t="n"/>
      <c r="G26" s="4" t="n"/>
      <c r="H26" s="4" t="n"/>
      <c r="I26" s="4" t="n"/>
      <c r="J26" s="4" t="n"/>
      <c r="K26" s="4" t="n"/>
      <c r="L26" s="4" t="n"/>
    </row>
    <row r="27">
      <c r="A27" s="8" t="inlineStr">
        <is>
          <t>Rating (Base carries the published rating, Valuation!B44, incl. analyst override; Bear/Bull are band ratings)</t>
        </is>
      </c>
      <c r="B27" s="4" t="n"/>
      <c r="C27" s="28">
        <f>IF(C26&gt;Valuation!$B$7,"BUY",IF(C26&gt;Valuation!$B$8,"ACCUMULATE",IF(C26&gt;0,"HOLD","REDUCE")))</f>
        <v/>
      </c>
      <c r="D27" s="28">
        <f>Valuation!B44</f>
        <v/>
      </c>
      <c r="E27" s="28">
        <f>IF(E26&gt;Valuation!$B$7,"BUY",IF(E26&gt;Valuation!$B$8,"ACCUMULATE",IF(E26&gt;0,"HOLD","REDUCE")))</f>
        <v/>
      </c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Method 4 — own trailing P/E per share ($)</t>
        </is>
      </c>
      <c r="B28" s="4" t="n"/>
      <c r="C28" s="32">
        <f>C13*'Income Statement'!$F$27</f>
        <v/>
      </c>
      <c r="D28" s="32">
        <f>D13*'Income Statement'!$F$27</f>
        <v/>
      </c>
      <c r="E28" s="32">
        <f>E13*'Income Statement'!$F$27</f>
        <v/>
      </c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5" t="inlineStr">
        <is>
          <t>BEAR — yearly re-computation ($m)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4" t="n"/>
      <c r="B31" s="33" t="inlineStr">
        <is>
          <t>FY2026A</t>
        </is>
      </c>
      <c r="C31" s="33" t="inlineStr">
        <is>
          <t>FY2027E</t>
        </is>
      </c>
      <c r="D31" s="33" t="inlineStr">
        <is>
          <t>FY2028E</t>
        </is>
      </c>
      <c r="E31" s="33" t="inlineStr">
        <is>
          <t>FY2029E</t>
        </is>
      </c>
      <c r="F31" s="33" t="inlineStr">
        <is>
          <t>FY2030E</t>
        </is>
      </c>
      <c r="G31" s="33" t="inlineStr">
        <is>
          <t>FY2031E</t>
        </is>
      </c>
      <c r="H31" s="33" t="inlineStr">
        <is>
          <t>FY2032E</t>
        </is>
      </c>
      <c r="I31" s="33" t="inlineStr">
        <is>
          <t>FY2033E</t>
        </is>
      </c>
      <c r="J31" s="33" t="inlineStr">
        <is>
          <t>FY2034E</t>
        </is>
      </c>
      <c r="K31" s="33" t="inlineStr">
        <is>
          <t>FY2035E</t>
        </is>
      </c>
      <c r="L31" s="33" t="inlineStr">
        <is>
          <t>FY2036E</t>
        </is>
      </c>
    </row>
    <row r="32">
      <c r="A32" s="7" t="inlineStr">
        <is>
          <t>Net sales growth</t>
        </is>
      </c>
      <c r="B32" s="4" t="n"/>
      <c r="C32" s="31">
        <f>Forecast!C4+$C$5</f>
        <v/>
      </c>
      <c r="D32" s="31">
        <f>Forecast!D4+$C$5</f>
        <v/>
      </c>
      <c r="E32" s="31">
        <f>Forecast!E4+$C$5</f>
        <v/>
      </c>
      <c r="F32" s="31">
        <f>Forecast!F4+$C$5</f>
        <v/>
      </c>
      <c r="G32" s="31">
        <f>Forecast!G4+$C$5</f>
        <v/>
      </c>
      <c r="H32" s="31">
        <f>Forecast!H4+$C$5</f>
        <v/>
      </c>
      <c r="I32" s="31">
        <f>Forecast!I4+$C$5</f>
        <v/>
      </c>
      <c r="J32" s="31">
        <f>Forecast!J4+$C$5</f>
        <v/>
      </c>
      <c r="K32" s="31">
        <f>Forecast!K4+$C$5</f>
        <v/>
      </c>
      <c r="L32" s="31">
        <f>Forecast!L4+$C$5</f>
        <v/>
      </c>
    </row>
    <row r="33">
      <c r="A33" s="7" t="inlineStr">
        <is>
          <t>Net sales</t>
        </is>
      </c>
      <c r="B33" s="39">
        <f>Forecast!B5</f>
        <v/>
      </c>
      <c r="C33" s="11">
        <f>B33*(1+C32)</f>
        <v/>
      </c>
      <c r="D33" s="11">
        <f>C33*(1+D32)</f>
        <v/>
      </c>
      <c r="E33" s="11">
        <f>D33*(1+E32)</f>
        <v/>
      </c>
      <c r="F33" s="11">
        <f>E33*(1+F32)</f>
        <v/>
      </c>
      <c r="G33" s="11">
        <f>F33*(1+G32)</f>
        <v/>
      </c>
      <c r="H33" s="11">
        <f>G33*(1+H32)</f>
        <v/>
      </c>
      <c r="I33" s="11">
        <f>H33*(1+I32)</f>
        <v/>
      </c>
      <c r="J33" s="11">
        <f>I33*(1+J32)</f>
        <v/>
      </c>
      <c r="K33" s="11">
        <f>J33*(1+K32)</f>
        <v/>
      </c>
      <c r="L33" s="11">
        <f>K33*(1+L32)</f>
        <v/>
      </c>
    </row>
    <row r="34">
      <c r="A34" s="7" t="inlineStr">
        <is>
          <t>Membership fee growth</t>
        </is>
      </c>
      <c r="B34" s="4" t="n"/>
      <c r="C34" s="31">
        <f>Forecast!C6+$C$6</f>
        <v/>
      </c>
      <c r="D34" s="31">
        <f>Forecast!D6+$C$6</f>
        <v/>
      </c>
      <c r="E34" s="31">
        <f>Forecast!E6+$C$6</f>
        <v/>
      </c>
      <c r="F34" s="31">
        <f>Forecast!F6+$C$6</f>
        <v/>
      </c>
      <c r="G34" s="31">
        <f>Forecast!G6+$C$6</f>
        <v/>
      </c>
      <c r="H34" s="31">
        <f>Forecast!H6+$C$6</f>
        <v/>
      </c>
      <c r="I34" s="31">
        <f>Forecast!I6+$C$6</f>
        <v/>
      </c>
      <c r="J34" s="31">
        <f>Forecast!J6+$C$6</f>
        <v/>
      </c>
      <c r="K34" s="31">
        <f>Forecast!K6+$C$6</f>
        <v/>
      </c>
      <c r="L34" s="31">
        <f>Forecast!L6+$C$6</f>
        <v/>
      </c>
    </row>
    <row r="35">
      <c r="A35" s="7" t="inlineStr">
        <is>
          <t>Membership fees</t>
        </is>
      </c>
      <c r="B35" s="39">
        <f>Forecast!B7</f>
        <v/>
      </c>
      <c r="C35" s="11">
        <f>B35*(1+C34)</f>
        <v/>
      </c>
      <c r="D35" s="11">
        <f>C35*(1+D34)</f>
        <v/>
      </c>
      <c r="E35" s="11">
        <f>D35*(1+E34)</f>
        <v/>
      </c>
      <c r="F35" s="11">
        <f>E35*(1+F34)</f>
        <v/>
      </c>
      <c r="G35" s="11">
        <f>F35*(1+G34)</f>
        <v/>
      </c>
      <c r="H35" s="11">
        <f>G35*(1+H34)</f>
        <v/>
      </c>
      <c r="I35" s="11">
        <f>H35*(1+I34)</f>
        <v/>
      </c>
      <c r="J35" s="11">
        <f>I35*(1+J34)</f>
        <v/>
      </c>
      <c r="K35" s="11">
        <f>J35*(1+K34)</f>
        <v/>
      </c>
      <c r="L35" s="11">
        <f>K35*(1+L34)</f>
        <v/>
      </c>
    </row>
    <row r="36">
      <c r="A36" s="7" t="inlineStr">
        <is>
          <t>Merchandise margin</t>
        </is>
      </c>
      <c r="B36" s="40">
        <f>Forecast!B10</f>
        <v/>
      </c>
      <c r="C36" s="40">
        <f>B36+Forecast!C9*$C$7</f>
        <v/>
      </c>
      <c r="D36" s="40">
        <f>C36+Forecast!D9*$C$7</f>
        <v/>
      </c>
      <c r="E36" s="40">
        <f>D36+Forecast!E9*$C$7</f>
        <v/>
      </c>
      <c r="F36" s="40">
        <f>E36+Forecast!F9*$C$7</f>
        <v/>
      </c>
      <c r="G36" s="40">
        <f>F36+Forecast!G9*$C$7</f>
        <v/>
      </c>
      <c r="H36" s="40">
        <f>G36+Forecast!H9*$C$7</f>
        <v/>
      </c>
      <c r="I36" s="40">
        <f>H36+Forecast!I9*$C$7</f>
        <v/>
      </c>
      <c r="J36" s="40">
        <f>I36+Forecast!J9*$C$7</f>
        <v/>
      </c>
      <c r="K36" s="40">
        <f>J36+Forecast!K9*$C$7</f>
        <v/>
      </c>
      <c r="L36" s="40">
        <f>K36+Forecast!L9*$C$7</f>
        <v/>
      </c>
    </row>
    <row r="37">
      <c r="A37" s="7" t="inlineStr">
        <is>
          <t>Operating income</t>
        </is>
      </c>
      <c r="B37" s="4" t="n"/>
      <c r="C37" s="11">
        <f>C33*C36+C35</f>
        <v/>
      </c>
      <c r="D37" s="11">
        <f>D33*D36+D35</f>
        <v/>
      </c>
      <c r="E37" s="11">
        <f>E33*E36+E35</f>
        <v/>
      </c>
      <c r="F37" s="11">
        <f>F33*F36+F35</f>
        <v/>
      </c>
      <c r="G37" s="11">
        <f>G33*G36+G35</f>
        <v/>
      </c>
      <c r="H37" s="11">
        <f>H33*H36+H35</f>
        <v/>
      </c>
      <c r="I37" s="11">
        <f>I33*I36+I35</f>
        <v/>
      </c>
      <c r="J37" s="11">
        <f>J33*J36+J35</f>
        <v/>
      </c>
      <c r="K37" s="11">
        <f>K33*K36+K35</f>
        <v/>
      </c>
      <c r="L37" s="11">
        <f>L33*L36+L35</f>
        <v/>
      </c>
    </row>
    <row r="38">
      <c r="A38" s="7" t="inlineStr">
        <is>
          <t>NOPAT</t>
        </is>
      </c>
      <c r="B38" s="4" t="n"/>
      <c r="C38" s="39">
        <f>C37*(1-Forecast!C19)</f>
        <v/>
      </c>
      <c r="D38" s="39">
        <f>D37*(1-Forecast!D19)</f>
        <v/>
      </c>
      <c r="E38" s="39">
        <f>E37*(1-Forecast!E19)</f>
        <v/>
      </c>
      <c r="F38" s="39">
        <f>F37*(1-Forecast!F19)</f>
        <v/>
      </c>
      <c r="G38" s="39">
        <f>G37*(1-Forecast!G19)</f>
        <v/>
      </c>
      <c r="H38" s="39">
        <f>H37*(1-Forecast!H19)</f>
        <v/>
      </c>
      <c r="I38" s="39">
        <f>I37*(1-Forecast!I19)</f>
        <v/>
      </c>
      <c r="J38" s="39">
        <f>J37*(1-Forecast!J19)</f>
        <v/>
      </c>
      <c r="K38" s="39">
        <f>K37*(1-Forecast!K19)</f>
        <v/>
      </c>
      <c r="L38" s="39">
        <f>L37*(1-Forecast!L19)</f>
        <v/>
      </c>
    </row>
    <row r="39">
      <c r="A39" s="7" t="inlineStr">
        <is>
          <t>D&amp;A</t>
        </is>
      </c>
      <c r="B39" s="4" t="n"/>
      <c r="C39" s="39">
        <f>C33*Forecast!C24</f>
        <v/>
      </c>
      <c r="D39" s="39">
        <f>D33*Forecast!D24</f>
        <v/>
      </c>
      <c r="E39" s="39">
        <f>E33*Forecast!E24</f>
        <v/>
      </c>
      <c r="F39" s="39">
        <f>F33*Forecast!F24</f>
        <v/>
      </c>
      <c r="G39" s="39">
        <f>G33*Forecast!G24</f>
        <v/>
      </c>
      <c r="H39" s="39">
        <f>H33*Forecast!H24</f>
        <v/>
      </c>
      <c r="I39" s="39">
        <f>I33*Forecast!I24</f>
        <v/>
      </c>
      <c r="J39" s="39">
        <f>J33*Forecast!J24</f>
        <v/>
      </c>
      <c r="K39" s="39">
        <f>K33*Forecast!K24</f>
        <v/>
      </c>
      <c r="L39" s="39">
        <f>L33*Forecast!L24</f>
        <v/>
      </c>
    </row>
    <row r="40">
      <c r="A40" s="7" t="inlineStr">
        <is>
          <t>Capex</t>
        </is>
      </c>
      <c r="B40" s="4" t="n"/>
      <c r="C40" s="39">
        <f>C33*Forecast!C27</f>
        <v/>
      </c>
      <c r="D40" s="39">
        <f>D33*Forecast!D27</f>
        <v/>
      </c>
      <c r="E40" s="39">
        <f>E33*Forecast!E27</f>
        <v/>
      </c>
      <c r="F40" s="39">
        <f>F33*Forecast!F27</f>
        <v/>
      </c>
      <c r="G40" s="39">
        <f>G33*Forecast!G27</f>
        <v/>
      </c>
      <c r="H40" s="39">
        <f>H33*Forecast!H27</f>
        <v/>
      </c>
      <c r="I40" s="39">
        <f>I33*Forecast!I27</f>
        <v/>
      </c>
      <c r="J40" s="39">
        <f>J33*Forecast!J27</f>
        <v/>
      </c>
      <c r="K40" s="39">
        <f>K33*Forecast!K27</f>
        <v/>
      </c>
      <c r="L40" s="39">
        <f>L33*Forecast!L27</f>
        <v/>
      </c>
    </row>
    <row r="41">
      <c r="A41" s="7" t="inlineStr">
        <is>
          <t>Operating NWC</t>
        </is>
      </c>
      <c r="B41" s="39">
        <f>Forecast!B30</f>
        <v/>
      </c>
      <c r="C41" s="39">
        <f>C33*Forecast!C29</f>
        <v/>
      </c>
      <c r="D41" s="39">
        <f>D33*Forecast!D29</f>
        <v/>
      </c>
      <c r="E41" s="39">
        <f>E33*Forecast!E29</f>
        <v/>
      </c>
      <c r="F41" s="39">
        <f>F33*Forecast!F29</f>
        <v/>
      </c>
      <c r="G41" s="39">
        <f>G33*Forecast!G29</f>
        <v/>
      </c>
      <c r="H41" s="39">
        <f>H33*Forecast!H29</f>
        <v/>
      </c>
      <c r="I41" s="39">
        <f>I33*Forecast!I29</f>
        <v/>
      </c>
      <c r="J41" s="39">
        <f>J33*Forecast!J29</f>
        <v/>
      </c>
      <c r="K41" s="39">
        <f>K33*Forecast!K29</f>
        <v/>
      </c>
      <c r="L41" s="39">
        <f>L33*Forecast!L29</f>
        <v/>
      </c>
    </row>
    <row r="42">
      <c r="A42" s="7" t="inlineStr">
        <is>
          <t>Cash released by NWC</t>
        </is>
      </c>
      <c r="B42" s="4" t="n"/>
      <c r="C42" s="11">
        <f>-(C41-B41)</f>
        <v/>
      </c>
      <c r="D42" s="11">
        <f>-(D41-C41)</f>
        <v/>
      </c>
      <c r="E42" s="11">
        <f>-(E41-D41)</f>
        <v/>
      </c>
      <c r="F42" s="11">
        <f>-(F41-E41)</f>
        <v/>
      </c>
      <c r="G42" s="11">
        <f>-(G41-F41)</f>
        <v/>
      </c>
      <c r="H42" s="11">
        <f>-(H41-G41)</f>
        <v/>
      </c>
      <c r="I42" s="11">
        <f>-(I41-H41)</f>
        <v/>
      </c>
      <c r="J42" s="11">
        <f>-(J41-I41)</f>
        <v/>
      </c>
      <c r="K42" s="11">
        <f>-(K41-J41)</f>
        <v/>
      </c>
      <c r="L42" s="11">
        <f>-(L41-K41)</f>
        <v/>
      </c>
    </row>
    <row r="43">
      <c r="A43" s="7" t="inlineStr">
        <is>
          <t>FCFF</t>
        </is>
      </c>
      <c r="B43" s="4" t="n"/>
      <c r="C43" s="11">
        <f>C38+C39-C40+C42</f>
        <v/>
      </c>
      <c r="D43" s="11">
        <f>D38+D39-D40+D42</f>
        <v/>
      </c>
      <c r="E43" s="11">
        <f>E38+E39-E40+E42</f>
        <v/>
      </c>
      <c r="F43" s="11">
        <f>F38+F39-F40+F42</f>
        <v/>
      </c>
      <c r="G43" s="11">
        <f>G38+G39-G40+G42</f>
        <v/>
      </c>
      <c r="H43" s="11">
        <f>H38+H39-H40+H42</f>
        <v/>
      </c>
      <c r="I43" s="11">
        <f>I38+I39-I40+I42</f>
        <v/>
      </c>
      <c r="J43" s="11">
        <f>J38+J39-J40+J42</f>
        <v/>
      </c>
      <c r="K43" s="11">
        <f>K38+K39-K40+K42</f>
        <v/>
      </c>
      <c r="L43" s="11">
        <f>L38+L39-L40+L42</f>
        <v/>
      </c>
    </row>
    <row r="44">
      <c r="A44" s="7" t="inlineStr">
        <is>
          <t>PV of FCFF</t>
        </is>
      </c>
      <c r="B44" s="4" t="n"/>
      <c r="C44" s="39">
        <f>C43/(1+C$14)^DCF!C19</f>
        <v/>
      </c>
      <c r="D44" s="39">
        <f>D43/(1+C$14)^DCF!D19</f>
        <v/>
      </c>
      <c r="E44" s="39">
        <f>E43/(1+C$14)^DCF!E19</f>
        <v/>
      </c>
      <c r="F44" s="39">
        <f>F43/(1+C$14)^DCF!F19</f>
        <v/>
      </c>
      <c r="G44" s="39">
        <f>G43/(1+C$14)^DCF!G19</f>
        <v/>
      </c>
      <c r="H44" s="39">
        <f>H43/(1+C$14)^DCF!H19</f>
        <v/>
      </c>
      <c r="I44" s="39">
        <f>I43/(1+C$14)^DCF!I19</f>
        <v/>
      </c>
      <c r="J44" s="39">
        <f>J43/(1+C$14)^DCF!J19</f>
        <v/>
      </c>
      <c r="K44" s="39">
        <f>K43/(1+C$14)^DCF!K19</f>
        <v/>
      </c>
      <c r="L44" s="39">
        <f>L43/(1+C$14)^DCF!L19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5" t="inlineStr">
        <is>
          <t>BASE — yearly re-computation ($m)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4" t="n"/>
      <c r="B47" s="33" t="inlineStr">
        <is>
          <t>FY2026A</t>
        </is>
      </c>
      <c r="C47" s="33" t="inlineStr">
        <is>
          <t>FY2027E</t>
        </is>
      </c>
      <c r="D47" s="33" t="inlineStr">
        <is>
          <t>FY2028E</t>
        </is>
      </c>
      <c r="E47" s="33" t="inlineStr">
        <is>
          <t>FY2029E</t>
        </is>
      </c>
      <c r="F47" s="33" t="inlineStr">
        <is>
          <t>FY2030E</t>
        </is>
      </c>
      <c r="G47" s="33" t="inlineStr">
        <is>
          <t>FY2031E</t>
        </is>
      </c>
      <c r="H47" s="33" t="inlineStr">
        <is>
          <t>FY2032E</t>
        </is>
      </c>
      <c r="I47" s="33" t="inlineStr">
        <is>
          <t>FY2033E</t>
        </is>
      </c>
      <c r="J47" s="33" t="inlineStr">
        <is>
          <t>FY2034E</t>
        </is>
      </c>
      <c r="K47" s="33" t="inlineStr">
        <is>
          <t>FY2035E</t>
        </is>
      </c>
      <c r="L47" s="33" t="inlineStr">
        <is>
          <t>FY2036E</t>
        </is>
      </c>
    </row>
    <row r="48">
      <c r="A48" s="7" t="inlineStr">
        <is>
          <t>Net sales growth</t>
        </is>
      </c>
      <c r="B48" s="4" t="n"/>
      <c r="C48" s="31">
        <f>Forecast!C4+$D$5</f>
        <v/>
      </c>
      <c r="D48" s="31">
        <f>Forecast!D4+$D$5</f>
        <v/>
      </c>
      <c r="E48" s="31">
        <f>Forecast!E4+$D$5</f>
        <v/>
      </c>
      <c r="F48" s="31">
        <f>Forecast!F4+$D$5</f>
        <v/>
      </c>
      <c r="G48" s="31">
        <f>Forecast!G4+$D$5</f>
        <v/>
      </c>
      <c r="H48" s="31">
        <f>Forecast!H4+$D$5</f>
        <v/>
      </c>
      <c r="I48" s="31">
        <f>Forecast!I4+$D$5</f>
        <v/>
      </c>
      <c r="J48" s="31">
        <f>Forecast!J4+$D$5</f>
        <v/>
      </c>
      <c r="K48" s="31">
        <f>Forecast!K4+$D$5</f>
        <v/>
      </c>
      <c r="L48" s="31">
        <f>Forecast!L4+$D$5</f>
        <v/>
      </c>
    </row>
    <row r="49">
      <c r="A49" s="7" t="inlineStr">
        <is>
          <t>Net sales</t>
        </is>
      </c>
      <c r="B49" s="39">
        <f>Forecast!B5</f>
        <v/>
      </c>
      <c r="C49" s="11">
        <f>B49*(1+C48)</f>
        <v/>
      </c>
      <c r="D49" s="11">
        <f>C49*(1+D48)</f>
        <v/>
      </c>
      <c r="E49" s="11">
        <f>D49*(1+E48)</f>
        <v/>
      </c>
      <c r="F49" s="11">
        <f>E49*(1+F48)</f>
        <v/>
      </c>
      <c r="G49" s="11">
        <f>F49*(1+G48)</f>
        <v/>
      </c>
      <c r="H49" s="11">
        <f>G49*(1+H48)</f>
        <v/>
      </c>
      <c r="I49" s="11">
        <f>H49*(1+I48)</f>
        <v/>
      </c>
      <c r="J49" s="11">
        <f>I49*(1+J48)</f>
        <v/>
      </c>
      <c r="K49" s="11">
        <f>J49*(1+K48)</f>
        <v/>
      </c>
      <c r="L49" s="11">
        <f>K49*(1+L48)</f>
        <v/>
      </c>
    </row>
    <row r="50">
      <c r="A50" s="7" t="inlineStr">
        <is>
          <t>Membership fee growth</t>
        </is>
      </c>
      <c r="B50" s="4" t="n"/>
      <c r="C50" s="31">
        <f>Forecast!C6+$D$6</f>
        <v/>
      </c>
      <c r="D50" s="31">
        <f>Forecast!D6+$D$6</f>
        <v/>
      </c>
      <c r="E50" s="31">
        <f>Forecast!E6+$D$6</f>
        <v/>
      </c>
      <c r="F50" s="31">
        <f>Forecast!F6+$D$6</f>
        <v/>
      </c>
      <c r="G50" s="31">
        <f>Forecast!G6+$D$6</f>
        <v/>
      </c>
      <c r="H50" s="31">
        <f>Forecast!H6+$D$6</f>
        <v/>
      </c>
      <c r="I50" s="31">
        <f>Forecast!I6+$D$6</f>
        <v/>
      </c>
      <c r="J50" s="31">
        <f>Forecast!J6+$D$6</f>
        <v/>
      </c>
      <c r="K50" s="31">
        <f>Forecast!K6+$D$6</f>
        <v/>
      </c>
      <c r="L50" s="31">
        <f>Forecast!L6+$D$6</f>
        <v/>
      </c>
    </row>
    <row r="51">
      <c r="A51" s="7" t="inlineStr">
        <is>
          <t>Membership fees</t>
        </is>
      </c>
      <c r="B51" s="39">
        <f>Forecast!B7</f>
        <v/>
      </c>
      <c r="C51" s="11">
        <f>B51*(1+C50)</f>
        <v/>
      </c>
      <c r="D51" s="11">
        <f>C51*(1+D50)</f>
        <v/>
      </c>
      <c r="E51" s="11">
        <f>D51*(1+E50)</f>
        <v/>
      </c>
      <c r="F51" s="11">
        <f>E51*(1+F50)</f>
        <v/>
      </c>
      <c r="G51" s="11">
        <f>F51*(1+G50)</f>
        <v/>
      </c>
      <c r="H51" s="11">
        <f>G51*(1+H50)</f>
        <v/>
      </c>
      <c r="I51" s="11">
        <f>H51*(1+I50)</f>
        <v/>
      </c>
      <c r="J51" s="11">
        <f>I51*(1+J50)</f>
        <v/>
      </c>
      <c r="K51" s="11">
        <f>J51*(1+K50)</f>
        <v/>
      </c>
      <c r="L51" s="11">
        <f>K51*(1+L50)</f>
        <v/>
      </c>
    </row>
    <row r="52">
      <c r="A52" s="7" t="inlineStr">
        <is>
          <t>Merchandise margin</t>
        </is>
      </c>
      <c r="B52" s="40">
        <f>Forecast!B10</f>
        <v/>
      </c>
      <c r="C52" s="40">
        <f>B52+Forecast!C9*$D$7</f>
        <v/>
      </c>
      <c r="D52" s="40">
        <f>C52+Forecast!D9*$D$7</f>
        <v/>
      </c>
      <c r="E52" s="40">
        <f>D52+Forecast!E9*$D$7</f>
        <v/>
      </c>
      <c r="F52" s="40">
        <f>E52+Forecast!F9*$D$7</f>
        <v/>
      </c>
      <c r="G52" s="40">
        <f>F52+Forecast!G9*$D$7</f>
        <v/>
      </c>
      <c r="H52" s="40">
        <f>G52+Forecast!H9*$D$7</f>
        <v/>
      </c>
      <c r="I52" s="40">
        <f>H52+Forecast!I9*$D$7</f>
        <v/>
      </c>
      <c r="J52" s="40">
        <f>I52+Forecast!J9*$D$7</f>
        <v/>
      </c>
      <c r="K52" s="40">
        <f>J52+Forecast!K9*$D$7</f>
        <v/>
      </c>
      <c r="L52" s="40">
        <f>K52+Forecast!L9*$D$7</f>
        <v/>
      </c>
    </row>
    <row r="53">
      <c r="A53" s="7" t="inlineStr">
        <is>
          <t>Operating income</t>
        </is>
      </c>
      <c r="B53" s="4" t="n"/>
      <c r="C53" s="11">
        <f>C49*C52+C51</f>
        <v/>
      </c>
      <c r="D53" s="11">
        <f>D49*D52+D51</f>
        <v/>
      </c>
      <c r="E53" s="11">
        <f>E49*E52+E51</f>
        <v/>
      </c>
      <c r="F53" s="11">
        <f>F49*F52+F51</f>
        <v/>
      </c>
      <c r="G53" s="11">
        <f>G49*G52+G51</f>
        <v/>
      </c>
      <c r="H53" s="11">
        <f>H49*H52+H51</f>
        <v/>
      </c>
      <c r="I53" s="11">
        <f>I49*I52+I51</f>
        <v/>
      </c>
      <c r="J53" s="11">
        <f>J49*J52+J51</f>
        <v/>
      </c>
      <c r="K53" s="11">
        <f>K49*K52+K51</f>
        <v/>
      </c>
      <c r="L53" s="11">
        <f>L49*L52+L51</f>
        <v/>
      </c>
    </row>
    <row r="54">
      <c r="A54" s="7" t="inlineStr">
        <is>
          <t>NOPAT</t>
        </is>
      </c>
      <c r="B54" s="4" t="n"/>
      <c r="C54" s="39">
        <f>C53*(1-Forecast!C19)</f>
        <v/>
      </c>
      <c r="D54" s="39">
        <f>D53*(1-Forecast!D19)</f>
        <v/>
      </c>
      <c r="E54" s="39">
        <f>E53*(1-Forecast!E19)</f>
        <v/>
      </c>
      <c r="F54" s="39">
        <f>F53*(1-Forecast!F19)</f>
        <v/>
      </c>
      <c r="G54" s="39">
        <f>G53*(1-Forecast!G19)</f>
        <v/>
      </c>
      <c r="H54" s="39">
        <f>H53*(1-Forecast!H19)</f>
        <v/>
      </c>
      <c r="I54" s="39">
        <f>I53*(1-Forecast!I19)</f>
        <v/>
      </c>
      <c r="J54" s="39">
        <f>J53*(1-Forecast!J19)</f>
        <v/>
      </c>
      <c r="K54" s="39">
        <f>K53*(1-Forecast!K19)</f>
        <v/>
      </c>
      <c r="L54" s="39">
        <f>L53*(1-Forecast!L19)</f>
        <v/>
      </c>
    </row>
    <row r="55">
      <c r="A55" s="7" t="inlineStr">
        <is>
          <t>D&amp;A</t>
        </is>
      </c>
      <c r="B55" s="4" t="n"/>
      <c r="C55" s="39">
        <f>C49*Forecast!C24</f>
        <v/>
      </c>
      <c r="D55" s="39">
        <f>D49*Forecast!D24</f>
        <v/>
      </c>
      <c r="E55" s="39">
        <f>E49*Forecast!E24</f>
        <v/>
      </c>
      <c r="F55" s="39">
        <f>F49*Forecast!F24</f>
        <v/>
      </c>
      <c r="G55" s="39">
        <f>G49*Forecast!G24</f>
        <v/>
      </c>
      <c r="H55" s="39">
        <f>H49*Forecast!H24</f>
        <v/>
      </c>
      <c r="I55" s="39">
        <f>I49*Forecast!I24</f>
        <v/>
      </c>
      <c r="J55" s="39">
        <f>J49*Forecast!J24</f>
        <v/>
      </c>
      <c r="K55" s="39">
        <f>K49*Forecast!K24</f>
        <v/>
      </c>
      <c r="L55" s="39">
        <f>L49*Forecast!L24</f>
        <v/>
      </c>
    </row>
    <row r="56">
      <c r="A56" s="7" t="inlineStr">
        <is>
          <t>Capex</t>
        </is>
      </c>
      <c r="B56" s="4" t="n"/>
      <c r="C56" s="39">
        <f>C49*Forecast!C27</f>
        <v/>
      </c>
      <c r="D56" s="39">
        <f>D49*Forecast!D27</f>
        <v/>
      </c>
      <c r="E56" s="39">
        <f>E49*Forecast!E27</f>
        <v/>
      </c>
      <c r="F56" s="39">
        <f>F49*Forecast!F27</f>
        <v/>
      </c>
      <c r="G56" s="39">
        <f>G49*Forecast!G27</f>
        <v/>
      </c>
      <c r="H56" s="39">
        <f>H49*Forecast!H27</f>
        <v/>
      </c>
      <c r="I56" s="39">
        <f>I49*Forecast!I27</f>
        <v/>
      </c>
      <c r="J56" s="39">
        <f>J49*Forecast!J27</f>
        <v/>
      </c>
      <c r="K56" s="39">
        <f>K49*Forecast!K27</f>
        <v/>
      </c>
      <c r="L56" s="39">
        <f>L49*Forecast!L27</f>
        <v/>
      </c>
    </row>
    <row r="57">
      <c r="A57" s="7" t="inlineStr">
        <is>
          <t>Operating NWC</t>
        </is>
      </c>
      <c r="B57" s="39">
        <f>Forecast!B30</f>
        <v/>
      </c>
      <c r="C57" s="39">
        <f>C49*Forecast!C29</f>
        <v/>
      </c>
      <c r="D57" s="39">
        <f>D49*Forecast!D29</f>
        <v/>
      </c>
      <c r="E57" s="39">
        <f>E49*Forecast!E29</f>
        <v/>
      </c>
      <c r="F57" s="39">
        <f>F49*Forecast!F29</f>
        <v/>
      </c>
      <c r="G57" s="39">
        <f>G49*Forecast!G29</f>
        <v/>
      </c>
      <c r="H57" s="39">
        <f>H49*Forecast!H29</f>
        <v/>
      </c>
      <c r="I57" s="39">
        <f>I49*Forecast!I29</f>
        <v/>
      </c>
      <c r="J57" s="39">
        <f>J49*Forecast!J29</f>
        <v/>
      </c>
      <c r="K57" s="39">
        <f>K49*Forecast!K29</f>
        <v/>
      </c>
      <c r="L57" s="39">
        <f>L49*Forecast!L29</f>
        <v/>
      </c>
    </row>
    <row r="58">
      <c r="A58" s="7" t="inlineStr">
        <is>
          <t>Cash released by NWC</t>
        </is>
      </c>
      <c r="B58" s="4" t="n"/>
      <c r="C58" s="11">
        <f>-(C57-B57)</f>
        <v/>
      </c>
      <c r="D58" s="11">
        <f>-(D57-C57)</f>
        <v/>
      </c>
      <c r="E58" s="11">
        <f>-(E57-D57)</f>
        <v/>
      </c>
      <c r="F58" s="11">
        <f>-(F57-E57)</f>
        <v/>
      </c>
      <c r="G58" s="11">
        <f>-(G57-F57)</f>
        <v/>
      </c>
      <c r="H58" s="11">
        <f>-(H57-G57)</f>
        <v/>
      </c>
      <c r="I58" s="11">
        <f>-(I57-H57)</f>
        <v/>
      </c>
      <c r="J58" s="11">
        <f>-(J57-I57)</f>
        <v/>
      </c>
      <c r="K58" s="11">
        <f>-(K57-J57)</f>
        <v/>
      </c>
      <c r="L58" s="11">
        <f>-(L57-K57)</f>
        <v/>
      </c>
    </row>
    <row r="59">
      <c r="A59" s="7" t="inlineStr">
        <is>
          <t>FCFF</t>
        </is>
      </c>
      <c r="B59" s="4" t="n"/>
      <c r="C59" s="11">
        <f>C54+C55-C56+C58</f>
        <v/>
      </c>
      <c r="D59" s="11">
        <f>D54+D55-D56+D58</f>
        <v/>
      </c>
      <c r="E59" s="11">
        <f>E54+E55-E56+E58</f>
        <v/>
      </c>
      <c r="F59" s="11">
        <f>F54+F55-F56+F58</f>
        <v/>
      </c>
      <c r="G59" s="11">
        <f>G54+G55-G56+G58</f>
        <v/>
      </c>
      <c r="H59" s="11">
        <f>H54+H55-H56+H58</f>
        <v/>
      </c>
      <c r="I59" s="11">
        <f>I54+I55-I56+I58</f>
        <v/>
      </c>
      <c r="J59" s="11">
        <f>J54+J55-J56+J58</f>
        <v/>
      </c>
      <c r="K59" s="11">
        <f>K54+K55-K56+K58</f>
        <v/>
      </c>
      <c r="L59" s="11">
        <f>L54+L55-L56+L58</f>
        <v/>
      </c>
    </row>
    <row r="60">
      <c r="A60" s="7" t="inlineStr">
        <is>
          <t>PV of FCFF</t>
        </is>
      </c>
      <c r="B60" s="4" t="n"/>
      <c r="C60" s="39">
        <f>C59/(1+D$14)^DCF!C19</f>
        <v/>
      </c>
      <c r="D60" s="39">
        <f>D59/(1+D$14)^DCF!D19</f>
        <v/>
      </c>
      <c r="E60" s="39">
        <f>E59/(1+D$14)^DCF!E19</f>
        <v/>
      </c>
      <c r="F60" s="39">
        <f>F59/(1+D$14)^DCF!F19</f>
        <v/>
      </c>
      <c r="G60" s="39">
        <f>G59/(1+D$14)^DCF!G19</f>
        <v/>
      </c>
      <c r="H60" s="39">
        <f>H59/(1+D$14)^DCF!H19</f>
        <v/>
      </c>
      <c r="I60" s="39">
        <f>I59/(1+D$14)^DCF!I19</f>
        <v/>
      </c>
      <c r="J60" s="39">
        <f>J59/(1+D$14)^DCF!J19</f>
        <v/>
      </c>
      <c r="K60" s="39">
        <f>K59/(1+D$14)^DCF!K19</f>
        <v/>
      </c>
      <c r="L60" s="39">
        <f>L59/(1+D$14)^DCF!L19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5" t="inlineStr">
        <is>
          <t>BULL — yearly re-computation ($m)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4" t="n"/>
      <c r="B63" s="33" t="inlineStr">
        <is>
          <t>FY2026A</t>
        </is>
      </c>
      <c r="C63" s="33" t="inlineStr">
        <is>
          <t>FY2027E</t>
        </is>
      </c>
      <c r="D63" s="33" t="inlineStr">
        <is>
          <t>FY2028E</t>
        </is>
      </c>
      <c r="E63" s="33" t="inlineStr">
        <is>
          <t>FY2029E</t>
        </is>
      </c>
      <c r="F63" s="33" t="inlineStr">
        <is>
          <t>FY2030E</t>
        </is>
      </c>
      <c r="G63" s="33" t="inlineStr">
        <is>
          <t>FY2031E</t>
        </is>
      </c>
      <c r="H63" s="33" t="inlineStr">
        <is>
          <t>FY2032E</t>
        </is>
      </c>
      <c r="I63" s="33" t="inlineStr">
        <is>
          <t>FY2033E</t>
        </is>
      </c>
      <c r="J63" s="33" t="inlineStr">
        <is>
          <t>FY2034E</t>
        </is>
      </c>
      <c r="K63" s="33" t="inlineStr">
        <is>
          <t>FY2035E</t>
        </is>
      </c>
      <c r="L63" s="33" t="inlineStr">
        <is>
          <t>FY2036E</t>
        </is>
      </c>
    </row>
    <row r="64">
      <c r="A64" s="7" t="inlineStr">
        <is>
          <t>Net sales growth</t>
        </is>
      </c>
      <c r="B64" s="4" t="n"/>
      <c r="C64" s="31">
        <f>Forecast!C4+$E$5</f>
        <v/>
      </c>
      <c r="D64" s="31">
        <f>Forecast!D4+$E$5</f>
        <v/>
      </c>
      <c r="E64" s="31">
        <f>Forecast!E4+$E$5</f>
        <v/>
      </c>
      <c r="F64" s="31">
        <f>Forecast!F4+$E$5</f>
        <v/>
      </c>
      <c r="G64" s="31">
        <f>Forecast!G4+$E$5</f>
        <v/>
      </c>
      <c r="H64" s="31">
        <f>Forecast!H4+$E$5</f>
        <v/>
      </c>
      <c r="I64" s="31">
        <f>Forecast!I4+$E$5</f>
        <v/>
      </c>
      <c r="J64" s="31">
        <f>Forecast!J4+$E$5</f>
        <v/>
      </c>
      <c r="K64" s="31">
        <f>Forecast!K4+$E$5</f>
        <v/>
      </c>
      <c r="L64" s="31">
        <f>Forecast!L4+$E$5</f>
        <v/>
      </c>
    </row>
    <row r="65">
      <c r="A65" s="7" t="inlineStr">
        <is>
          <t>Net sales</t>
        </is>
      </c>
      <c r="B65" s="39">
        <f>Forecast!B5</f>
        <v/>
      </c>
      <c r="C65" s="11">
        <f>B65*(1+C64)</f>
        <v/>
      </c>
      <c r="D65" s="11">
        <f>C65*(1+D64)</f>
        <v/>
      </c>
      <c r="E65" s="11">
        <f>D65*(1+E64)</f>
        <v/>
      </c>
      <c r="F65" s="11">
        <f>E65*(1+F64)</f>
        <v/>
      </c>
      <c r="G65" s="11">
        <f>F65*(1+G64)</f>
        <v/>
      </c>
      <c r="H65" s="11">
        <f>G65*(1+H64)</f>
        <v/>
      </c>
      <c r="I65" s="11">
        <f>H65*(1+I64)</f>
        <v/>
      </c>
      <c r="J65" s="11">
        <f>I65*(1+J64)</f>
        <v/>
      </c>
      <c r="K65" s="11">
        <f>J65*(1+K64)</f>
        <v/>
      </c>
      <c r="L65" s="11">
        <f>K65*(1+L64)</f>
        <v/>
      </c>
    </row>
    <row r="66">
      <c r="A66" s="7" t="inlineStr">
        <is>
          <t>Membership fee growth</t>
        </is>
      </c>
      <c r="B66" s="4" t="n"/>
      <c r="C66" s="31">
        <f>Forecast!C6+$E$6</f>
        <v/>
      </c>
      <c r="D66" s="31">
        <f>Forecast!D6+$E$6</f>
        <v/>
      </c>
      <c r="E66" s="31">
        <f>Forecast!E6+$E$6</f>
        <v/>
      </c>
      <c r="F66" s="31">
        <f>Forecast!F6+$E$6</f>
        <v/>
      </c>
      <c r="G66" s="31">
        <f>Forecast!G6+$E$6</f>
        <v/>
      </c>
      <c r="H66" s="31">
        <f>Forecast!H6+$E$6</f>
        <v/>
      </c>
      <c r="I66" s="31">
        <f>Forecast!I6+$E$6</f>
        <v/>
      </c>
      <c r="J66" s="31">
        <f>Forecast!J6+$E$6</f>
        <v/>
      </c>
      <c r="K66" s="31">
        <f>Forecast!K6+$E$6</f>
        <v/>
      </c>
      <c r="L66" s="31">
        <f>Forecast!L6+$E$6</f>
        <v/>
      </c>
    </row>
    <row r="67">
      <c r="A67" s="7" t="inlineStr">
        <is>
          <t>Membership fees</t>
        </is>
      </c>
      <c r="B67" s="39">
        <f>Forecast!B7</f>
        <v/>
      </c>
      <c r="C67" s="11">
        <f>B67*(1+C66)</f>
        <v/>
      </c>
      <c r="D67" s="11">
        <f>C67*(1+D66)</f>
        <v/>
      </c>
      <c r="E67" s="11">
        <f>D67*(1+E66)</f>
        <v/>
      </c>
      <c r="F67" s="11">
        <f>E67*(1+F66)</f>
        <v/>
      </c>
      <c r="G67" s="11">
        <f>F67*(1+G66)</f>
        <v/>
      </c>
      <c r="H67" s="11">
        <f>G67*(1+H66)</f>
        <v/>
      </c>
      <c r="I67" s="11">
        <f>H67*(1+I66)</f>
        <v/>
      </c>
      <c r="J67" s="11">
        <f>I67*(1+J66)</f>
        <v/>
      </c>
      <c r="K67" s="11">
        <f>J67*(1+K66)</f>
        <v/>
      </c>
      <c r="L67" s="11">
        <f>K67*(1+L66)</f>
        <v/>
      </c>
    </row>
    <row r="68">
      <c r="A68" s="7" t="inlineStr">
        <is>
          <t>Merchandise margin</t>
        </is>
      </c>
      <c r="B68" s="40">
        <f>Forecast!B10</f>
        <v/>
      </c>
      <c r="C68" s="40">
        <f>B68+Forecast!C9*$E$7</f>
        <v/>
      </c>
      <c r="D68" s="40">
        <f>C68+Forecast!D9*$E$7</f>
        <v/>
      </c>
      <c r="E68" s="40">
        <f>D68+Forecast!E9*$E$7</f>
        <v/>
      </c>
      <c r="F68" s="40">
        <f>E68+Forecast!F9*$E$7</f>
        <v/>
      </c>
      <c r="G68" s="40">
        <f>F68+Forecast!G9*$E$7</f>
        <v/>
      </c>
      <c r="H68" s="40">
        <f>G68+Forecast!H9*$E$7</f>
        <v/>
      </c>
      <c r="I68" s="40">
        <f>H68+Forecast!I9*$E$7</f>
        <v/>
      </c>
      <c r="J68" s="40">
        <f>I68+Forecast!J9*$E$7</f>
        <v/>
      </c>
      <c r="K68" s="40">
        <f>J68+Forecast!K9*$E$7</f>
        <v/>
      </c>
      <c r="L68" s="40">
        <f>K68+Forecast!L9*$E$7</f>
        <v/>
      </c>
    </row>
    <row r="69">
      <c r="A69" s="7" t="inlineStr">
        <is>
          <t>Operating income</t>
        </is>
      </c>
      <c r="B69" s="4" t="n"/>
      <c r="C69" s="11">
        <f>C65*C68+C67</f>
        <v/>
      </c>
      <c r="D69" s="11">
        <f>D65*D68+D67</f>
        <v/>
      </c>
      <c r="E69" s="11">
        <f>E65*E68+E67</f>
        <v/>
      </c>
      <c r="F69" s="11">
        <f>F65*F68+F67</f>
        <v/>
      </c>
      <c r="G69" s="11">
        <f>G65*G68+G67</f>
        <v/>
      </c>
      <c r="H69" s="11">
        <f>H65*H68+H67</f>
        <v/>
      </c>
      <c r="I69" s="11">
        <f>I65*I68+I67</f>
        <v/>
      </c>
      <c r="J69" s="11">
        <f>J65*J68+J67</f>
        <v/>
      </c>
      <c r="K69" s="11">
        <f>K65*K68+K67</f>
        <v/>
      </c>
      <c r="L69" s="11">
        <f>L65*L68+L67</f>
        <v/>
      </c>
    </row>
    <row r="70">
      <c r="A70" s="7" t="inlineStr">
        <is>
          <t>NOPAT</t>
        </is>
      </c>
      <c r="B70" s="4" t="n"/>
      <c r="C70" s="39">
        <f>C69*(1-Forecast!C19)</f>
        <v/>
      </c>
      <c r="D70" s="39">
        <f>D69*(1-Forecast!D19)</f>
        <v/>
      </c>
      <c r="E70" s="39">
        <f>E69*(1-Forecast!E19)</f>
        <v/>
      </c>
      <c r="F70" s="39">
        <f>F69*(1-Forecast!F19)</f>
        <v/>
      </c>
      <c r="G70" s="39">
        <f>G69*(1-Forecast!G19)</f>
        <v/>
      </c>
      <c r="H70" s="39">
        <f>H69*(1-Forecast!H19)</f>
        <v/>
      </c>
      <c r="I70" s="39">
        <f>I69*(1-Forecast!I19)</f>
        <v/>
      </c>
      <c r="J70" s="39">
        <f>J69*(1-Forecast!J19)</f>
        <v/>
      </c>
      <c r="K70" s="39">
        <f>K69*(1-Forecast!K19)</f>
        <v/>
      </c>
      <c r="L70" s="39">
        <f>L69*(1-Forecast!L19)</f>
        <v/>
      </c>
    </row>
    <row r="71">
      <c r="A71" s="7" t="inlineStr">
        <is>
          <t>D&amp;A</t>
        </is>
      </c>
      <c r="B71" s="4" t="n"/>
      <c r="C71" s="39">
        <f>C65*Forecast!C24</f>
        <v/>
      </c>
      <c r="D71" s="39">
        <f>D65*Forecast!D24</f>
        <v/>
      </c>
      <c r="E71" s="39">
        <f>E65*Forecast!E24</f>
        <v/>
      </c>
      <c r="F71" s="39">
        <f>F65*Forecast!F24</f>
        <v/>
      </c>
      <c r="G71" s="39">
        <f>G65*Forecast!G24</f>
        <v/>
      </c>
      <c r="H71" s="39">
        <f>H65*Forecast!H24</f>
        <v/>
      </c>
      <c r="I71" s="39">
        <f>I65*Forecast!I24</f>
        <v/>
      </c>
      <c r="J71" s="39">
        <f>J65*Forecast!J24</f>
        <v/>
      </c>
      <c r="K71" s="39">
        <f>K65*Forecast!K24</f>
        <v/>
      </c>
      <c r="L71" s="39">
        <f>L65*Forecast!L24</f>
        <v/>
      </c>
    </row>
    <row r="72">
      <c r="A72" s="7" t="inlineStr">
        <is>
          <t>Capex</t>
        </is>
      </c>
      <c r="B72" s="4" t="n"/>
      <c r="C72" s="39">
        <f>C65*Forecast!C27</f>
        <v/>
      </c>
      <c r="D72" s="39">
        <f>D65*Forecast!D27</f>
        <v/>
      </c>
      <c r="E72" s="39">
        <f>E65*Forecast!E27</f>
        <v/>
      </c>
      <c r="F72" s="39">
        <f>F65*Forecast!F27</f>
        <v/>
      </c>
      <c r="G72" s="39">
        <f>G65*Forecast!G27</f>
        <v/>
      </c>
      <c r="H72" s="39">
        <f>H65*Forecast!H27</f>
        <v/>
      </c>
      <c r="I72" s="39">
        <f>I65*Forecast!I27</f>
        <v/>
      </c>
      <c r="J72" s="39">
        <f>J65*Forecast!J27</f>
        <v/>
      </c>
      <c r="K72" s="39">
        <f>K65*Forecast!K27</f>
        <v/>
      </c>
      <c r="L72" s="39">
        <f>L65*Forecast!L27</f>
        <v/>
      </c>
    </row>
    <row r="73">
      <c r="A73" s="7" t="inlineStr">
        <is>
          <t>Operating NWC</t>
        </is>
      </c>
      <c r="B73" s="39">
        <f>Forecast!B30</f>
        <v/>
      </c>
      <c r="C73" s="39">
        <f>C65*Forecast!C29</f>
        <v/>
      </c>
      <c r="D73" s="39">
        <f>D65*Forecast!D29</f>
        <v/>
      </c>
      <c r="E73" s="39">
        <f>E65*Forecast!E29</f>
        <v/>
      </c>
      <c r="F73" s="39">
        <f>F65*Forecast!F29</f>
        <v/>
      </c>
      <c r="G73" s="39">
        <f>G65*Forecast!G29</f>
        <v/>
      </c>
      <c r="H73" s="39">
        <f>H65*Forecast!H29</f>
        <v/>
      </c>
      <c r="I73" s="39">
        <f>I65*Forecast!I29</f>
        <v/>
      </c>
      <c r="J73" s="39">
        <f>J65*Forecast!J29</f>
        <v/>
      </c>
      <c r="K73" s="39">
        <f>K65*Forecast!K29</f>
        <v/>
      </c>
      <c r="L73" s="39">
        <f>L65*Forecast!L29</f>
        <v/>
      </c>
    </row>
    <row r="74">
      <c r="A74" s="7" t="inlineStr">
        <is>
          <t>Cash released by NWC</t>
        </is>
      </c>
      <c r="B74" s="4" t="n"/>
      <c r="C74" s="11">
        <f>-(C73-B73)</f>
        <v/>
      </c>
      <c r="D74" s="11">
        <f>-(D73-C73)</f>
        <v/>
      </c>
      <c r="E74" s="11">
        <f>-(E73-D73)</f>
        <v/>
      </c>
      <c r="F74" s="11">
        <f>-(F73-E73)</f>
        <v/>
      </c>
      <c r="G74" s="11">
        <f>-(G73-F73)</f>
        <v/>
      </c>
      <c r="H74" s="11">
        <f>-(H73-G73)</f>
        <v/>
      </c>
      <c r="I74" s="11">
        <f>-(I73-H73)</f>
        <v/>
      </c>
      <c r="J74" s="11">
        <f>-(J73-I73)</f>
        <v/>
      </c>
      <c r="K74" s="11">
        <f>-(K73-J73)</f>
        <v/>
      </c>
      <c r="L74" s="11">
        <f>-(L73-K73)</f>
        <v/>
      </c>
    </row>
    <row r="75">
      <c r="A75" s="7" t="inlineStr">
        <is>
          <t>FCFF</t>
        </is>
      </c>
      <c r="B75" s="4" t="n"/>
      <c r="C75" s="11">
        <f>C70+C71-C72+C74</f>
        <v/>
      </c>
      <c r="D75" s="11">
        <f>D70+D71-D72+D74</f>
        <v/>
      </c>
      <c r="E75" s="11">
        <f>E70+E71-E72+E74</f>
        <v/>
      </c>
      <c r="F75" s="11">
        <f>F70+F71-F72+F74</f>
        <v/>
      </c>
      <c r="G75" s="11">
        <f>G70+G71-G72+G74</f>
        <v/>
      </c>
      <c r="H75" s="11">
        <f>H70+H71-H72+H74</f>
        <v/>
      </c>
      <c r="I75" s="11">
        <f>I70+I71-I72+I74</f>
        <v/>
      </c>
      <c r="J75" s="11">
        <f>J70+J71-J72+J74</f>
        <v/>
      </c>
      <c r="K75" s="11">
        <f>K70+K71-K72+K74</f>
        <v/>
      </c>
      <c r="L75" s="11">
        <f>L70+L71-L72+L74</f>
        <v/>
      </c>
    </row>
    <row r="76">
      <c r="A76" s="7" t="inlineStr">
        <is>
          <t>PV of FCFF</t>
        </is>
      </c>
      <c r="B76" s="4" t="n"/>
      <c r="C76" s="39">
        <f>C75/(1+E$14)^DCF!C19</f>
        <v/>
      </c>
      <c r="D76" s="39">
        <f>D75/(1+E$14)^DCF!D19</f>
        <v/>
      </c>
      <c r="E76" s="39">
        <f>E75/(1+E$14)^DCF!E19</f>
        <v/>
      </c>
      <c r="F76" s="39">
        <f>F75/(1+E$14)^DCF!F19</f>
        <v/>
      </c>
      <c r="G76" s="39">
        <f>G75/(1+E$14)^DCF!G19</f>
        <v/>
      </c>
      <c r="H76" s="39">
        <f>H75/(1+E$14)^DCF!H19</f>
        <v/>
      </c>
      <c r="I76" s="39">
        <f>I75/(1+E$14)^DCF!I19</f>
        <v/>
      </c>
      <c r="J76" s="39">
        <f>J75/(1+E$14)^DCF!J19</f>
        <v/>
      </c>
      <c r="K76" s="39">
        <f>K75/(1+E$14)^DCF!K19</f>
        <v/>
      </c>
      <c r="L76" s="39">
        <f>L75/(1+E$14)^DCF!L19</f>
        <v/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149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3" customWidth="1" min="2" max="2"/>
    <col width="15" customWidth="1" min="3" max="10"/>
    <col width="13" customWidth="1" min="11" max="29"/>
  </cols>
  <sheetData>
    <row r="1" ht="19" customHeight="1">
      <c r="A1" s="1" t="inlineStr">
        <is>
          <t>Peers and the Street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Peer multiples: stockanalysis.com statistics pages (S&amp;P Global Market Intelligence data). COST and WMT re-pulled at the 16-Oct-2026 close (read 18-Oct); BJ, PSMT, TGT and KR as at 1-Oct-2026 (cross-check band only). Consensus: S&amp;P Global via stockanalysis.com, updated 15-Oct-2026.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8" customHeight="1">
      <c r="A4" s="56" t="inlineStr">
        <is>
          <t>Company</t>
        </is>
      </c>
      <c r="B4" s="56" t="inlineStr">
        <is>
          <t>Ticker</t>
        </is>
      </c>
      <c r="C4" s="57" t="inlineStr">
        <is>
          <t>Market cap ($bn)</t>
        </is>
      </c>
      <c r="D4" s="57" t="inlineStr">
        <is>
          <t>EV ($bn)</t>
        </is>
      </c>
      <c r="E4" s="57" t="inlineStr">
        <is>
          <t>Trailing P/E (x)</t>
        </is>
      </c>
      <c r="F4" s="57" t="inlineStr">
        <is>
          <t>Forward P/E (x)</t>
        </is>
      </c>
      <c r="G4" s="57" t="inlineStr">
        <is>
          <t>EV/EBITDA TTM (x)</t>
        </is>
      </c>
      <c r="H4" s="57" t="inlineStr">
        <is>
          <t>ROIC</t>
        </is>
      </c>
      <c r="I4" s="57" t="inlineStr">
        <is>
          <t>Beta 5Y</t>
        </is>
      </c>
      <c r="J4" s="57" t="inlineStr">
        <is>
          <t>Dividend yield</t>
        </is>
      </c>
      <c r="K4" s="4" t="n"/>
      <c r="L4" s="4" t="n"/>
    </row>
    <row r="5">
      <c r="A5" s="7" t="inlineStr">
        <is>
          <t>Costco Wholesale</t>
        </is>
      </c>
      <c r="B5" s="7" t="inlineStr">
        <is>
          <t>COST</t>
        </is>
      </c>
      <c r="C5" s="125">
        <f>Overview!B9/1000</f>
        <v/>
      </c>
      <c r="D5" s="58" t="n">
        <v>427.18</v>
      </c>
      <c r="E5" s="59" t="n">
        <v>47.64</v>
      </c>
      <c r="F5" s="59" t="n">
        <v>43.35</v>
      </c>
      <c r="G5" s="126">
        <f>Valuation!B32</f>
        <v/>
      </c>
      <c r="H5" s="25" t="n">
        <v>0.3926</v>
      </c>
      <c r="I5" s="44">
        <f>Overview!B16</f>
        <v/>
      </c>
      <c r="J5" s="127">
        <f>Overview!B13</f>
        <v/>
      </c>
      <c r="K5" s="4" t="n"/>
      <c r="L5" s="4" t="n"/>
    </row>
    <row r="6">
      <c r="A6" s="7" t="inlineStr">
        <is>
          <t>Walmart</t>
        </is>
      </c>
      <c r="B6" s="7" t="inlineStr">
        <is>
          <t>WMT</t>
        </is>
      </c>
      <c r="C6" s="58" t="n">
        <v>942.61</v>
      </c>
      <c r="D6" s="128" t="n">
        <v>1006.2</v>
      </c>
      <c r="E6" s="59" t="n">
        <v>43.05</v>
      </c>
      <c r="F6" s="59" t="n">
        <v>39.54</v>
      </c>
      <c r="G6" s="59" t="n">
        <v>22.83</v>
      </c>
      <c r="H6" s="25" t="n">
        <v>0.1331</v>
      </c>
      <c r="I6" s="129" t="n">
        <v>0.58</v>
      </c>
      <c r="J6" s="19" t="n">
        <v>0.0083</v>
      </c>
      <c r="K6" s="4" t="n"/>
      <c r="L6" s="4" t="n"/>
    </row>
    <row r="7">
      <c r="A7" s="7" t="inlineStr">
        <is>
          <t>BJ's Wholesale Club</t>
        </is>
      </c>
      <c r="B7" s="7" t="inlineStr">
        <is>
          <t>BJ</t>
        </is>
      </c>
      <c r="C7" s="58" t="n">
        <v>11.92</v>
      </c>
      <c r="D7" s="58" t="n">
        <v>14.66</v>
      </c>
      <c r="E7" s="59" t="n">
        <v>20.67</v>
      </c>
      <c r="F7" s="59" t="n">
        <v>19.43</v>
      </c>
      <c r="G7" s="59" t="n">
        <v>12.64</v>
      </c>
      <c r="H7" s="25" t="n">
        <v>0.1272</v>
      </c>
      <c r="I7" s="17" t="n">
        <v>0.185</v>
      </c>
      <c r="J7" s="19" t="n">
        <v>0</v>
      </c>
      <c r="K7" s="4" t="n"/>
      <c r="L7" s="4" t="n"/>
    </row>
    <row r="8">
      <c r="A8" s="7" t="inlineStr">
        <is>
          <t>PriceSmart</t>
        </is>
      </c>
      <c r="B8" s="7" t="inlineStr">
        <is>
          <t>PSMT</t>
        </is>
      </c>
      <c r="C8" s="58" t="n">
        <v>5.15</v>
      </c>
      <c r="D8" s="58" t="n">
        <v>5.17</v>
      </c>
      <c r="E8" s="59" t="n">
        <v>32.92</v>
      </c>
      <c r="F8" s="59" t="n">
        <v>29.86</v>
      </c>
      <c r="G8" s="59" t="n">
        <v>14.67</v>
      </c>
      <c r="H8" s="25" t="n">
        <v>0.1364</v>
      </c>
      <c r="I8" s="17" t="n">
        <v>0.775</v>
      </c>
      <c r="J8" s="19" t="n">
        <v>0.008399999999999999</v>
      </c>
      <c r="K8" s="4" t="n"/>
      <c r="L8" s="4" t="n"/>
    </row>
    <row r="9">
      <c r="A9" s="7" t="inlineStr">
        <is>
          <t>Target</t>
        </is>
      </c>
      <c r="B9" s="7" t="inlineStr">
        <is>
          <t>TGT</t>
        </is>
      </c>
      <c r="C9" s="58" t="n">
        <v>71.19</v>
      </c>
      <c r="D9" s="58" t="n">
        <v>84.97</v>
      </c>
      <c r="E9" s="59" t="n">
        <v>16.25</v>
      </c>
      <c r="F9" s="59" t="n">
        <v>16.87</v>
      </c>
      <c r="G9" s="59" t="n">
        <v>9.890000000000001</v>
      </c>
      <c r="H9" s="25" t="n">
        <v>0.1319</v>
      </c>
      <c r="I9" s="17" t="n">
        <v>0.995</v>
      </c>
      <c r="J9" s="19" t="n">
        <v>0.0296</v>
      </c>
      <c r="K9" s="4" t="n"/>
      <c r="L9" s="4" t="n"/>
    </row>
    <row r="10">
      <c r="A10" s="7" t="inlineStr">
        <is>
          <t>Kroger</t>
        </is>
      </c>
      <c r="B10" s="7" t="inlineStr">
        <is>
          <t>KR</t>
        </is>
      </c>
      <c r="C10" s="58" t="n">
        <v>35.13</v>
      </c>
      <c r="D10" s="58" t="n">
        <v>57.61</v>
      </c>
      <c r="E10" s="59" t="n">
        <v>34.07</v>
      </c>
      <c r="F10" s="59" t="n">
        <v>11.12</v>
      </c>
      <c r="G10" s="59" t="n">
        <v>7.16</v>
      </c>
      <c r="H10" s="25" t="n">
        <v>0.1387</v>
      </c>
      <c r="I10" s="17" t="n">
        <v>0.415</v>
      </c>
      <c r="J10" s="19" t="n">
        <v>0.0262</v>
      </c>
      <c r="K10" s="4" t="n"/>
      <c r="L10" s="4" t="n"/>
    </row>
    <row r="11">
      <c r="A11" s="37" t="inlineStr">
        <is>
          <t>Peer median (excl. Costco)</t>
        </is>
      </c>
      <c r="B11" s="4" t="n"/>
      <c r="C11" s="4" t="n"/>
      <c r="D11" s="4" t="n"/>
      <c r="E11" s="50">
        <f>MEDIAN(E6:E10)</f>
        <v/>
      </c>
      <c r="F11" s="50">
        <f>MEDIAN(F6:F10)</f>
        <v/>
      </c>
      <c r="G11" s="50">
        <f>MEDIAN(G6:G10)</f>
        <v/>
      </c>
      <c r="H11" s="23">
        <f>MEDIAN(H6:H10)</f>
        <v/>
      </c>
      <c r="I11" s="60">
        <f>MEDIAN(I6:I10)</f>
        <v/>
      </c>
      <c r="J11" s="16">
        <f>MEDIAN(J6:J10)</f>
        <v/>
      </c>
      <c r="K11" s="4" t="n"/>
      <c r="L11" s="4" t="n"/>
    </row>
    <row r="12">
      <c r="A12" s="7" t="inlineStr">
        <is>
          <t>Costco premium to Walmart, forward P/E</t>
        </is>
      </c>
      <c r="B12" s="4" t="n"/>
      <c r="C12" s="4" t="n"/>
      <c r="D12" s="4" t="n"/>
      <c r="E12" s="4" t="n"/>
      <c r="F12" s="23">
        <f>F5/F6-1</f>
        <v/>
      </c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Costco premium to Walmart, EV/EBITDA</t>
        </is>
      </c>
      <c r="B13" s="4" t="n"/>
      <c r="C13" s="4" t="n"/>
      <c r="D13" s="4" t="n"/>
      <c r="E13" s="4" t="n"/>
      <c r="F13" s="4" t="n"/>
      <c r="G13" s="23">
        <f>G5/G6-1</f>
        <v/>
      </c>
      <c r="H13" s="4" t="n"/>
      <c r="I13" s="4" t="n"/>
      <c r="J13" s="4" t="n"/>
      <c r="K13" s="4" t="n"/>
      <c r="L13" s="4" t="n"/>
    </row>
    <row r="14">
      <c r="A14" s="3" t="inlineStr">
        <is>
          <t>Walmart's 39.54x implies $3.00 EPS, about next-twelve-months; on its fiscal year to Jan-2027 ($2.89) it is 41.1x. Costco's 43.35x is on FY Aug-2027 consensus ($22.82).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3" t="inlineStr">
        <is>
          <t>Only Walmart is used in the valuation. BJ's, PriceSmart, Target and Kroger are shown because printing only one comparator hides the rest.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3" t="inlineStr">
        <is>
          <t>COST and WMT re-pulled at the 16-Oct-2026 close; BJ, TGT and KR at the 1-Oct close; PriceSmart's vendor page dated 29-Sep-2026.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inlineStr">
        <is>
          <t>THE STREET — 40 analysts, S&amp;P Global via stockanalysis.com, updated 15-Oct-2026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4" t="n"/>
      <c r="L17" s="4" t="n"/>
    </row>
    <row r="18">
      <c r="A18" s="7" t="inlineStr">
        <is>
          <t>Average price target ($)</t>
        </is>
      </c>
      <c r="B18" s="61" t="n">
        <v>1066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Median price target ($)</t>
        </is>
      </c>
      <c r="B19" s="61" t="n">
        <v>1072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Low ($)</t>
        </is>
      </c>
      <c r="B20" s="61" t="n">
        <v>770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7" t="inlineStr">
        <is>
          <t>High ($)</t>
        </is>
      </c>
      <c r="B21" s="61" t="n">
        <v>1315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Ratings, 15-Oct-2026: Strong Buy / Buy / Hold / Sell / Strong Sell</t>
        </is>
      </c>
      <c r="B22" s="7" t="inlineStr">
        <is>
          <t>20 / 5 / 13 / 1 / 1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Consensus FY2027 EPS ($)</t>
        </is>
      </c>
      <c r="B23" s="14" t="n">
        <v>22.82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Consensus FY2028 EPS ($)</t>
        </is>
      </c>
      <c r="B24" s="14" t="n">
        <v>25.02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Consensus FY2027 total revenue ($bn)</t>
        </is>
      </c>
      <c r="B25" s="58" t="n">
        <v>329.41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7" t="inlineStr">
        <is>
          <t>Average target vs price</t>
        </is>
      </c>
      <c r="B26" s="30">
        <f>B18/Overview!B6-1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Price ÷ consensus FY2027 EPS (x)</t>
        </is>
      </c>
      <c r="B27" s="20">
        <f>Overview!B6/B23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Price ÷ consensus FY2028 EPS (x)</t>
        </is>
      </c>
      <c r="B28" s="20">
        <f>Overview!B6/B24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5" t="inlineStr">
        <is>
          <t>TARGET CHANGES AFTER THE 24-SEP PRINT — Benzinga analyst-ratings page, read 2-Oct-2026 (Telsey: stockanalysis; Jefferies: MarketBeat, read 20-Oct-2026)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4" t="n"/>
      <c r="L30" s="4" t="n"/>
    </row>
    <row r="31">
      <c r="A31" s="37" t="inlineStr">
        <is>
          <t>Firm</t>
        </is>
      </c>
      <c r="B31" s="37" t="inlineStr">
        <is>
          <t>Rating</t>
        </is>
      </c>
      <c r="C31" s="37" t="inlineStr">
        <is>
          <t>Old target ($)</t>
        </is>
      </c>
      <c r="D31" s="37" t="inlineStr">
        <is>
          <t>New target ($)</t>
        </is>
      </c>
      <c r="E31" s="37" t="inlineStr">
        <is>
          <t>Date</t>
        </is>
      </c>
      <c r="F31" s="37" t="inlineStr">
        <is>
          <t>Action</t>
        </is>
      </c>
      <c r="G31" s="37" t="inlineStr">
        <is>
          <t>Source</t>
        </is>
      </c>
      <c r="H31" s="4" t="n"/>
      <c r="I31" s="4" t="n"/>
      <c r="J31" s="4" t="n"/>
      <c r="K31" s="4" t="n"/>
      <c r="L31" s="4" t="n"/>
    </row>
    <row r="32">
      <c r="A32" s="7" t="inlineStr">
        <is>
          <t>Bernstein (Zhihan Ma)</t>
        </is>
      </c>
      <c r="B32" s="7" t="inlineStr">
        <is>
          <t>Outperform</t>
        </is>
      </c>
      <c r="C32" s="61" t="n">
        <v>1144</v>
      </c>
      <c r="D32" s="61" t="n">
        <v>1143</v>
      </c>
      <c r="E32" s="62" t="inlineStr">
        <is>
          <t>25-Sep-2026</t>
        </is>
      </c>
      <c r="F32" s="63" t="inlineStr">
        <is>
          <t>cut</t>
        </is>
      </c>
      <c r="G32" s="63" t="inlineStr">
        <is>
          <t>Benzinga</t>
        </is>
      </c>
      <c r="H32" s="4" t="n"/>
      <c r="I32" s="4" t="n"/>
      <c r="J32" s="4" t="n"/>
      <c r="K32" s="4" t="n"/>
      <c r="L32" s="4" t="n"/>
    </row>
    <row r="33">
      <c r="A33" s="7" t="inlineStr">
        <is>
          <t>Mizuho (David Belinger)</t>
        </is>
      </c>
      <c r="B33" s="7" t="inlineStr">
        <is>
          <t>Outperform</t>
        </is>
      </c>
      <c r="C33" s="61" t="n">
        <v>1100</v>
      </c>
      <c r="D33" s="61" t="n">
        <v>1065</v>
      </c>
      <c r="E33" s="62" t="inlineStr">
        <is>
          <t>25-Sep-2026</t>
        </is>
      </c>
      <c r="F33" s="63" t="inlineStr">
        <is>
          <t>cut</t>
        </is>
      </c>
      <c r="G33" s="63" t="inlineStr">
        <is>
          <t>Benzinga</t>
        </is>
      </c>
      <c r="H33" s="4" t="n"/>
      <c r="I33" s="4" t="n"/>
      <c r="J33" s="4" t="n"/>
      <c r="K33" s="4" t="n"/>
      <c r="L33" s="4" t="n"/>
    </row>
    <row r="34">
      <c r="A34" s="7" t="inlineStr">
        <is>
          <t>JPMorgan (Christopher Horvers)</t>
        </is>
      </c>
      <c r="B34" s="7" t="inlineStr">
        <is>
          <t>Overweight</t>
        </is>
      </c>
      <c r="C34" s="61" t="n">
        <v>1100</v>
      </c>
      <c r="D34" s="61" t="n">
        <v>1015</v>
      </c>
      <c r="E34" s="62" t="inlineStr">
        <is>
          <t>25-Sep-2026</t>
        </is>
      </c>
      <c r="F34" s="63" t="inlineStr">
        <is>
          <t>cut</t>
        </is>
      </c>
      <c r="G34" s="63" t="inlineStr">
        <is>
          <t>Benzinga</t>
        </is>
      </c>
      <c r="H34" s="4" t="n"/>
      <c r="I34" s="4" t="n"/>
      <c r="J34" s="4" t="n"/>
      <c r="K34" s="4" t="n"/>
      <c r="L34" s="4" t="n"/>
    </row>
    <row r="35">
      <c r="A35" s="7" t="inlineStr">
        <is>
          <t>Raymond James (Bobby Griffin)</t>
        </is>
      </c>
      <c r="B35" s="7" t="inlineStr">
        <is>
          <t>Outperform</t>
        </is>
      </c>
      <c r="C35" s="61" t="n">
        <v>1100</v>
      </c>
      <c r="D35" s="61" t="n">
        <v>1050</v>
      </c>
      <c r="E35" s="62" t="inlineStr">
        <is>
          <t>25-Sep-2026</t>
        </is>
      </c>
      <c r="F35" s="63" t="inlineStr">
        <is>
          <t>cut</t>
        </is>
      </c>
      <c r="G35" s="63" t="inlineStr">
        <is>
          <t>Benzinga</t>
        </is>
      </c>
      <c r="H35" s="4" t="n"/>
      <c r="I35" s="4" t="n"/>
      <c r="J35" s="4" t="n"/>
      <c r="K35" s="4" t="n"/>
      <c r="L35" s="4" t="n"/>
    </row>
    <row r="36">
      <c r="A36" s="7" t="inlineStr">
        <is>
          <t>Truist (Scot Ciccarelli)</t>
        </is>
      </c>
      <c r="B36" s="7" t="inlineStr">
        <is>
          <t>Hold</t>
        </is>
      </c>
      <c r="C36" s="61" t="n">
        <v>1011</v>
      </c>
      <c r="D36" s="61" t="n">
        <v>955</v>
      </c>
      <c r="E36" s="62" t="inlineStr">
        <is>
          <t>25-Sep-2026</t>
        </is>
      </c>
      <c r="F36" s="63" t="inlineStr">
        <is>
          <t>cut</t>
        </is>
      </c>
      <c r="G36" s="63" t="inlineStr">
        <is>
          <t>Benzinga</t>
        </is>
      </c>
      <c r="H36" s="4" t="n"/>
      <c r="I36" s="4" t="n"/>
      <c r="J36" s="4" t="n"/>
      <c r="K36" s="4" t="n"/>
      <c r="L36" s="4" t="n"/>
    </row>
    <row r="37">
      <c r="A37" s="7" t="inlineStr">
        <is>
          <t>Wells Fargo (Edward Kelly)</t>
        </is>
      </c>
      <c r="B37" s="7" t="inlineStr">
        <is>
          <t>Equal-Weight</t>
        </is>
      </c>
      <c r="C37" s="61" t="n">
        <v>1000</v>
      </c>
      <c r="D37" s="61" t="n">
        <v>950</v>
      </c>
      <c r="E37" s="62" t="inlineStr">
        <is>
          <t>25-Sep-2026</t>
        </is>
      </c>
      <c r="F37" s="63" t="inlineStr">
        <is>
          <t>cut</t>
        </is>
      </c>
      <c r="G37" s="63" t="inlineStr">
        <is>
          <t>Benzinga</t>
        </is>
      </c>
      <c r="H37" s="4" t="n"/>
      <c r="I37" s="4" t="n"/>
      <c r="J37" s="4" t="n"/>
      <c r="K37" s="4" t="n"/>
      <c r="L37" s="4" t="n"/>
    </row>
    <row r="38">
      <c r="A38" s="7" t="inlineStr">
        <is>
          <t>Freedom Broker (Georgy Vashchenko)</t>
        </is>
      </c>
      <c r="B38" s="7" t="inlineStr">
        <is>
          <t>Buy</t>
        </is>
      </c>
      <c r="C38" s="61" t="n">
        <v>1030</v>
      </c>
      <c r="D38" s="61" t="n">
        <v>1010</v>
      </c>
      <c r="E38" s="62" t="inlineStr">
        <is>
          <t>25-Sep-2026</t>
        </is>
      </c>
      <c r="F38" s="63" t="inlineStr">
        <is>
          <t>cut</t>
        </is>
      </c>
      <c r="G38" s="63" t="inlineStr">
        <is>
          <t>Benzinga</t>
        </is>
      </c>
      <c r="H38" s="4" t="n"/>
      <c r="I38" s="4" t="n"/>
      <c r="J38" s="4" t="n"/>
      <c r="K38" s="4" t="n"/>
      <c r="L38" s="4" t="n"/>
    </row>
    <row r="39">
      <c r="A39" s="7" t="inlineStr">
        <is>
          <t>Deutsche Bank (Krisztina Katai)</t>
        </is>
      </c>
      <c r="B39" s="7" t="inlineStr">
        <is>
          <t>Buy</t>
        </is>
      </c>
      <c r="C39" s="61" t="n">
        <v>1091</v>
      </c>
      <c r="D39" s="61" t="n">
        <v>1079</v>
      </c>
      <c r="E39" s="62" t="inlineStr">
        <is>
          <t>28-Sep-2026</t>
        </is>
      </c>
      <c r="F39" s="63" t="inlineStr">
        <is>
          <t>cut</t>
        </is>
      </c>
      <c r="G39" s="63" t="inlineStr">
        <is>
          <t>Benzinga</t>
        </is>
      </c>
      <c r="H39" s="4" t="n"/>
      <c r="I39" s="4" t="n"/>
      <c r="J39" s="4" t="n"/>
      <c r="K39" s="4" t="n"/>
      <c r="L39" s="4" t="n"/>
    </row>
    <row r="40">
      <c r="A40" s="7" t="inlineStr">
        <is>
          <t>DA Davidson (Michael Baker)</t>
        </is>
      </c>
      <c r="B40" s="7" t="inlineStr">
        <is>
          <t>Neutral</t>
        </is>
      </c>
      <c r="C40" s="61" t="n">
        <v>1000</v>
      </c>
      <c r="D40" s="61" t="n">
        <v>1040</v>
      </c>
      <c r="E40" s="62" t="inlineStr">
        <is>
          <t>25-Sep-2026</t>
        </is>
      </c>
      <c r="F40" s="63" t="inlineStr">
        <is>
          <t>raise</t>
        </is>
      </c>
      <c r="G40" s="63" t="inlineStr">
        <is>
          <t>Benzinga</t>
        </is>
      </c>
      <c r="H40" s="4" t="n"/>
      <c r="I40" s="4" t="n"/>
      <c r="J40" s="4" t="n"/>
      <c r="K40" s="4" t="n"/>
      <c r="L40" s="4" t="n"/>
    </row>
    <row r="41">
      <c r="A41" s="7" t="inlineStr">
        <is>
          <t>RBC Capital (Steven Shemesh)</t>
        </is>
      </c>
      <c r="B41" s="7" t="inlineStr">
        <is>
          <t>Sector Perform</t>
        </is>
      </c>
      <c r="C41" s="61" t="n">
        <v>1000</v>
      </c>
      <c r="D41" s="61" t="n">
        <v>1000</v>
      </c>
      <c r="E41" s="62" t="inlineStr">
        <is>
          <t>1-Oct-2026</t>
        </is>
      </c>
      <c r="F41" s="63" t="inlineStr">
        <is>
          <t>unchanged</t>
        </is>
      </c>
      <c r="G41" s="63" t="inlineStr">
        <is>
          <t>Benzinga 25-Sep; reaffirmed 1-Oct (stockanalysis)</t>
        </is>
      </c>
      <c r="H41" s="4" t="n"/>
      <c r="I41" s="4" t="n"/>
      <c r="J41" s="4" t="n"/>
      <c r="K41" s="4" t="n"/>
      <c r="L41" s="4" t="n"/>
    </row>
    <row r="42">
      <c r="A42" s="7" t="inlineStr">
        <is>
          <t>Roth Capital (Bill Kirk)</t>
        </is>
      </c>
      <c r="B42" s="7" t="inlineStr">
        <is>
          <t>Sell</t>
        </is>
      </c>
      <c r="C42" s="61" t="n">
        <v>781</v>
      </c>
      <c r="D42" s="61" t="n">
        <v>781</v>
      </c>
      <c r="E42" s="62" t="inlineStr">
        <is>
          <t>25-Sep-2026</t>
        </is>
      </c>
      <c r="F42" s="63" t="inlineStr">
        <is>
          <t>unchanged</t>
        </is>
      </c>
      <c r="G42" s="63" t="inlineStr">
        <is>
          <t>Benzinga</t>
        </is>
      </c>
      <c r="H42" s="4" t="n"/>
      <c r="I42" s="4" t="n"/>
      <c r="J42" s="4" t="n"/>
      <c r="K42" s="4" t="n"/>
      <c r="L42" s="4" t="n"/>
    </row>
    <row r="43">
      <c r="A43" s="7" t="inlineStr">
        <is>
          <t>Argus Research (Christopher Graja)</t>
        </is>
      </c>
      <c r="B43" s="7" t="inlineStr">
        <is>
          <t>Buy</t>
        </is>
      </c>
      <c r="C43" s="61" t="n">
        <v>1230</v>
      </c>
      <c r="D43" s="61" t="n">
        <v>1230</v>
      </c>
      <c r="E43" s="62" t="inlineStr">
        <is>
          <t>28-Sep-2026</t>
        </is>
      </c>
      <c r="F43" s="63" t="inlineStr">
        <is>
          <t>unchanged</t>
        </is>
      </c>
      <c r="G43" s="63" t="inlineStr">
        <is>
          <t>Benzinga</t>
        </is>
      </c>
      <c r="H43" s="4" t="n"/>
      <c r="I43" s="4" t="n"/>
      <c r="J43" s="4" t="n"/>
      <c r="K43" s="4" t="n"/>
      <c r="L43" s="4" t="n"/>
    </row>
    <row r="44">
      <c r="A44" s="7" t="inlineStr">
        <is>
          <t>Telsey Advisory (Joe Feldman)</t>
        </is>
      </c>
      <c r="B44" s="7" t="inlineStr">
        <is>
          <t>Buy</t>
        </is>
      </c>
      <c r="C44" s="61" t="n">
        <v>1135</v>
      </c>
      <c r="D44" s="61" t="n">
        <v>1135</v>
      </c>
      <c r="E44" s="62" t="inlineStr">
        <is>
          <t>30-Sep-2026</t>
        </is>
      </c>
      <c r="F44" s="63" t="inlineStr">
        <is>
          <t>unchanged</t>
        </is>
      </c>
      <c r="G44" s="63" t="inlineStr">
        <is>
          <t>stockanalysis</t>
        </is>
      </c>
      <c r="H44" s="4" t="n"/>
      <c r="I44" s="4" t="n"/>
      <c r="J44" s="4" t="n"/>
      <c r="K44" s="4" t="n"/>
      <c r="L44" s="4" t="n"/>
    </row>
    <row r="45">
      <c r="A45" s="4" t="inlineStr">
        <is>
          <t>Jefferies</t>
        </is>
      </c>
      <c r="B45" s="4" t="inlineStr">
        <is>
          <t>not stated</t>
        </is>
      </c>
      <c r="C45" s="130" t="n">
        <v>1130</v>
      </c>
      <c r="D45" s="130" t="n">
        <v>1100</v>
      </c>
      <c r="E45" s="4" t="inlineStr">
        <is>
          <t>25-Sep-2026</t>
        </is>
      </c>
      <c r="F45" s="4" t="inlineStr">
        <is>
          <t>cut</t>
        </is>
      </c>
      <c r="G45" s="4" t="inlineStr">
        <is>
          <t>MarketBeat forecast page, read 20-Oct-2026</t>
        </is>
      </c>
      <c r="H45" s="4" t="n"/>
      <c r="I45" s="4" t="n"/>
      <c r="J45" s="4" t="n"/>
      <c r="K45" s="4" t="n"/>
      <c r="L45" s="4" t="n"/>
    </row>
    <row r="46">
      <c r="A46" s="7" t="inlineStr">
        <is>
          <t>Post-print target cuts</t>
        </is>
      </c>
      <c r="B46" s="54">
        <f>COUNTIF(F32:F45,"cut")</f>
        <v/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7" t="inlineStr">
        <is>
          <t>Post-print target raises</t>
        </is>
      </c>
      <c r="B47" s="54">
        <f>COUNTIF(F32:F45,"raise")</f>
        <v/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Post-print targets unchanged</t>
        </is>
      </c>
      <c r="B48" s="54">
        <f>COUNTIF(F32:F45,"unchanged")</f>
        <v/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Largest post-print cut ($)</t>
        </is>
      </c>
      <c r="B49" s="64">
        <f>SUMPRODUCT(MAX(C32:C45-D32:D45))</f>
        <v/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3" t="inlineStr">
        <is>
          <t>Before the print: BofA $1,200 → $1,095 and Oppenheimer $1,160 maintained (16-Sep); BTIG $1,125 maintained (23-Sep). After the print and our 1-Oct valuation: Tigress Financial $1,065 → $1,250 (15-Oct-2026).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3" t="inlineStr">
        <is>
          <t>Bernstein cut $1,194 → $1,144 on 4-Sep and $1 more after the print. S&amp;P Global average: $1,077 on 4-Sep-2026.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83" t="inlineStr">
        <is>
          <t>A SECOND POLL — the two vendors disagree, so both are shown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4" t="n"/>
      <c r="L52" s="4" t="n"/>
    </row>
    <row r="53">
      <c r="A53" s="7" t="inlineStr">
        <is>
          <t>Benzinga consensus: analysts</t>
        </is>
      </c>
      <c r="B53" s="27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Benzinga consensus: average target ($)</t>
        </is>
      </c>
      <c r="B54" s="61" t="n">
        <v>1084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Benzinga consensus: Buy / Hold / Sell</t>
        </is>
      </c>
      <c r="B55" s="7" t="inlineStr">
        <is>
          <t>20 / 4 / 1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7" t="inlineStr">
        <is>
          <t>Benzinga average vs price</t>
        </is>
      </c>
      <c r="B56" s="30">
        <f>B54/Overview!B6-1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5" t="inlineStr">
        <is>
          <t>OUR FORECAST AGAINST CONSENSUS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4" t="n"/>
      <c r="L58" s="4" t="n"/>
    </row>
    <row r="59">
      <c r="A59" s="7" t="inlineStr">
        <is>
          <t>Our FY2027E total revenue vs consensus</t>
        </is>
      </c>
      <c r="B59" s="30">
        <f>Forecast!C8/(B25*1000)-1</f>
        <v/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Our FY2027E EPS vs consensus</t>
        </is>
      </c>
      <c r="B60" s="30">
        <f>Forecast!C22/B23-1</f>
        <v/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3">
        <f>"Revenue is within "&amp;TEXT(ABS(B59),"0.0%")&amp;" of consensus, so the EPS gap is NOT gas (near-zero margin). It sits in fee growth and merchandise margin, where our drivers are below the Street's implied path."</f>
        <v/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3">
      <c r="A63" s="66" t="inlineStr">
        <is>
          <t>Q4 FY2026 consensus EPS ($) — Benzinga, 25-Sep-2026</t>
        </is>
      </c>
      <c r="B63" s="73" t="n">
        <v>6.52</v>
      </c>
      <c r="C63" s="90" t="inlineStr">
        <is>
          <t>other polls: $6.54 (MarketBeat), $6.55 (Tradingpedia)</t>
        </is>
      </c>
    </row>
    <row r="64">
      <c r="A64" s="66" t="inlineStr">
        <is>
          <t>Q4 reported EPS less consensus ($)</t>
        </is>
      </c>
      <c r="B64" s="74">
        <f>'Income Statement'!B37-B63</f>
        <v/>
      </c>
    </row>
    <row r="65">
      <c r="A65" s="66" t="inlineStr">
        <is>
          <t>Q4 EPS ex tariff refund less consensus ($)</t>
        </is>
      </c>
      <c r="B65" s="74">
        <f>'Income Statement'!B38-B63</f>
        <v/>
      </c>
    </row>
    <row r="67">
      <c r="A67" s="91" t="inlineStr">
        <is>
          <t>COSTCO'S OWN TRAILING P/E AT FISCAL YEAR-ENDS — close on the last trading day (Yahoo Finance; FY2026 matches stockanalysis)</t>
        </is>
      </c>
      <c r="B67" s="76" t="n"/>
      <c r="C67" s="76" t="n"/>
      <c r="D67" s="76" t="n"/>
      <c r="E67" s="76" t="n"/>
      <c r="F67" s="76" t="n"/>
      <c r="G67" s="76" t="n"/>
      <c r="H67" s="76" t="n"/>
    </row>
    <row r="68">
      <c r="A68" s="77" t="inlineStr">
        <is>
          <t>Fiscal year</t>
        </is>
      </c>
      <c r="B68" s="77" t="inlineStr">
        <is>
          <t>Close ($)</t>
        </is>
      </c>
      <c r="C68" s="77" t="inlineStr">
        <is>
          <t>Reported EPS ($)</t>
        </is>
      </c>
      <c r="D68" s="77" t="inlineStr">
        <is>
          <t>Trailing P/E (x)</t>
        </is>
      </c>
    </row>
    <row r="69">
      <c r="A69" s="66" t="inlineStr">
        <is>
          <t>FY2022 (26-Aug-2022)</t>
        </is>
      </c>
      <c r="B69" s="73" t="n">
        <v>531.8200000000001</v>
      </c>
      <c r="C69" s="74">
        <f>'Income Statement'!B18</f>
        <v/>
      </c>
      <c r="D69" s="78">
        <f>B69/C69</f>
        <v/>
      </c>
    </row>
    <row r="70">
      <c r="A70" s="66" t="inlineStr">
        <is>
          <t>FY2023 (1-Sep-2023)</t>
        </is>
      </c>
      <c r="B70" s="73" t="n">
        <v>544.25</v>
      </c>
      <c r="C70" s="74">
        <f>'Income Statement'!C18</f>
        <v/>
      </c>
      <c r="D70" s="78">
        <f>B70/C70</f>
        <v/>
      </c>
    </row>
    <row r="71">
      <c r="A71" s="66" t="inlineStr">
        <is>
          <t>FY2024 (30-Aug-2024)</t>
        </is>
      </c>
      <c r="B71" s="73" t="n">
        <v>892.38</v>
      </c>
      <c r="C71" s="74">
        <f>'Income Statement'!D18</f>
        <v/>
      </c>
      <c r="D71" s="78">
        <f>B71/C71</f>
        <v/>
      </c>
    </row>
    <row r="72">
      <c r="A72" s="66" t="inlineStr">
        <is>
          <t>FY2025 (29-Aug-2025)</t>
        </is>
      </c>
      <c r="B72" s="73" t="n">
        <v>943.3200000000001</v>
      </c>
      <c r="C72" s="74">
        <f>'Income Statement'!E18</f>
        <v/>
      </c>
      <c r="D72" s="78">
        <f>B72/C72</f>
        <v/>
      </c>
    </row>
    <row r="73">
      <c r="A73" s="66" t="inlineStr">
        <is>
          <t>FY2026 (28-Aug-2026)</t>
        </is>
      </c>
      <c r="B73" s="73" t="n">
        <v>945.47</v>
      </c>
      <c r="C73" s="74">
        <f>'Income Statement'!F18</f>
        <v/>
      </c>
      <c r="D73" s="78">
        <f>B73/C73</f>
        <v/>
      </c>
    </row>
    <row r="74">
      <c r="A74" s="66" t="inlineStr">
        <is>
          <t>Five-year low / high (x)</t>
        </is>
      </c>
      <c r="B74" s="78">
        <f>MIN(D69:D73)</f>
        <v/>
      </c>
      <c r="C74" s="78">
        <f>MAX(D69:D73)</f>
        <v/>
      </c>
    </row>
    <row r="75">
      <c r="A75" s="66" t="inlineStr">
        <is>
          <t>Today, on recurring FY2026 EPS (x)</t>
        </is>
      </c>
      <c r="B75" s="79">
        <f>Overview!B19</f>
        <v/>
      </c>
    </row>
    <row r="76">
      <c r="A76" s="66" t="inlineStr">
        <is>
          <t>Our fair value ÷ recurring FY2026 EPS (x)</t>
        </is>
      </c>
      <c r="B76" s="79">
        <f>Valuation!B40/'Income Statement'!F27</f>
        <v/>
      </c>
    </row>
    <row r="77">
      <c r="A77" s="131" t="inlineStr">
        <is>
          <t>Premium share at which Methods 2 and 3 equal the price (solved; memo)</t>
        </is>
      </c>
      <c r="B77" s="132" t="n">
        <v>1.094015</v>
      </c>
      <c r="C77" s="74">
        <f>IF(ABS((Valuation!D37*(Valuation!B22+B77*(Valuation!B23-Valuation!B22))*Valuation!B13+Valuation!D38*((Valuation!B29+B77*(G5-Valuation!B29))*Valuation!B14+Valuation!B15)/Valuation!B12)/(Valuation!D37+Valuation!D38)-Overview!B6)&lt;1,"PASS","FAIL")</f>
        <v/>
      </c>
    </row>
    <row r="78">
      <c r="A78" s="66" t="inlineStr">
        <is>
          <t>Five-year average / median (x)</t>
        </is>
      </c>
      <c r="B78" s="78">
        <f>AVERAGE(D69:D73)</f>
        <v/>
      </c>
      <c r="C78" s="78">
        <f>MEDIAN(D69:D73)</f>
        <v/>
      </c>
    </row>
    <row r="81">
      <c r="A81" s="75" t="inlineStr">
        <is>
          <t>COSTCO'S PREMIUM TO WALMART THROUGH THE CYCLE — trailing P/E; Walmart on its own adjusted EPS, split-adjusted</t>
        </is>
      </c>
      <c r="B81" s="76" t="n"/>
      <c r="C81" s="76" t="n"/>
      <c r="D81" s="76" t="n"/>
      <c r="E81" s="76" t="n"/>
      <c r="F81" s="76" t="n"/>
      <c r="G81" s="76" t="n"/>
      <c r="H81" s="76" t="n"/>
      <c r="I81" s="76" t="n"/>
    </row>
    <row r="82">
      <c r="A82" s="77" t="inlineStr">
        <is>
          <t>Date</t>
        </is>
      </c>
      <c r="B82" s="77" t="inlineStr">
        <is>
          <t>US 10-yr</t>
        </is>
      </c>
      <c r="C82" s="77" t="inlineStr">
        <is>
          <t>COST close ($)</t>
        </is>
      </c>
      <c r="D82" s="77" t="inlineStr">
        <is>
          <t>COST trailing EPS ($)</t>
        </is>
      </c>
      <c r="E82" s="77" t="inlineStr">
        <is>
          <t>COST P/E (x)</t>
        </is>
      </c>
      <c r="F82" s="77" t="inlineStr">
        <is>
          <t>WMT close ($)</t>
        </is>
      </c>
      <c r="G82" s="77" t="inlineStr">
        <is>
          <t>WMT TTM adj. EPS ($)</t>
        </is>
      </c>
      <c r="H82" s="77" t="inlineStr">
        <is>
          <t>WMT P/E (x)</t>
        </is>
      </c>
      <c r="I82" s="77" t="inlineStr">
        <is>
          <t>COST premium</t>
        </is>
      </c>
    </row>
    <row r="83">
      <c r="A83" s="66" t="inlineStr">
        <is>
          <t>26-Aug-2022 (FY2022 end)</t>
        </is>
      </c>
      <c r="B83" s="92" t="n">
        <v>0.0304</v>
      </c>
      <c r="C83" s="73" t="n">
        <v>531.8200000000001</v>
      </c>
      <c r="D83" s="74">
        <f>'Income Statement'!B18</f>
        <v/>
      </c>
      <c r="E83" s="78">
        <f>C83/D83</f>
        <v/>
      </c>
      <c r="F83" s="73" t="n">
        <v>43.866669</v>
      </c>
      <c r="G83" s="93">
        <f>C93-C94+C95</f>
        <v/>
      </c>
      <c r="H83" s="78">
        <f>F83/G83</f>
        <v/>
      </c>
      <c r="I83" s="87">
        <f>E83/H83-1</f>
        <v/>
      </c>
    </row>
    <row r="84">
      <c r="A84" s="66" t="inlineStr">
        <is>
          <t>1-Sep-2023 (FY2023 end)</t>
        </is>
      </c>
      <c r="B84" s="92" t="n">
        <v>0.0418</v>
      </c>
      <c r="C84" s="73" t="n">
        <v>544.25</v>
      </c>
      <c r="D84" s="74">
        <f>'Income Statement'!C18</f>
        <v/>
      </c>
      <c r="E84" s="78">
        <f>C84/D84</f>
        <v/>
      </c>
      <c r="F84" s="73" t="n">
        <v>53.856667</v>
      </c>
      <c r="G84" s="93">
        <f>C96-C95+C97</f>
        <v/>
      </c>
      <c r="H84" s="78">
        <f>F84/G84</f>
        <v/>
      </c>
      <c r="I84" s="87">
        <f>E84/H84-1</f>
        <v/>
      </c>
    </row>
    <row r="85">
      <c r="A85" s="66" t="inlineStr">
        <is>
          <t>19-Oct-2023 (2023 yield peak, 4.98%)</t>
        </is>
      </c>
      <c r="B85" s="92" t="n">
        <v>0.0498</v>
      </c>
      <c r="C85" s="73" t="n">
        <v>565.63</v>
      </c>
      <c r="D85" s="74">
        <f>'Income Statement'!C18</f>
        <v/>
      </c>
      <c r="E85" s="78">
        <f>C85/D85</f>
        <v/>
      </c>
      <c r="F85" s="73" t="n">
        <v>53.59</v>
      </c>
      <c r="G85" s="93">
        <f>C96-C95+C97</f>
        <v/>
      </c>
      <c r="H85" s="78">
        <f>F85/G85</f>
        <v/>
      </c>
      <c r="I85" s="87">
        <f>E85/H85-1</f>
        <v/>
      </c>
    </row>
    <row r="86">
      <c r="A86" s="66" t="inlineStr">
        <is>
          <t>30-Aug-2024 (FY2024 end)</t>
        </is>
      </c>
      <c r="B86" s="92" t="n">
        <v>0.0391</v>
      </c>
      <c r="C86" s="73" t="n">
        <v>892.38</v>
      </c>
      <c r="D86" s="74">
        <f>'Income Statement'!D18</f>
        <v/>
      </c>
      <c r="E86" s="78">
        <f>C86/D86</f>
        <v/>
      </c>
      <c r="F86" s="73" t="n">
        <v>77.23</v>
      </c>
      <c r="G86" s="93">
        <f>C98-C97+C99</f>
        <v/>
      </c>
      <c r="H86" s="78">
        <f>F86/G86</f>
        <v/>
      </c>
      <c r="I86" s="87">
        <f>E86/H86-1</f>
        <v/>
      </c>
    </row>
    <row r="87">
      <c r="A87" s="66" t="inlineStr">
        <is>
          <t>29-Aug-2025 (FY2025 end)</t>
        </is>
      </c>
      <c r="B87" s="92" t="n">
        <v>0.0423</v>
      </c>
      <c r="C87" s="73" t="n">
        <v>943.3200000000001</v>
      </c>
      <c r="D87" s="74">
        <f>'Income Statement'!E18</f>
        <v/>
      </c>
      <c r="E87" s="78">
        <f>C87/D87</f>
        <v/>
      </c>
      <c r="F87" s="73" t="n">
        <v>96.98</v>
      </c>
      <c r="G87" s="93">
        <f>C100-C99+C101</f>
        <v/>
      </c>
      <c r="H87" s="78">
        <f>F87/G87</f>
        <v/>
      </c>
      <c r="I87" s="87">
        <f>E87/H87-1</f>
        <v/>
      </c>
    </row>
    <row r="88">
      <c r="A88" s="66" t="inlineStr">
        <is>
          <t>28-Aug-2026 (FY2026 end)</t>
        </is>
      </c>
      <c r="B88" s="92" t="n">
        <v>0.0473</v>
      </c>
      <c r="C88" s="73" t="n">
        <v>945.47</v>
      </c>
      <c r="D88" s="74">
        <f>'Income Statement'!F18</f>
        <v/>
      </c>
      <c r="E88" s="78">
        <f>C88/D88</f>
        <v/>
      </c>
      <c r="F88" s="73" t="n">
        <v>103.09</v>
      </c>
      <c r="G88" s="93">
        <f>C102-C101+C103</f>
        <v/>
      </c>
      <c r="H88" s="78">
        <f>F88/G88</f>
        <v/>
      </c>
      <c r="I88" s="87">
        <f>E88/H88-1</f>
        <v/>
      </c>
    </row>
    <row r="89">
      <c r="A89" s="66" t="inlineStr">
        <is>
          <t>16-Oct-2026 (today; EPS ex tariff refund)</t>
        </is>
      </c>
      <c r="B89" s="81">
        <f>Overview!B17</f>
        <v/>
      </c>
      <c r="C89" s="74">
        <f>Overview!B6</f>
        <v/>
      </c>
      <c r="D89" s="74">
        <f>'Income Statement'!F27</f>
        <v/>
      </c>
      <c r="E89" s="78">
        <f>C89/D89</f>
        <v/>
      </c>
      <c r="F89" s="73" t="n">
        <v>118.81</v>
      </c>
      <c r="G89" s="93">
        <f>C102-C101+C103</f>
        <v/>
      </c>
      <c r="H89" s="78">
        <f>F89/G89</f>
        <v/>
      </c>
      <c r="I89" s="87">
        <f>E89/H89-1</f>
        <v/>
      </c>
    </row>
    <row r="90">
      <c r="A90" s="66" t="inlineStr">
        <is>
          <t>Premium before today: lowest / median / highest</t>
        </is>
      </c>
      <c r="B90" s="87">
        <f>MIN(I83:I88)</f>
        <v/>
      </c>
      <c r="C90" s="87">
        <f>MEDIAN(I83:I88)</f>
        <v/>
      </c>
      <c r="D90" s="87">
        <f>MAX(I83:I88)</f>
        <v/>
      </c>
    </row>
    <row r="91">
      <c r="A91" s="77" t="inlineStr">
        <is>
          <t>Costco's own trailing P/E in the Oct-2023 yield-peak window — 14-session average (rows 110–123); Method 4, zero weight (x)</t>
        </is>
      </c>
      <c r="B91" s="78">
        <f>B124</f>
        <v/>
      </c>
    </row>
    <row r="92">
      <c r="A92" s="77" t="inlineStr">
        <is>
          <t>WALMART ADJUSTED EPS — its 8-K earnings releases (SEC EDGAR); pre-split figures ÷ 3 for the Feb-2024 3-for-1 split</t>
        </is>
      </c>
      <c r="B92" s="77" t="inlineStr">
        <is>
          <t>as reported</t>
        </is>
      </c>
      <c r="C92" s="77" t="inlineStr">
        <is>
          <t>split-adjusted</t>
        </is>
      </c>
    </row>
    <row r="93">
      <c r="A93" s="66" t="inlineStr">
        <is>
          <t>FY2022 (year to Jan-2022)</t>
        </is>
      </c>
      <c r="B93" s="94" t="n">
        <v>6.46</v>
      </c>
      <c r="C93" s="93">
        <f>B93/3</f>
        <v/>
      </c>
    </row>
    <row r="94">
      <c r="A94" s="66" t="inlineStr">
        <is>
          <t>H1 FY2022 (six months to Jul-2021)</t>
        </is>
      </c>
      <c r="B94" s="94" t="n">
        <v>3.48</v>
      </c>
      <c r="C94" s="93">
        <f>B94/3</f>
        <v/>
      </c>
    </row>
    <row r="95">
      <c r="A95" s="66" t="inlineStr">
        <is>
          <t>H1 FY2023 (to Jul-2022)</t>
        </is>
      </c>
      <c r="B95" s="94" t="n">
        <v>3.07</v>
      </c>
      <c r="C95" s="93">
        <f>B95/3</f>
        <v/>
      </c>
    </row>
    <row r="96">
      <c r="A96" s="66" t="inlineStr">
        <is>
          <t>FY2023 (year to Jan-2023)</t>
        </is>
      </c>
      <c r="B96" s="94" t="n">
        <v>6.29</v>
      </c>
      <c r="C96" s="93">
        <f>B96/3</f>
        <v/>
      </c>
    </row>
    <row r="97">
      <c r="A97" s="66" t="inlineStr">
        <is>
          <t>H1 FY2024 (to Jul-2023)</t>
        </is>
      </c>
      <c r="B97" s="94" t="n">
        <v>3.31</v>
      </c>
      <c r="C97" s="93">
        <f>B97/3</f>
        <v/>
      </c>
    </row>
    <row r="98">
      <c r="A98" s="66" t="inlineStr">
        <is>
          <t>FY2024 (year to Jan-2024, restated post-split)</t>
        </is>
      </c>
      <c r="B98" s="94" t="n">
        <v>2.22</v>
      </c>
      <c r="C98" s="93">
        <f>B98</f>
        <v/>
      </c>
    </row>
    <row r="99">
      <c r="A99" s="66" t="inlineStr">
        <is>
          <t>H1 FY2025 (to Jul-2024)</t>
        </is>
      </c>
      <c r="B99" s="94" t="n">
        <v>1.27</v>
      </c>
      <c r="C99" s="93">
        <f>B99</f>
        <v/>
      </c>
    </row>
    <row r="100">
      <c r="A100" s="66" t="inlineStr">
        <is>
          <t>FY2025 (year to Jan-2025)</t>
        </is>
      </c>
      <c r="B100" s="94" t="n">
        <v>2.51</v>
      </c>
      <c r="C100" s="93">
        <f>B100</f>
        <v/>
      </c>
    </row>
    <row r="101">
      <c r="A101" s="66" t="inlineStr">
        <is>
          <t>H1 FY2026 (to Jul-2025)</t>
        </is>
      </c>
      <c r="B101" s="94" t="n">
        <v>1.29</v>
      </c>
      <c r="C101" s="93">
        <f>B101</f>
        <v/>
      </c>
    </row>
    <row r="102">
      <c r="A102" s="66" t="inlineStr">
        <is>
          <t>FY2026 (year to Jan-2026)</t>
        </is>
      </c>
      <c r="B102" s="94" t="n">
        <v>2.64</v>
      </c>
      <c r="C102" s="93">
        <f>B102</f>
        <v/>
      </c>
    </row>
    <row r="103">
      <c r="A103" s="66" t="inlineStr">
        <is>
          <t>H1 FY2027 (to Jul-2026)</t>
        </is>
      </c>
      <c r="B103" s="94" t="n">
        <v>1.46</v>
      </c>
      <c r="C103" s="93">
        <f>B103</f>
        <v/>
      </c>
    </row>
    <row r="104">
      <c r="A104" s="90" t="inlineStr">
        <is>
          <t>TTM at each date = last full year − its first half + the latest first half; halves are Walmart's own six-month YTD adjusted EPS (Q2 reported mid-August, before each Costco year-end). Costco's FY EPS is the year just ended, reported about four weeks after each date.</t>
        </is>
      </c>
    </row>
    <row r="105">
      <c r="A105" s="90" t="inlineStr">
        <is>
          <t>Closes: Yahoo Finance chart data (split-adjusted, not dividend-adjusted), cross-checked against StatMuse and digrin in the 3-Oct-2026 review; 10-yr: FRED DGS10 / Treasury par curve.</t>
        </is>
      </c>
    </row>
    <row r="106">
      <c r="A106" s="90" t="inlineStr">
        <is>
          <t>Reading: the premium is the lowest in the series (62% at the Oct-2023 yield peak) — no basis for cutting it. FY2023 EPS is a 53-week year and also absorbs $391m of charter-shipping charges; neither is adjusted.</t>
        </is>
      </c>
    </row>
    <row r="108">
      <c r="A108" s="77" t="inlineStr">
        <is>
          <t>THE OCT-2023 YIELD PEAK — every session in 2023 with the 10-yr at or above 4.75% (FRED DGS10; none closed at 5%); COST on FY2023 EPS, the latest reported then</t>
        </is>
      </c>
    </row>
    <row r="109">
      <c r="A109" s="77" t="inlineStr">
        <is>
          <t>Date</t>
        </is>
      </c>
      <c r="B109" s="77" t="inlineStr">
        <is>
          <t>US 10-yr</t>
        </is>
      </c>
      <c r="C109" s="77" t="inlineStr">
        <is>
          <t>COST close ($)</t>
        </is>
      </c>
      <c r="D109" s="77" t="inlineStr">
        <is>
          <t>COST trailing P/E (x)</t>
        </is>
      </c>
    </row>
    <row r="110">
      <c r="A110" s="66" t="inlineStr">
        <is>
          <t>3-Oct-2023</t>
        </is>
      </c>
      <c r="B110" s="92" t="n">
        <v>0.0481</v>
      </c>
      <c r="C110" s="73" t="n">
        <v>565.04</v>
      </c>
      <c r="D110" s="79">
        <f>C110/'Income Statement'!$C$18</f>
        <v/>
      </c>
    </row>
    <row r="111">
      <c r="A111" s="66" t="inlineStr">
        <is>
          <t>6-Oct-2023</t>
        </is>
      </c>
      <c r="B111" s="92" t="n">
        <v>0.0478</v>
      </c>
      <c r="C111" s="73" t="n">
        <v>557.53</v>
      </c>
      <c r="D111" s="79">
        <f>C111/'Income Statement'!$C$18</f>
        <v/>
      </c>
    </row>
    <row r="112">
      <c r="A112" s="66" t="inlineStr">
        <is>
          <t>17-Oct-2023</t>
        </is>
      </c>
      <c r="B112" s="92" t="n">
        <v>0.0483</v>
      </c>
      <c r="C112" s="73" t="n">
        <v>574.34</v>
      </c>
      <c r="D112" s="79">
        <f>C112/'Income Statement'!$C$18</f>
        <v/>
      </c>
    </row>
    <row r="113">
      <c r="A113" s="66" t="inlineStr">
        <is>
          <t>18-Oct-2023</t>
        </is>
      </c>
      <c r="B113" s="92" t="n">
        <v>0.0491</v>
      </c>
      <c r="C113" s="73" t="n">
        <v>574.64</v>
      </c>
      <c r="D113" s="79">
        <f>C113/'Income Statement'!$C$18</f>
        <v/>
      </c>
    </row>
    <row r="114">
      <c r="A114" s="66" t="inlineStr">
        <is>
          <t>19-Oct-2023</t>
        </is>
      </c>
      <c r="B114" s="92" t="n">
        <v>0.0498</v>
      </c>
      <c r="C114" s="73" t="n">
        <v>565.63</v>
      </c>
      <c r="D114" s="79">
        <f>C114/'Income Statement'!$C$18</f>
        <v/>
      </c>
    </row>
    <row r="115">
      <c r="A115" s="66" t="inlineStr">
        <is>
          <t>20-Oct-2023</t>
        </is>
      </c>
      <c r="B115" s="92" t="n">
        <v>0.0493</v>
      </c>
      <c r="C115" s="73" t="n">
        <v>552.9299999999999</v>
      </c>
      <c r="D115" s="79">
        <f>C115/'Income Statement'!$C$18</f>
        <v/>
      </c>
    </row>
    <row r="116">
      <c r="A116" s="66" t="inlineStr">
        <is>
          <t>23-Oct-2023</t>
        </is>
      </c>
      <c r="B116" s="92" t="n">
        <v>0.0486</v>
      </c>
      <c r="C116" s="73" t="n">
        <v>552.29</v>
      </c>
      <c r="D116" s="79">
        <f>C116/'Income Statement'!$C$18</f>
        <v/>
      </c>
    </row>
    <row r="117">
      <c r="A117" s="66" t="inlineStr">
        <is>
          <t>24-Oct-2023</t>
        </is>
      </c>
      <c r="B117" s="92" t="n">
        <v>0.0483</v>
      </c>
      <c r="C117" s="73" t="n">
        <v>551.84</v>
      </c>
      <c r="D117" s="79">
        <f>C117/'Income Statement'!$C$18</f>
        <v/>
      </c>
    </row>
    <row r="118">
      <c r="A118" s="66" t="inlineStr">
        <is>
          <t>25-Oct-2023</t>
        </is>
      </c>
      <c r="B118" s="92" t="n">
        <v>0.0495</v>
      </c>
      <c r="C118" s="73" t="n">
        <v>549.99</v>
      </c>
      <c r="D118" s="79">
        <f>C118/'Income Statement'!$C$18</f>
        <v/>
      </c>
    </row>
    <row r="119">
      <c r="A119" s="66" t="inlineStr">
        <is>
          <t>26-Oct-2023</t>
        </is>
      </c>
      <c r="B119" s="92" t="n">
        <v>0.0486</v>
      </c>
      <c r="C119" s="73" t="n">
        <v>547.6</v>
      </c>
      <c r="D119" s="79">
        <f>C119/'Income Statement'!$C$18</f>
        <v/>
      </c>
    </row>
    <row r="120">
      <c r="A120" s="66" t="inlineStr">
        <is>
          <t>27-Oct-2023</t>
        </is>
      </c>
      <c r="B120" s="92" t="n">
        <v>0.0484</v>
      </c>
      <c r="C120" s="73" t="n">
        <v>543.03</v>
      </c>
      <c r="D120" s="79">
        <f>C120/'Income Statement'!$C$18</f>
        <v/>
      </c>
    </row>
    <row r="121">
      <c r="A121" s="66" t="inlineStr">
        <is>
          <t>30-Oct-2023</t>
        </is>
      </c>
      <c r="B121" s="92" t="n">
        <v>0.0488</v>
      </c>
      <c r="C121" s="73" t="n">
        <v>554.88</v>
      </c>
      <c r="D121" s="79">
        <f>C121/'Income Statement'!$C$18</f>
        <v/>
      </c>
    </row>
    <row r="122">
      <c r="A122" s="66" t="inlineStr">
        <is>
          <t>31-Oct-2023</t>
        </is>
      </c>
      <c r="B122" s="92" t="n">
        <v>0.0488</v>
      </c>
      <c r="C122" s="73" t="n">
        <v>552.4400000000001</v>
      </c>
      <c r="D122" s="79">
        <f>C122/'Income Statement'!$C$18</f>
        <v/>
      </c>
    </row>
    <row r="123">
      <c r="A123" s="66" t="inlineStr">
        <is>
          <t>1-Nov-2023</t>
        </is>
      </c>
      <c r="B123" s="92" t="n">
        <v>0.0477</v>
      </c>
      <c r="C123" s="73" t="n">
        <v>556.8</v>
      </c>
      <c r="D123" s="79">
        <f>C123/'Income Statement'!$C$18</f>
        <v/>
      </c>
    </row>
    <row r="124">
      <c r="A124" s="77" t="inlineStr">
        <is>
          <t>Window average / low / high (x)</t>
        </is>
      </c>
      <c r="B124" s="78">
        <f>AVERAGE(D110:D123)</f>
        <v/>
      </c>
      <c r="C124" s="78">
        <f>MIN(D110:D123)</f>
        <v/>
      </c>
      <c r="D124" s="78">
        <f>MAX(D110:D123)</f>
        <v/>
      </c>
    </row>
    <row r="128">
      <c r="A128" s="77" t="inlineStr">
        <is>
          <t>COSTCO AT 5%: every session from 1-Sep to 1-Oct-2026 with the 10-yr at or above 5.00% (Treasury par curve); trailing P/E on the EPS reported at each date</t>
        </is>
      </c>
    </row>
    <row r="129">
      <c r="A129" s="77" t="inlineStr">
        <is>
          <t>Date</t>
        </is>
      </c>
      <c r="B129" s="77" t="inlineStr">
        <is>
          <t>US 10-yr</t>
        </is>
      </c>
      <c r="C129" s="77" t="inlineStr">
        <is>
          <t>COST close ($)</t>
        </is>
      </c>
      <c r="D129" s="77" t="inlineStr">
        <is>
          <t>Trailing EPS reported ($)</t>
        </is>
      </c>
      <c r="E129" s="77" t="inlineStr">
        <is>
          <t>P/E reported (x)</t>
        </is>
      </c>
      <c r="F129" s="77" t="inlineStr">
        <is>
          <t>P/E on recurring FY2026 EPS (x)</t>
        </is>
      </c>
    </row>
    <row r="130">
      <c r="A130" t="inlineStr">
        <is>
          <t>15-Sep-2026</t>
        </is>
      </c>
      <c r="B130" s="103" t="n">
        <v>0.05</v>
      </c>
      <c r="C130" s="104" t="n">
        <v>901.35</v>
      </c>
      <c r="D130" s="105" t="n">
        <v>19.88</v>
      </c>
      <c r="E130" s="106">
        <f>C130/D130</f>
        <v/>
      </c>
      <c r="F130" s="107">
        <f>C130/'Income Statement'!$F$27</f>
        <v/>
      </c>
    </row>
    <row r="131">
      <c r="A131" t="inlineStr">
        <is>
          <t>16-Sep-2026</t>
        </is>
      </c>
      <c r="B131" s="103" t="n">
        <v>0.0501</v>
      </c>
      <c r="C131" s="104" t="n">
        <v>893.74</v>
      </c>
      <c r="D131" s="105" t="n">
        <v>19.88</v>
      </c>
      <c r="E131" s="106">
        <f>C131/D131</f>
        <v/>
      </c>
      <c r="F131" s="107">
        <f>C131/'Income Statement'!$F$27</f>
        <v/>
      </c>
    </row>
    <row r="132">
      <c r="A132" t="inlineStr">
        <is>
          <t>18-Sep-2026</t>
        </is>
      </c>
      <c r="B132" s="103" t="n">
        <v>0.0501</v>
      </c>
      <c r="C132" s="104" t="n">
        <v>895.3099999999999</v>
      </c>
      <c r="D132" s="105" t="n">
        <v>19.88</v>
      </c>
      <c r="E132" s="106">
        <f>C132/D132</f>
        <v/>
      </c>
      <c r="F132" s="107">
        <f>C132/'Income Statement'!$F$27</f>
        <v/>
      </c>
    </row>
    <row r="133">
      <c r="A133" t="inlineStr">
        <is>
          <t>23-Sep-2026</t>
        </is>
      </c>
      <c r="B133" s="103" t="n">
        <v>0.0511</v>
      </c>
      <c r="C133" s="104" t="n">
        <v>904.7</v>
      </c>
      <c r="D133" s="105" t="n">
        <v>19.88</v>
      </c>
      <c r="E133" s="106">
        <f>C133/D133</f>
        <v/>
      </c>
      <c r="F133" s="107">
        <f>C133/'Income Statement'!$F$27</f>
        <v/>
      </c>
    </row>
    <row r="134">
      <c r="A134" t="inlineStr">
        <is>
          <t>24-Sep-2026</t>
        </is>
      </c>
      <c r="B134" s="103" t="n">
        <v>0.0518</v>
      </c>
      <c r="C134" s="104" t="n">
        <v>896.48</v>
      </c>
      <c r="D134" s="105" t="n">
        <v>19.88</v>
      </c>
      <c r="E134" s="106">
        <f>C134/D134</f>
        <v/>
      </c>
      <c r="F134" s="107">
        <f>C134/'Income Statement'!$F$27</f>
        <v/>
      </c>
    </row>
    <row r="135">
      <c r="A135" t="inlineStr">
        <is>
          <t>25-Sep-2026</t>
        </is>
      </c>
      <c r="B135" s="103" t="n">
        <v>0.0517</v>
      </c>
      <c r="C135" s="104" t="n">
        <v>922.77</v>
      </c>
      <c r="D135" s="105" t="n">
        <v>20.76</v>
      </c>
      <c r="E135" s="106">
        <f>C135/D135</f>
        <v/>
      </c>
      <c r="F135" s="107">
        <f>C135/'Income Statement'!$F$27</f>
        <v/>
      </c>
    </row>
    <row r="136">
      <c r="A136" t="inlineStr">
        <is>
          <t>28-Sep-2026</t>
        </is>
      </c>
      <c r="B136" s="103" t="n">
        <v>0.0524</v>
      </c>
      <c r="C136" s="104" t="n">
        <v>922.92</v>
      </c>
      <c r="D136" s="105" t="n">
        <v>20.76</v>
      </c>
      <c r="E136" s="106">
        <f>C136/D136</f>
        <v/>
      </c>
      <c r="F136" s="107">
        <f>C136/'Income Statement'!$F$27</f>
        <v/>
      </c>
    </row>
    <row r="137">
      <c r="A137" t="inlineStr">
        <is>
          <t>29-Sep-2026</t>
        </is>
      </c>
      <c r="B137" s="103" t="n">
        <v>0.0526</v>
      </c>
      <c r="C137" s="104" t="n">
        <v>924.59</v>
      </c>
      <c r="D137" s="105" t="n">
        <v>20.76</v>
      </c>
      <c r="E137" s="106">
        <f>C137/D137</f>
        <v/>
      </c>
      <c r="F137" s="107">
        <f>C137/'Income Statement'!$F$27</f>
        <v/>
      </c>
    </row>
    <row r="138">
      <c r="A138" t="inlineStr">
        <is>
          <t>30-Sep-2026</t>
        </is>
      </c>
      <c r="B138" s="103" t="n">
        <v>0.0529</v>
      </c>
      <c r="C138" s="104" t="n">
        <v>910.34</v>
      </c>
      <c r="D138" s="105" t="n">
        <v>20.76</v>
      </c>
      <c r="E138" s="106">
        <f>C138/D138</f>
        <v/>
      </c>
      <c r="F138" s="107">
        <f>C138/'Income Statement'!$F$27</f>
        <v/>
      </c>
    </row>
    <row r="139">
      <c r="A139" t="inlineStr">
        <is>
          <t>1-Oct-2026</t>
        </is>
      </c>
      <c r="B139" s="103" t="n">
        <v>0.0524</v>
      </c>
      <c r="C139" s="104" t="n">
        <v>914.9400000000001</v>
      </c>
      <c r="D139" s="105" t="n">
        <v>20.76</v>
      </c>
      <c r="E139" s="106">
        <f>C139/D139</f>
        <v/>
      </c>
      <c r="F139" s="107">
        <f>C139/'Income Statement'!$F$27</f>
        <v/>
      </c>
    </row>
    <row r="140">
      <c r="A140" t="inlineStr">
        <is>
          <t>Window average / low / high on recurring FY2026 EPS (x)</t>
        </is>
      </c>
      <c r="B140" s="106">
        <f>AVERAGE(F130:F139)</f>
        <v/>
      </c>
      <c r="C140" s="106">
        <f>MIN(F130:F139)</f>
        <v/>
      </c>
      <c r="D140" s="106">
        <f>MAX(F130:F139)</f>
        <v/>
      </c>
    </row>
    <row r="141">
      <c r="A141" t="inlineStr">
        <is>
          <t>Window average on the EPS reported at each date (x)</t>
        </is>
      </c>
      <c r="B141" s="106">
        <f>AVERAGE(E130:E139)</f>
        <v/>
      </c>
    </row>
    <row r="142">
      <c r="A142" s="108" t="inlineStr">
        <is>
          <t>EPS before 24-Sep = Q3 FY2026 TTM: 18.21 − 12.34 + 14.01 = $19.88 (Q3 FY2026 release and 10-Q). 24-Sep uses $19.88: Costco reported FY2026 after that day's close. Closes: StatMuse, stockanalysis.com and Bullstory agree to the cent.</t>
        </is>
      </c>
    </row>
    <row r="144">
      <c r="A144" s="77" t="inlineStr">
        <is>
          <t>COSTCO VS THE MARKET IN EACH HIGH-RATE EPISODE — trailing P/E on EPS reported then ÷ S&amp;P 500 forward 12-month P/E (FactSet Earnings Insight)</t>
        </is>
      </c>
    </row>
    <row r="145">
      <c r="A145" s="77" t="inlineStr">
        <is>
          <t>Episode (10-yr at or above 4.75%)</t>
        </is>
      </c>
      <c r="B145" s="77" t="inlineStr">
        <is>
          <t>COST trailing P/E (x)</t>
        </is>
      </c>
      <c r="C145" s="77" t="inlineStr">
        <is>
          <t>S&amp;P 500 fwd P/E (x)</t>
        </is>
      </c>
      <c r="D145" s="77" t="inlineStr">
        <is>
          <t>COST ÷ S&amp;P (x)</t>
        </is>
      </c>
    </row>
    <row r="146">
      <c r="A146" t="inlineStr">
        <is>
          <t>Oct-2023: 14 sessions, peak 4.98% (rows 110–123); FactSet 20-Oct-2023</t>
        </is>
      </c>
      <c r="B146" s="106">
        <f>B124</f>
        <v/>
      </c>
      <c r="C146" s="109" t="n">
        <v>17.7</v>
      </c>
      <c r="D146" s="110">
        <f>B146/C146</f>
        <v/>
      </c>
    </row>
    <row r="147">
      <c r="A147" t="inlineStr">
        <is>
          <t>Jan-2025: 10, 13, 14 Jan, 4.77–4.79%; EPS $17.02 (Q1 FY2025 TTM); closes single-source (StatMuse); FactSet 10-Jan-2025</t>
        </is>
      </c>
      <c r="B147" s="109" t="n">
        <v>53.9</v>
      </c>
      <c r="C147" s="109" t="n">
        <v>21.5</v>
      </c>
      <c r="D147" s="110">
        <f>B147/C147</f>
        <v/>
      </c>
    </row>
    <row r="148">
      <c r="A148" t="inlineStr">
        <is>
          <t>Sep–Oct 2026: 10 sessions at or above 5.00% (rows 130–139); FactSet 2-Oct-2026</t>
        </is>
      </c>
      <c r="B148" s="106">
        <f>B141</f>
        <v/>
      </c>
      <c r="C148" s="109" t="n">
        <v>19</v>
      </c>
      <c r="D148" s="110">
        <f>B148/C148</f>
        <v/>
      </c>
    </row>
    <row r="149">
      <c r="A149" s="108" t="inlineStr">
        <is>
          <t>Reading: in the 15-Sep to 1-Oct-2026 window, with the 10-yr at or above 5%, Costco traded at about its Oct-2023 multiple of the market and below Jan-2025; after the October rally it is back at about the Jan-2025 level (report, Cross-check). The Oct-2023 39.3x was a market-wide low (FactSet 17.1x on 27-Oct-2023), not a Costco-specific rate discount.</t>
        </is>
      </c>
    </row>
  </sheetData>
  <printOptions horizontalCentered="1"/>
  <pageMargins left="0.75" right="0.75" top="1" bottom="1" header="0.5" footer="0.5"/>
  <pageSetup orientation="landscape" paperSize="9" fitToHeight="2"/>
  <headerFooter>
    <oddHeader/>
    <oddFooter>&amp;CDebjit Mukherjee · IB Independent · Costco (COST) · &amp;A · page &amp;P</oddFooter>
    <evenHeader/>
    <evenFooter/>
    <firstHeader/>
    <firstFooter/>
  </headerFooter>
  <rowBreaks count="1" manualBreakCount="1">
    <brk id="80" min="0" max="16383" man="1"/>
  </rowBreaks>
</worksheet>
</file>

<file path=xl/worksheets/sheet12.xml><?xml version="1.0" encoding="utf-8"?>
<worksheet xmlns="http://schemas.openxmlformats.org/spreadsheetml/2006/main">
  <sheetPr>
    <tabColor rgb="FF005DAA"/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10" defaultColWidth="8.83203125" defaultRowHeight="15"/>
  <cols>
    <col width="62" customWidth="1" min="1" max="1"/>
    <col width="32" customWidth="1" min="2" max="2"/>
    <col width="24" customWidth="1" min="3" max="3"/>
    <col width="13" customWidth="1" min="4" max="4"/>
    <col width="66" customWidth="1" min="5" max="5"/>
    <col width="13" customWidth="1" min="6" max="29"/>
  </cols>
  <sheetData>
    <row r="1" ht="19" customHeight="1">
      <c r="A1" s="1" t="inlineStr">
        <is>
          <t>Evidence block — every third-party figure the note relies on, dated and sourced</t>
        </is>
      </c>
      <c r="B1" s="2" t="n"/>
      <c r="C1" s="2" t="n"/>
      <c r="D1" s="2" t="n"/>
      <c r="E1" s="133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Rows marked FEEDS feed the valuation; rows marked CONTEXT support the narrative and do NOT feed any number.</t>
        </is>
      </c>
      <c r="B2" s="4" t="n"/>
      <c r="C2" s="4" t="n"/>
      <c r="D2" s="4" t="n"/>
      <c r="E2" s="13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134" t="n"/>
      <c r="F3" s="4" t="n"/>
      <c r="G3" s="4" t="n"/>
      <c r="H3" s="4" t="n"/>
      <c r="I3" s="4" t="n"/>
      <c r="J3" s="4" t="n"/>
      <c r="K3" s="4" t="n"/>
      <c r="L3" s="4" t="n"/>
    </row>
    <row r="4">
      <c r="A4" s="37" t="inlineStr">
        <is>
          <t>Item</t>
        </is>
      </c>
      <c r="B4" s="37" t="inlineStr">
        <is>
          <t>Value</t>
        </is>
      </c>
      <c r="C4" s="37" t="inlineStr">
        <is>
          <t>Role</t>
        </is>
      </c>
      <c r="D4" s="37" t="inlineStr">
        <is>
          <t>Date</t>
        </is>
      </c>
      <c r="E4" s="135" t="inlineStr">
        <is>
          <t>Source</t>
        </is>
      </c>
      <c r="F4" s="4" t="n"/>
      <c r="G4" s="4" t="n"/>
      <c r="H4" s="4" t="n"/>
      <c r="I4" s="4" t="n"/>
      <c r="J4" s="4" t="n"/>
      <c r="K4" s="4" t="n"/>
      <c r="L4" s="4" t="n"/>
    </row>
    <row r="5">
      <c r="A5" s="7" t="inlineStr">
        <is>
          <t>US 10-yr Treasury par yield</t>
        </is>
      </c>
      <c r="B5" s="53">
        <f>TEXT(Overview!B17,"0.00%")</f>
        <v/>
      </c>
      <c r="C5" s="7" t="inlineStr">
        <is>
          <t>FEEDS</t>
        </is>
      </c>
      <c r="D5" s="7" t="inlineStr">
        <is>
          <t>16-Oct-2026</t>
        </is>
      </c>
      <c r="E5" s="131" t="inlineStr">
        <is>
          <t>US Treasury, Daily Treasury Par Yield Curve Rates</t>
        </is>
      </c>
      <c r="F5" s="4" t="n"/>
      <c r="G5" s="4" t="n"/>
      <c r="H5" s="4" t="n"/>
      <c r="I5" s="4" t="n"/>
      <c r="J5" s="4" t="n"/>
      <c r="K5" s="4" t="n"/>
      <c r="L5" s="4" t="n"/>
    </row>
    <row r="6">
      <c r="A6" s="7" t="inlineStr">
        <is>
          <t>US 10-yr Treasury par yield, 30-Sep-2026</t>
        </is>
      </c>
      <c r="B6" s="7" t="inlineStr">
        <is>
          <t>5.29%</t>
        </is>
      </c>
      <c r="C6" s="7" t="inlineStr">
        <is>
          <t>CONTEXT</t>
        </is>
      </c>
      <c r="D6" s="7" t="inlineStr">
        <is>
          <t>30-Sep-2026</t>
        </is>
      </c>
      <c r="E6" s="131" t="inlineStr">
        <is>
          <t>US Treasury par yield table (5.26% on 29-Sep); FRED DGS10 4.79% on 1-Sep-2026</t>
        </is>
      </c>
      <c r="F6" s="4" t="n"/>
      <c r="G6" s="4" t="n"/>
      <c r="H6" s="4" t="n"/>
      <c r="I6" s="4" t="n"/>
      <c r="J6" s="4" t="n"/>
      <c r="K6" s="4" t="n"/>
      <c r="L6" s="4" t="n"/>
    </row>
    <row r="7">
      <c r="A7" s="7" t="inlineStr">
        <is>
          <t>Implied US equity risk premium</t>
        </is>
      </c>
      <c r="B7" s="53">
        <f>TEXT('Stress Tests'!B14,"0.00%")</f>
        <v/>
      </c>
      <c r="C7" s="7" t="inlineStr">
        <is>
          <t>FEEDS (set at 4.5%, prudent)</t>
        </is>
      </c>
      <c r="D7" s="7" t="inlineStr">
        <is>
          <t>1-Jan-2026</t>
        </is>
      </c>
      <c r="E7" s="131" t="inlineStr">
        <is>
          <t>Damodaran, 'Data Update 2 for 2026'</t>
        </is>
      </c>
      <c r="F7" s="4" t="n"/>
      <c r="G7" s="4" t="n"/>
      <c r="H7" s="4" t="n"/>
      <c r="I7" s="4" t="n"/>
      <c r="J7" s="4" t="n"/>
      <c r="K7" s="4" t="n"/>
      <c r="L7" s="4" t="n"/>
    </row>
    <row r="8">
      <c r="A8" s="7" t="inlineStr">
        <is>
          <t>COST close</t>
        </is>
      </c>
      <c r="B8" s="53">
        <f>"$"&amp;TEXT(Overview!B6,"#,##0.00")</f>
        <v/>
      </c>
      <c r="C8" s="7" t="inlineStr">
        <is>
          <t>FEEDS</t>
        </is>
      </c>
      <c r="D8" s="7" t="inlineStr">
        <is>
          <t>16-Oct-2026</t>
        </is>
      </c>
      <c r="E8" s="131" t="inlineStr">
        <is>
          <t>stockanalysis.com price history; digrin</t>
        </is>
      </c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COST beta, 5-year</t>
        </is>
      </c>
      <c r="B9" s="7" t="inlineStr">
        <is>
          <t>0.87 (0.875 unrounded)</t>
        </is>
      </c>
      <c r="C9" s="7" t="inlineStr">
        <is>
          <t>FEEDS</t>
        </is>
      </c>
      <c r="D9" s="7" t="inlineStr">
        <is>
          <t>16-Oct-2026</t>
        </is>
      </c>
      <c r="E9" s="131" t="inlineStr">
        <is>
          <t>stockanalysis.com; Google Finance 0.86</t>
        </is>
      </c>
      <c r="F9" s="4" t="n"/>
      <c r="G9" s="4" t="n"/>
      <c r="H9" s="4" t="n"/>
      <c r="I9" s="4" t="n"/>
      <c r="J9" s="4" t="n"/>
      <c r="K9" s="4" t="n"/>
      <c r="L9" s="4" t="n"/>
    </row>
    <row r="10">
      <c r="A10" s="7" t="inlineStr">
        <is>
          <t>Peer multiples (WMT, BJ, PSMT, TGT, KR)</t>
        </is>
      </c>
      <c r="B10" s="7" t="inlineStr">
        <is>
          <t>see Peers &amp; Street</t>
        </is>
      </c>
      <c r="C10" s="7" t="inlineStr">
        <is>
          <t>FEEDS (WMT and COST's own multiples)</t>
        </is>
      </c>
      <c r="D10" s="7" t="inlineStr">
        <is>
          <t>16-Oct-2026</t>
        </is>
      </c>
      <c r="E10" s="131" t="inlineStr">
        <is>
          <t>stockanalysis.com statistics pages, S&amp;P Global data — COST and WMT at 16-Oct; others at 1-Oct</t>
        </is>
      </c>
      <c r="F10" s="4" t="n"/>
      <c r="G10" s="4" t="n"/>
      <c r="H10" s="4" t="n"/>
      <c r="I10" s="4" t="n"/>
      <c r="J10" s="4" t="n"/>
      <c r="K10" s="4" t="n"/>
      <c r="L10" s="4" t="n"/>
    </row>
    <row r="11">
      <c r="A11" s="7" t="inlineStr">
        <is>
          <t>FY2027 capex guidance</t>
        </is>
      </c>
      <c r="B11" s="53">
        <f>"$"&amp;TEXT(Overview!B23/1000,"0.0")&amp;"bn"</f>
        <v/>
      </c>
      <c r="C11" s="7" t="inlineStr">
        <is>
          <t>FEEDS</t>
        </is>
      </c>
      <c r="D11" s="7" t="inlineStr">
        <is>
          <t>24-Sep-2026</t>
        </is>
      </c>
      <c r="E11" s="131" t="inlineStr">
        <is>
          <t>CFO Gary Millerchip, Q4 FY2026 call</t>
        </is>
      </c>
      <c r="F11" s="4" t="n"/>
      <c r="G11" s="4" t="n"/>
      <c r="H11" s="4" t="n"/>
      <c r="I11" s="4" t="n"/>
      <c r="J11" s="4" t="n"/>
      <c r="K11" s="4" t="n"/>
      <c r="L11" s="4" t="n"/>
    </row>
    <row r="12">
      <c r="A12" s="7" t="inlineStr">
        <is>
          <t>Tariff refund benefit</t>
        </is>
      </c>
      <c r="B12" s="7" t="inlineStr">
        <is>
          <t>$0.15/share net; $184m received in Q4 ($174m refunds + $10m interest), partly reinvested in prices</t>
        </is>
      </c>
      <c r="C12" s="7" t="inlineStr">
        <is>
          <t>FEEDS (recurring EPS)</t>
        </is>
      </c>
      <c r="D12" s="7" t="inlineStr">
        <is>
          <t>24-Sep-2026</t>
        </is>
      </c>
      <c r="E12" s="131" t="inlineStr">
        <is>
          <t>Q4 FY2026 release and call</t>
        </is>
      </c>
      <c r="F12" s="4" t="n"/>
      <c r="G12" s="4" t="n"/>
      <c r="H12" s="4" t="n"/>
      <c r="I12" s="4" t="n"/>
      <c r="J12" s="4" t="n"/>
      <c r="K12" s="4" t="n"/>
      <c r="L12" s="4" t="n"/>
    </row>
    <row r="13">
      <c r="A13" s="7" t="inlineStr">
        <is>
          <t>Q4 membership fee growth ex fee increase and FX</t>
        </is>
      </c>
      <c r="B13" s="53">
        <f>TEXT(Overview!B33,"0.0%")</f>
        <v/>
      </c>
      <c r="C13" s="7" t="inlineStr">
        <is>
          <t>FEEDS (fee growth)</t>
        </is>
      </c>
      <c r="D13" s="7" t="inlineStr">
        <is>
          <t>24-Sep-2026</t>
        </is>
      </c>
      <c r="E13" s="131" t="inlineStr">
        <is>
          <t>Q4 FY2026 call</t>
        </is>
      </c>
      <c r="F13" s="4" t="n"/>
      <c r="G13" s="4" t="n"/>
      <c r="H13" s="4" t="n"/>
      <c r="I13" s="4" t="n"/>
      <c r="J13" s="4" t="n"/>
      <c r="K13" s="4" t="n"/>
      <c r="L13" s="4" t="n"/>
    </row>
    <row r="14">
      <c r="A14" s="7" t="inlineStr">
        <is>
          <t>Paid members / executive / cardholders</t>
        </is>
      </c>
      <c r="B14" s="7" t="inlineStr">
        <is>
          <t>84.1m / 42.3m / 150.4m</t>
        </is>
      </c>
      <c r="C14" s="7" t="inlineStr">
        <is>
          <t>CONTEXT</t>
        </is>
      </c>
      <c r="D14" s="7" t="inlineStr">
        <is>
          <t>24-Sep-2026</t>
        </is>
      </c>
      <c r="E14" s="131" t="inlineStr">
        <is>
          <t>Q4 FY2026 call</t>
        </is>
      </c>
      <c r="F14" s="4" t="n"/>
      <c r="G14" s="4" t="n"/>
      <c r="H14" s="4" t="n"/>
      <c r="I14" s="4" t="n"/>
      <c r="J14" s="4" t="n"/>
      <c r="K14" s="4" t="n"/>
      <c r="L14" s="4" t="n"/>
    </row>
    <row r="15">
      <c r="A15" s="7" t="inlineStr">
        <is>
          <t>Renewal rates US&amp;Canada / worldwide</t>
        </is>
      </c>
      <c r="B15" s="7" t="inlineStr">
        <is>
          <t>92.3% / 89.8%</t>
        </is>
      </c>
      <c r="C15" s="7" t="inlineStr">
        <is>
          <t>CONTEXT</t>
        </is>
      </c>
      <c r="D15" s="7" t="inlineStr">
        <is>
          <t>24-Sep-2026</t>
        </is>
      </c>
      <c r="E15" s="131" t="inlineStr">
        <is>
          <t>Q4 FY2026 call</t>
        </is>
      </c>
      <c r="F15" s="4" t="n"/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Q4 gas price inflation contribution to comps</t>
        </is>
      </c>
      <c r="B16" s="7" t="inlineStr">
        <is>
          <t>~3pp</t>
        </is>
      </c>
      <c r="C16" s="7" t="inlineStr">
        <is>
          <t>CONTEXT</t>
        </is>
      </c>
      <c r="D16" s="7" t="inlineStr">
        <is>
          <t>24-Sep-2026</t>
        </is>
      </c>
      <c r="E16" s="131" t="inlineStr">
        <is>
          <t>Q4 FY2026 call</t>
        </is>
      </c>
      <c r="F16" s="4" t="n"/>
      <c r="G16" s="4" t="n"/>
      <c r="H16" s="4" t="n"/>
      <c r="I16" s="4" t="n"/>
      <c r="J16" s="4" t="n"/>
      <c r="K16" s="4" t="n"/>
      <c r="L16" s="4" t="n"/>
    </row>
    <row r="17">
      <c r="A17" s="7" t="inlineStr">
        <is>
          <t>Q4 LIFO charge</t>
        </is>
      </c>
      <c r="B17" s="7" t="inlineStr">
        <is>
          <t>$152m vs $43m</t>
        </is>
      </c>
      <c r="C17" s="7" t="inlineStr">
        <is>
          <t>CONTEXT</t>
        </is>
      </c>
      <c r="D17" s="7" t="inlineStr">
        <is>
          <t>24-Sep-2026</t>
        </is>
      </c>
      <c r="E17" s="131" t="inlineStr">
        <is>
          <t>Q4 FY2026 call</t>
        </is>
      </c>
      <c r="F17" s="4" t="n"/>
      <c r="G17" s="4" t="n"/>
      <c r="H17" s="4" t="n"/>
      <c r="I17" s="4" t="n"/>
      <c r="J17" s="4" t="n"/>
      <c r="K17" s="4" t="n"/>
      <c r="L17" s="4" t="n"/>
    </row>
    <row r="18">
      <c r="A18" s="7" t="inlineStr">
        <is>
          <t>Warehouses; FY2027 openings</t>
        </is>
      </c>
      <c r="B18" s="7" t="inlineStr">
        <is>
          <t>939; 33 incl. 5 relocations</t>
        </is>
      </c>
      <c r="C18" s="7" t="inlineStr">
        <is>
          <t>CONTEXT</t>
        </is>
      </c>
      <c r="D18" s="7" t="inlineStr">
        <is>
          <t>24-Sep-2026</t>
        </is>
      </c>
      <c r="E18" s="131" t="inlineStr">
        <is>
          <t>Q4 FY2026 release and call</t>
        </is>
      </c>
      <c r="F18" s="4" t="n"/>
      <c r="G18" s="4" t="n"/>
      <c r="H18" s="4" t="n"/>
      <c r="I18" s="4" t="n"/>
      <c r="J18" s="4" t="n"/>
      <c r="K18" s="4" t="n"/>
      <c r="L18" s="4" t="n"/>
    </row>
    <row r="19">
      <c r="A19" s="7" t="inlineStr">
        <is>
          <t>Warehouses: US &amp; Puerto Rico / Canada</t>
        </is>
      </c>
      <c r="B19" s="7" t="inlineStr">
        <is>
          <t>647 / 115</t>
        </is>
      </c>
      <c r="C19" s="7" t="inlineStr">
        <is>
          <t>CONTEXT</t>
        </is>
      </c>
      <c r="D19" s="7" t="inlineStr">
        <is>
          <t>24-Sep-2026</t>
        </is>
      </c>
      <c r="E19" s="131" t="inlineStr">
        <is>
          <t>Q4 FY2026 release</t>
        </is>
      </c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Costco Next marketplace discontinued</t>
        </is>
      </c>
      <c r="B20" s="7" t="inlineStr">
        <is>
          <t>not material</t>
        </is>
      </c>
      <c r="C20" s="7" t="inlineStr">
        <is>
          <t>CONTEXT</t>
        </is>
      </c>
      <c r="D20" s="7" t="inlineStr">
        <is>
          <t>24-Sep-2026</t>
        </is>
      </c>
      <c r="E20" s="131" t="inlineStr">
        <is>
          <t>Q4 FY2026 call</t>
        </is>
      </c>
      <c r="F20" s="4" t="n"/>
      <c r="G20" s="4" t="n"/>
      <c r="H20" s="4" t="n"/>
      <c r="I20" s="4" t="n"/>
      <c r="J20" s="4" t="n"/>
      <c r="K20" s="4" t="n"/>
      <c r="L20" s="4" t="n"/>
    </row>
    <row r="21">
      <c r="A21" s="7" t="inlineStr">
        <is>
          <t>Consensus target / FY2027 EPS / FY2028 EPS</t>
        </is>
      </c>
      <c r="B21" s="53">
        <f>"$"&amp;TEXT('Peers &amp; Street'!B18,"#,##0")&amp;" / $"&amp;TEXT('Peers &amp; Street'!B23,"0.00")&amp;" / $"&amp;TEXT('Peers &amp; Street'!B24,"0.00")</f>
        <v/>
      </c>
      <c r="C21" s="7" t="inlineStr">
        <is>
          <t>FEEDS memo rows only (Stress Tests 7, 19)</t>
        </is>
      </c>
      <c r="D21" s="7" t="inlineStr">
        <is>
          <t>15-Oct-2026</t>
        </is>
      </c>
      <c r="E21" s="131" t="inlineStr">
        <is>
          <t>S&amp;P Global via stockanalysis.com (40 analysts)</t>
        </is>
      </c>
      <c r="F21" s="4" t="n"/>
      <c r="G21" s="4" t="n"/>
      <c r="H21" s="4" t="n"/>
      <c r="I21" s="4" t="n"/>
      <c r="J21" s="4" t="n"/>
      <c r="K21" s="4" t="n"/>
      <c r="L21" s="4" t="n"/>
    </row>
    <row r="22">
      <c r="A22" s="7" t="inlineStr">
        <is>
          <t>Second poll: average target, 25 analysts</t>
        </is>
      </c>
      <c r="B22" s="53">
        <f>"$"&amp;TEXT('Peers &amp; Street'!B54,"#,##0")</f>
        <v/>
      </c>
      <c r="C22" s="7" t="inlineStr">
        <is>
          <t>CONTEXT</t>
        </is>
      </c>
      <c r="D22" s="7" t="inlineStr">
        <is>
          <t>2-Oct-2026</t>
        </is>
      </c>
      <c r="E22" s="131" t="inlineStr">
        <is>
          <t>Benzinga analyst-ratings page</t>
        </is>
      </c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Post-print target changes</t>
        </is>
      </c>
      <c r="B23" s="7" t="inlineStr">
        <is>
          <t>9 cuts (8 real + Bernstein $1), 1 raise, 4 unchanged</t>
        </is>
      </c>
      <c r="C23" s="7" t="inlineStr">
        <is>
          <t>CONTEXT</t>
        </is>
      </c>
      <c r="D23" s="7" t="inlineStr">
        <is>
          <t>25–30-Sep-2026</t>
        </is>
      </c>
      <c r="E23" s="131" t="inlineStr">
        <is>
          <t>Benzinga; Telsey: stockanalysis; Jefferies: MarketBeat (read 20-Oct-2026)</t>
        </is>
      </c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Consensus target before the print</t>
        </is>
      </c>
      <c r="B24" s="7" t="inlineStr">
        <is>
          <t>$1,077</t>
        </is>
      </c>
      <c r="C24" s="7" t="inlineStr">
        <is>
          <t>CONTEXT</t>
        </is>
      </c>
      <c r="D24" s="7" t="inlineStr">
        <is>
          <t>4-Sep-2026</t>
        </is>
      </c>
      <c r="E24" s="131" t="inlineStr">
        <is>
          <t>S&amp;P Global via stockanalysis.com</t>
        </is>
      </c>
      <c r="F24" s="4" t="n"/>
      <c r="G24" s="4" t="n"/>
      <c r="H24" s="4" t="n"/>
      <c r="I24" s="4" t="n"/>
      <c r="J24" s="4" t="n"/>
      <c r="K24" s="4" t="n"/>
      <c r="L24" s="4" t="n"/>
    </row>
    <row r="25">
      <c r="A25" s="7" t="inlineStr">
        <is>
          <t>Entity check: M&amp;A, spin-offs, splits, capital raises in last 12 months</t>
        </is>
      </c>
      <c r="B25" s="7" t="inlineStr">
        <is>
          <t>none</t>
        </is>
      </c>
      <c r="C25" s="7" t="inlineStr">
        <is>
          <t>CONTEXT</t>
        </is>
      </c>
      <c r="D25" s="7" t="inlineStr">
        <is>
          <t>2-Oct-2026</t>
        </is>
      </c>
      <c r="E25" s="131" t="inlineStr">
        <is>
          <t>news search; net acquisitions $0; no split since January 2000</t>
        </is>
      </c>
      <c r="F25" s="4" t="n"/>
      <c r="G25" s="4" t="n"/>
      <c r="H25" s="4" t="n"/>
      <c r="I25" s="4" t="n"/>
      <c r="J25" s="4" t="n"/>
      <c r="K25" s="4" t="n"/>
      <c r="L25" s="4" t="n"/>
    </row>
    <row r="26">
      <c r="A26" t="inlineStr">
        <is>
          <t>Q4 FY2026 consensus EPS</t>
        </is>
      </c>
      <c r="B26" s="86">
        <f>"$"&amp;TEXT('Peers &amp; Street'!B63,"0.00")&amp;" ($6.54–6.55 elsewhere)"</f>
        <v/>
      </c>
      <c r="C26" t="inlineStr">
        <is>
          <t>CONTEXT</t>
        </is>
      </c>
      <c r="D26" t="inlineStr">
        <is>
          <t>25-Sep-2026</t>
        </is>
      </c>
      <c r="E26" s="134" t="inlineStr">
        <is>
          <t>Benzinga</t>
        </is>
      </c>
    </row>
    <row r="27">
      <c r="A27" t="inlineStr">
        <is>
          <t>COST closes at fiscal year-ends FY2022–FY2026</t>
        </is>
      </c>
      <c r="B27" t="inlineStr">
        <is>
          <t>see Peers &amp; Street rows 69–73</t>
        </is>
      </c>
      <c r="C27" t="inlineStr">
        <is>
          <t>CONTEXT</t>
        </is>
      </c>
      <c r="D27" t="inlineStr">
        <is>
          <t>2-Oct-2026</t>
        </is>
      </c>
      <c r="E27" s="131" t="inlineStr">
        <is>
          <t>Yahoo Finance chart data; FY2026 close cross-checked to stockanalysis</t>
        </is>
      </c>
    </row>
    <row r="28">
      <c r="A28" s="66" t="inlineStr">
        <is>
          <t>Walmart consensus EPS, fiscal year to Jan-2027</t>
        </is>
      </c>
      <c r="B28" s="66" t="inlineStr">
        <is>
          <t>$2.89 (41.11x)</t>
        </is>
      </c>
      <c r="C28" s="66" t="inlineStr">
        <is>
          <t>FEEDS memo rows only (Stress Tests 34–37)</t>
        </is>
      </c>
      <c r="D28" s="66" t="inlineStr">
        <is>
          <t>16-Oct-2026</t>
        </is>
      </c>
      <c r="E28" s="131" t="inlineStr">
        <is>
          <t>stockanalysis.com WMT forecast (S&amp;P Global)</t>
        </is>
      </c>
    </row>
    <row r="29">
      <c r="A29" s="66" t="inlineStr">
        <is>
          <t>Walmart adjusted EPS, FY2022–H1 FY2027</t>
        </is>
      </c>
      <c r="B29" s="66" t="inlineStr">
        <is>
          <t>see Peers &amp; Street rows 93–103</t>
        </is>
      </c>
      <c r="C29" s="66" t="inlineStr">
        <is>
          <t>FEEDS premium history</t>
        </is>
      </c>
      <c r="D29" s="66" t="inlineStr">
        <is>
          <t>2-Oct-2026</t>
        </is>
      </c>
      <c r="E29" s="131" t="inlineStr">
        <is>
          <t>Walmart 8-K earnings releases, SEC EDGAR</t>
        </is>
      </c>
    </row>
    <row r="30">
      <c r="A30" s="66" t="inlineStr">
        <is>
          <t>COST and WMT closes at history dates</t>
        </is>
      </c>
      <c r="B30" s="66" t="inlineStr">
        <is>
          <t>see Peers &amp; Street rows 83–89</t>
        </is>
      </c>
      <c r="C30" s="66" t="inlineStr">
        <is>
          <t>CROSS-CHECK (Method 4, 0% weight)</t>
        </is>
      </c>
      <c r="D30" s="66" t="inlineStr">
        <is>
          <t>3-Oct-2026</t>
        </is>
      </c>
      <c r="E30" s="131" t="inlineStr">
        <is>
          <t>Yahoo Finance chart data; recent WMT closes match Nasdaq</t>
        </is>
      </c>
    </row>
    <row r="31">
      <c r="A31" s="66" t="inlineStr">
        <is>
          <t>US 10-yr at history dates</t>
        </is>
      </c>
      <c r="B31" s="66" t="inlineStr">
        <is>
          <t>4.75%–4.98%, 14 sessions 3-Oct to 1-Nov-2023</t>
        </is>
      </c>
      <c r="C31" s="66" t="inlineStr">
        <is>
          <t>CROSS-CHECK (Method 4 window, 0% weight)</t>
        </is>
      </c>
      <c r="D31" s="66" t="inlineStr">
        <is>
          <t>3-Oct-2026</t>
        </is>
      </c>
      <c r="E31" s="131" t="inlineStr">
        <is>
          <t>FRED DGS10</t>
        </is>
      </c>
    </row>
    <row r="32">
      <c r="A32" t="inlineStr">
        <is>
          <t>US 10-yr, 1-Sep to 1-Oct-2026 (≥5.00% sessions)</t>
        </is>
      </c>
      <c r="B32" t="inlineStr">
        <is>
          <t>5.00%–5.29%, 10 sessions</t>
        </is>
      </c>
      <c r="C32" t="inlineStr">
        <is>
          <t>CROSS-CHECK (Peers &amp; Street rows 130–139)</t>
        </is>
      </c>
      <c r="D32" t="inlineStr">
        <is>
          <t>3-Oct-2026</t>
        </is>
      </c>
      <c r="E32" s="134" t="inlineStr">
        <is>
          <t>US Treasury par yield curve CSV, Sep/Oct 2026</t>
        </is>
      </c>
    </row>
    <row r="33">
      <c r="A33" t="inlineStr">
        <is>
          <t>COST closes, Sep–Oct 2026</t>
        </is>
      </c>
      <c r="B33" t="inlineStr">
        <is>
          <t>see Peers &amp; Street rows 130–139</t>
        </is>
      </c>
      <c r="C33" t="inlineStr">
        <is>
          <t>CROSS-CHECK</t>
        </is>
      </c>
      <c r="D33" t="inlineStr">
        <is>
          <t>3-Oct-2026</t>
        </is>
      </c>
      <c r="E33" s="134" t="inlineStr">
        <is>
          <t>StatMuse; stockanalysis.com; Bullstory — agree</t>
        </is>
      </c>
    </row>
    <row r="34">
      <c r="A34" t="inlineStr">
        <is>
          <t>Costco 36-week EPS FY2026 / FY2025; Q1 FY2025 / FY2024</t>
        </is>
      </c>
      <c r="B34" t="inlineStr">
        <is>
          <t>$14.01 / $12.34; $4.04 / $3.58</t>
        </is>
      </c>
      <c r="C34" t="inlineStr">
        <is>
          <t>CROSS-CHECK (TTM EPS)</t>
        </is>
      </c>
      <c r="D34" t="inlineStr">
        <is>
          <t>3-Oct-2026</t>
        </is>
      </c>
      <c r="E34" s="134" t="inlineStr">
        <is>
          <t>Q3 FY2026 release and 10-Q; Q1 FY2025 10-Q (SEC EDGAR)</t>
        </is>
      </c>
    </row>
    <row r="35">
      <c r="A35" t="inlineStr">
        <is>
          <t>S&amp;P 500 forward 12-month P/E</t>
        </is>
      </c>
      <c r="B35" t="inlineStr">
        <is>
          <t>17.7x / 21.5x / 19.0x</t>
        </is>
      </c>
      <c r="C35" t="inlineStr">
        <is>
          <t>CROSS-CHECK (rows 146–148)</t>
        </is>
      </c>
      <c r="D35" t="inlineStr">
        <is>
          <t>20-Oct-2023 / 10-Jan-2025 / 2-Oct-2026</t>
        </is>
      </c>
      <c r="E35" s="134" t="inlineStr">
        <is>
          <t>FactSet Earnings Insight (single source)</t>
        </is>
      </c>
    </row>
  </sheetData>
  <printOptions horizontalCentered="1"/>
  <pageMargins left="0.75" right="0.75" top="1" bottom="1" header="0.5" footer="0.5"/>
  <pageSetup orientation="landscape" paperSize="9"/>
  <headerFooter>
    <oddHeader/>
    <oddFooter>&amp;CDebjit Mukherjee · IB Independent · Costco (COST) · &amp;A ·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Debjit Mukherjee</dc:creator>
  <dc:title xmlns:dc="http://purl.org/dc/elements/1.1/">Costco Wholesale (COST) — Financial Model</dc:title>
  <dcterms:created xmlns:dcterms="http://purl.org/dc/terms/" xmlns:xsi="http://www.w3.org/2001/XMLSchema-instance" xsi:type="dcterms:W3CDTF">2026-10-02T03:05:43Z</dcterms:created>
  <dcterms:modified xmlns:dcterms="http://purl.org/dc/terms/" xmlns:xsi="http://www.w3.org/2001/XMLSchema-instance" xsi:type="dcterms:W3CDTF">2026-10-21T04:33:40Z</dcterms:modified>
  <cp:lastModifiedBy>Debjit Mukherjee</cp:lastModifiedBy>
</cp:coreProperties>
</file>