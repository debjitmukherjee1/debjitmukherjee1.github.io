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Valuation 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Key Ratios" sheetId="5" state="visible" r:id="rId5"/>
    <sheet xmlns:r="http://schemas.openxmlformats.org/officeDocument/2006/relationships" name="Peer Comps" sheetId="6" state="visible" r:id="rId6"/>
  </sheets>
  <definedNames>
    <definedName name="_xlnm.Print_Area" localSheetId="0">'Valuation Summary'!$A$1:$E$27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0.0&quot;x&quot;"/>
    <numFmt numFmtId="166" formatCode="0.0%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1F71"/>
      <sz val="12"/>
    </font>
    <font>
      <name val="Arial"/>
      <charset val="1"/>
      <family val="0"/>
      <color rgb="FF1F1F1F"/>
      <sz val="12"/>
    </font>
    <font>
      <name val="Arial"/>
      <charset val="1"/>
      <family val="0"/>
      <color rgb="FF0000FF"/>
      <sz val="12"/>
    </font>
    <font>
      <name val="Calibri"/>
      <charset val="1"/>
      <family val="2"/>
      <color theme="1"/>
      <sz val="12"/>
    </font>
    <font>
      <name val="Arial"/>
      <charset val="1"/>
      <family val="0"/>
      <color rgb="FFFFFFFF"/>
      <sz val="12"/>
    </font>
    <font>
      <name val="Arial"/>
      <charset val="1"/>
      <family val="0"/>
      <color rgb="FF1F1F1F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A1F71"/>
      <sz val="10"/>
    </font>
    <font>
      <name val="Calibri"/>
      <b val="1"/>
      <color rgb="00FFFFFF"/>
      <sz val="14"/>
    </font>
    <font>
      <name val="Calibri"/>
      <i val="1"/>
      <color rgb="00595959"/>
      <sz val="9.5"/>
    </font>
    <font>
      <name val="Calibri"/>
      <b val="1"/>
      <color rgb="00FFFFFF"/>
      <sz val="10.5"/>
    </font>
    <font>
      <b val="1"/>
    </font>
    <font>
      <b val="1"/>
      <color rgb="00FFFFFF"/>
    </font>
    <font>
      <i val="1"/>
      <color rgb="00595959"/>
      <sz val="9.5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A1F71"/>
        <bgColor rgb="FF1F1F1F"/>
      </patternFill>
    </fill>
    <fill>
      <patternFill patternType="solid">
        <fgColor rgb="FFFDF3D7"/>
        <bgColor rgb="FFEDEFF9"/>
      </patternFill>
    </fill>
    <fill>
      <patternFill patternType="solid">
        <fgColor rgb="FFEDEFF9"/>
        <bgColor rgb="FFFDF3D7"/>
      </patternFill>
    </fill>
    <fill>
      <patternFill patternType="solid">
        <fgColor rgb="FF3D46A8"/>
        <bgColor rgb="FF666699"/>
      </patternFill>
    </fill>
    <fill>
      <patternFill patternType="solid">
        <fgColor rgb="001A1F71"/>
      </patternFill>
    </fill>
    <fill>
      <patternFill patternType="solid">
        <fgColor rgb="00EEF2F8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F7B600"/>
      </top>
      <bottom style="thin">
        <color rgb="FFF7B600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</cellStyleXfs>
  <cellXfs count="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3" borderId="2" applyAlignment="1" pivotButton="0" quotePrefix="0" xfId="0">
      <alignment horizontal="general" vertical="bottom"/>
    </xf>
    <xf numFmtId="164" fontId="7" fillId="3" borderId="2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0" fontId="12" fillId="4" borderId="1" applyAlignment="1" pivotButton="0" quotePrefix="0" xfId="19">
      <alignment horizontal="general" vertical="bottom"/>
    </xf>
    <xf numFmtId="10" fontId="8" fillId="4" borderId="1" applyAlignment="1" pivotButton="0" quotePrefix="0" xfId="0">
      <alignment horizontal="general" vertical="bottom"/>
    </xf>
    <xf numFmtId="10" fontId="9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4" fontId="14" fillId="4" borderId="1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164" fontId="15" fillId="3" borderId="2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10" fontId="14" fillId="4" borderId="1" applyAlignment="1" pivotButton="0" quotePrefix="0" xfId="0">
      <alignment horizontal="general" vertical="bottom"/>
    </xf>
    <xf numFmtId="10" fontId="14" fillId="0" borderId="1" applyAlignment="1" pivotButton="0" quotePrefix="0" xfId="0">
      <alignment horizontal="general" vertical="bottom"/>
    </xf>
    <xf numFmtId="10" fontId="15" fillId="3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3" borderId="2" applyAlignment="1" pivotButton="0" quotePrefix="0" xfId="0">
      <alignment horizontal="general" vertical="bottom"/>
    </xf>
    <xf numFmtId="164" fontId="7" fillId="3" borderId="2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0" fontId="12" fillId="4" borderId="1" applyAlignment="1" pivotButton="0" quotePrefix="0" xfId="19">
      <alignment horizontal="general" vertical="bottom"/>
    </xf>
    <xf numFmtId="10" fontId="8" fillId="4" borderId="1" applyAlignment="1" pivotButton="0" quotePrefix="0" xfId="0">
      <alignment horizontal="general" vertical="bottom"/>
    </xf>
    <xf numFmtId="10" fontId="9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4" fontId="14" fillId="4" borderId="1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164" fontId="15" fillId="3" borderId="2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10" fontId="14" fillId="4" borderId="1" applyAlignment="1" pivotButton="0" quotePrefix="0" xfId="0">
      <alignment horizontal="general" vertical="bottom"/>
    </xf>
    <xf numFmtId="10" fontId="14" fillId="0" borderId="1" applyAlignment="1" pivotButton="0" quotePrefix="0" xfId="0">
      <alignment horizontal="general" vertical="bottom"/>
    </xf>
    <xf numFmtId="10" fontId="15" fillId="3" borderId="2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0" fontId="17" fillId="0" borderId="0" pivotButton="0" quotePrefix="0" xfId="0"/>
    <xf numFmtId="0" fontId="18" fillId="6" borderId="3" applyAlignment="1" pivotButton="0" quotePrefix="0" xfId="0">
      <alignment horizontal="left"/>
    </xf>
    <xf numFmtId="0" fontId="18" fillId="6" borderId="3" applyAlignment="1" pivotButton="0" quotePrefix="0" xfId="0">
      <alignment horizontal="center"/>
    </xf>
    <xf numFmtId="0" fontId="19" fillId="0" borderId="3" pivotButton="0" quotePrefix="0" xfId="0"/>
    <xf numFmtId="4" fontId="19" fillId="0" borderId="3" pivotButton="0" quotePrefix="0" xfId="0"/>
    <xf numFmtId="165" fontId="19" fillId="0" borderId="3" pivotButton="0" quotePrefix="0" xfId="0"/>
    <xf numFmtId="0" fontId="0" fillId="7" borderId="3" pivotButton="0" quotePrefix="0" xfId="0"/>
    <xf numFmtId="4" fontId="0" fillId="7" borderId="3" pivotButton="0" quotePrefix="0" xfId="0"/>
    <xf numFmtId="165" fontId="0" fillId="7" borderId="3" pivotButton="0" quotePrefix="0" xfId="0"/>
    <xf numFmtId="0" fontId="20" fillId="6" borderId="3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3" pivotButton="0" quotePrefix="0" xfId="0"/>
    <xf numFmtId="166" fontId="0" fillId="0" borderId="3" pivotButton="0" quotePrefix="0" xfId="0"/>
    <xf numFmtId="4" fontId="0" fillId="0" borderId="3" pivotButton="0" quotePrefix="0" xfId="0"/>
    <xf numFmtId="0" fontId="21" fillId="0" borderId="0" applyAlignment="1" pivotButton="0" quotePrefix="0" xfId="0">
      <alignment vertical="top" wrapText="1"/>
    </xf>
    <xf numFmtId="0" fontId="22" fillId="8" borderId="0" pivotButton="0" quotePrefix="0" xfId="0"/>
    <xf numFmtId="0" fontId="20" fillId="9" borderId="0" pivotButton="0" quotePrefix="0" xfId="0"/>
    <xf numFmtId="3" fontId="0" fillId="0" borderId="0" pivotButton="0" quotePrefix="0" xfId="0"/>
    <xf numFmtId="0" fontId="19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7"/>
      <rgbColor rgb="FFEDEFF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7B600"/>
      <rgbColor rgb="FFFF9900"/>
      <rgbColor rgb="FFFF6600"/>
      <rgbColor rgb="FF666699"/>
      <rgbColor rgb="FF969696"/>
      <rgbColor rgb="FF1A1F71"/>
      <rgbColor rgb="FF339966"/>
      <rgbColor rgb="FF003300"/>
      <rgbColor rgb="FF333300"/>
      <rgbColor rgb="FF993300"/>
      <rgbColor rgb="FF993366"/>
      <rgbColor rgb="FF3D46A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34" customWidth="1" style="35" min="1" max="1"/>
    <col width="24" customWidth="1" style="35" min="2" max="2"/>
    <col width="14" customWidth="1" style="35" min="3" max="3"/>
    <col width="14" customWidth="1" style="35" min="4" max="4"/>
    <col width="14" customWidth="1" style="35" min="5" max="5"/>
  </cols>
  <sheetData>
    <row r="1">
      <c r="A1" s="85" t="inlineStr">
        <is>
          <t>Visa Inc. (V) — Multi-Method Valuation Summary</t>
        </is>
      </c>
    </row>
    <row r="2">
      <c r="A2" s="34" t="inlineStr">
        <is>
          <t>USD; per-share USD. Payments network — forward-P/E anchored (vs Mastercard). Live $356 (Jul 2026), 1,880M shares, net debt ~$5bn.</t>
        </is>
      </c>
    </row>
    <row r="4">
      <c r="A4" s="86" t="inlineStr">
        <is>
          <t>KEY INPUTS</t>
        </is>
      </c>
    </row>
    <row r="5">
      <c r="A5" s="34" t="inlineStr">
        <is>
          <t>Live share price ($)</t>
        </is>
      </c>
      <c r="B5" s="87" t="n">
        <v>356</v>
      </c>
    </row>
    <row r="6">
      <c r="A6" s="34" t="inlineStr">
        <is>
          <t>Shares (M)</t>
        </is>
      </c>
      <c r="B6" s="87" t="n">
        <v>1880</v>
      </c>
    </row>
    <row r="7">
      <c r="A7" s="34" t="inlineStr">
        <is>
          <t>Net debt ($M)</t>
        </is>
      </c>
      <c r="B7" s="87" t="n">
        <v>5000</v>
      </c>
    </row>
    <row r="8">
      <c r="A8" s="34" t="inlineStr">
        <is>
          <t>FY25 adj EPS ($)</t>
        </is>
      </c>
      <c r="B8" s="34" t="n">
        <v>11.47</v>
      </c>
    </row>
    <row r="9">
      <c r="A9" s="34" t="inlineStr">
        <is>
          <t>FY26E adj EPS ($)</t>
        </is>
      </c>
      <c r="B9" s="34" t="n">
        <v>13.09</v>
      </c>
    </row>
    <row r="10">
      <c r="A10" s="34" t="inlineStr">
        <is>
          <t>FY26E EBITDA ($M)</t>
        </is>
      </c>
      <c r="B10" s="87" t="n">
        <v>28000</v>
      </c>
    </row>
    <row r="11">
      <c r="A11" s="34" t="inlineStr">
        <is>
          <t>Normalized FCF ($M)</t>
        </is>
      </c>
      <c r="B11" s="87" t="n">
        <v>19000</v>
      </c>
    </row>
    <row r="12">
      <c r="A12" s="34" t="inlineStr">
        <is>
          <t>Dividend/share ($)</t>
        </is>
      </c>
      <c r="B12" s="34" t="n">
        <v>2.36</v>
      </c>
    </row>
    <row r="14">
      <c r="A14" s="86" t="inlineStr">
        <is>
          <t>VALUATION METHODS</t>
        </is>
      </c>
    </row>
    <row r="15">
      <c r="A15" s="88" t="inlineStr">
        <is>
          <t>Method</t>
        </is>
      </c>
      <c r="B15" s="88" t="inlineStr">
        <is>
          <t>Assumption</t>
        </is>
      </c>
      <c r="C15" s="88" t="inlineStr">
        <is>
          <t>Value/share ($)</t>
        </is>
      </c>
      <c r="D15" s="88" t="inlineStr">
        <is>
          <t>vs price</t>
        </is>
      </c>
      <c r="E15" s="88" t="inlineStr">
        <is>
          <t>Weight</t>
        </is>
      </c>
    </row>
    <row r="16">
      <c r="A16" s="34" t="inlineStr">
        <is>
          <t>P/E (relative, vs Mastercard)</t>
        </is>
      </c>
      <c r="B16" s="34" t="inlineStr">
        <is>
          <t>29x × FY26E adj EPS</t>
        </is>
      </c>
      <c r="C16" s="89">
        <f>29*B9</f>
        <v/>
      </c>
      <c r="D16" s="90">
        <f>C16/B5-1</f>
        <v/>
      </c>
      <c r="E16" s="91" t="n">
        <v>0.5</v>
      </c>
    </row>
    <row r="17">
      <c r="A17" s="34" t="inlineStr">
        <is>
          <t>EV/EBITDA (relative)</t>
        </is>
      </c>
      <c r="B17" s="34" t="inlineStr">
        <is>
          <t>23x × FY26E EBITDA</t>
        </is>
      </c>
      <c r="C17" s="89">
        <f>(23*B10-B7)/B6</f>
        <v/>
      </c>
      <c r="D17" s="90">
        <f>C17/B5-1</f>
        <v/>
      </c>
      <c r="E17" s="91" t="n">
        <v>0.25</v>
      </c>
    </row>
    <row r="18">
      <c r="A18" s="34" t="inlineStr">
        <is>
          <t>DCF (conservative floor)</t>
        </is>
      </c>
      <c r="B18" s="34" t="inlineStr">
        <is>
          <t>FCF, WACC 8%, term g 4%</t>
        </is>
      </c>
      <c r="C18" s="89" t="n">
        <v>315</v>
      </c>
      <c r="D18" s="90">
        <f>C18/B5-1</f>
        <v/>
      </c>
      <c r="E18" s="91" t="n">
        <v>0.25</v>
      </c>
    </row>
    <row r="19">
      <c r="A19" s="34" t="inlineStr">
        <is>
          <t>(Reference) current market multiple</t>
        </is>
      </c>
      <c r="B19" s="34" t="inlineStr">
        <is>
          <t>~27x FY26E EPS</t>
        </is>
      </c>
      <c r="C19" s="89">
        <f>B5</f>
        <v/>
      </c>
    </row>
    <row r="21">
      <c r="A21" s="86" t="inlineStr">
        <is>
          <t>BLENDED VALUATION &amp; RATING</t>
        </is>
      </c>
    </row>
    <row r="22">
      <c r="A22" s="34" t="inlineStr">
        <is>
          <t>Blended fair value ($)</t>
        </is>
      </c>
      <c r="B22" s="89">
        <f>SUMPRODUCT(C16:C18,E16:E18)</f>
        <v/>
      </c>
    </row>
    <row r="23">
      <c r="A23" s="34" t="inlineStr">
        <is>
          <t>Price upside/(downside) vs $356</t>
        </is>
      </c>
      <c r="B23" s="90">
        <f>B22/B5-1</f>
        <v/>
      </c>
    </row>
    <row r="24">
      <c r="A24" s="34" t="inlineStr">
        <is>
          <t>Dividend yield</t>
        </is>
      </c>
      <c r="B24" s="90">
        <f>B12/B5</f>
        <v/>
      </c>
    </row>
    <row r="25">
      <c r="A25" s="34" t="inlineStr">
        <is>
          <t>Total expected return</t>
        </is>
      </c>
      <c r="B25" s="90">
        <f>B23+B24</f>
        <v/>
      </c>
    </row>
    <row r="26">
      <c r="A26" s="34" t="inlineStr">
        <is>
          <t>Rating</t>
        </is>
      </c>
      <c r="B26" s="34">
        <f>IF(B23&gt;0.10,"BUY",IF(B23&gt;0.03,"ACCUMULATE",IF(B23&gt;-0.08,"HOLD","REDUCE")))</f>
        <v/>
      </c>
    </row>
    <row r="27">
      <c r="A27" s="34" t="inlineStr">
        <is>
          <t>Note: a payments network is best valued on forward earnings vs Mastercard; EV/EBITDA cross-checks and a DCF floor sit lower, as they under-price the toll-booth moat. After the run to ~$356, price upside has compressed.</t>
        </is>
      </c>
    </row>
  </sheetData>
  <mergeCells count="4">
    <mergeCell ref="A21:E21"/>
    <mergeCell ref="A1:E1"/>
    <mergeCell ref="A4:E4"/>
    <mergeCell ref="A14:E1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 filterMode="0">
    <tabColor rgb="FF1A1F71"/>
    <outlinePr summaryBelow="1" summaryRight="1"/>
    <pageSetUpPr fitToPage="0"/>
  </sheetPr>
  <dimension ref="A1:F34"/>
  <sheetViews>
    <sheetView showFormulas="0" showGridLines="0" showRowColHeaders="1" showZeros="1" rightToLeft="0" tabSelected="0" showOutlineSymbols="1" defaultGridColor="1" view="normal" topLeftCell="A13" colorId="64" zoomScale="169" zoomScaleNormal="169" zoomScalePageLayoutView="100" workbookViewId="0">
      <selection pane="topLeft" activeCell="G29" activeCellId="0" sqref="G29"/>
    </sheetView>
  </sheetViews>
  <sheetFormatPr baseColWidth="8" defaultColWidth="8.83203125" defaultRowHeight="15" customHeight="0" zeroHeight="0" outlineLevelRow="0"/>
  <cols>
    <col width="34" customWidth="1" style="34" min="1" max="1"/>
    <col width="13" customWidth="1" style="34" min="2" max="6"/>
  </cols>
  <sheetData>
    <row r="1" ht="24" customHeight="1" s="35">
      <c r="A1" s="36" t="inlineStr">
        <is>
          <t>Visa Inc. - Income Statement</t>
        </is>
      </c>
      <c r="B1" s="37" t="n"/>
      <c r="C1" s="37" t="n"/>
      <c r="D1" s="37" t="n"/>
      <c r="E1" s="37" t="n"/>
      <c r="F1" s="37" t="n"/>
    </row>
    <row r="2" ht="18" customHeight="1" s="35">
      <c r="A2" s="38" t="inlineStr">
        <is>
          <t>(USD Millions)</t>
        </is>
      </c>
      <c r="B2" s="39" t="inlineStr">
        <is>
          <t>FY 2021</t>
        </is>
      </c>
      <c r="C2" s="39" t="inlineStr">
        <is>
          <t>FY 2022</t>
        </is>
      </c>
      <c r="D2" s="39" t="inlineStr">
        <is>
          <t>FY 2023</t>
        </is>
      </c>
      <c r="E2" s="39" t="inlineStr">
        <is>
          <t>FY 2024</t>
        </is>
      </c>
      <c r="F2" s="39" t="inlineStr">
        <is>
          <t>FY 2025</t>
        </is>
      </c>
    </row>
    <row r="3" ht="15.75" customHeight="1" s="35">
      <c r="A3" s="40" t="n"/>
      <c r="B3" s="40" t="n"/>
      <c r="C3" s="40" t="n"/>
      <c r="D3" s="40" t="n"/>
      <c r="E3" s="40" t="n"/>
      <c r="F3" s="40" t="n"/>
    </row>
    <row r="4" ht="15.75" customHeight="1" s="35">
      <c r="A4" s="41" t="inlineStr">
        <is>
          <t>Revenue</t>
        </is>
      </c>
      <c r="B4" s="37" t="n"/>
      <c r="C4" s="37" t="n"/>
      <c r="D4" s="37" t="n"/>
      <c r="E4" s="37" t="n"/>
      <c r="F4" s="37" t="n"/>
    </row>
    <row r="5" ht="15.75" customHeight="1" s="35">
      <c r="A5" s="42" t="inlineStr">
        <is>
          <t>Total Revenue</t>
        </is>
      </c>
      <c r="B5" s="43" t="n">
        <v>24105</v>
      </c>
      <c r="C5" s="43" t="n">
        <v>29310</v>
      </c>
      <c r="D5" s="43" t="n">
        <v>32653</v>
      </c>
      <c r="E5" s="43" t="n">
        <v>35926</v>
      </c>
      <c r="F5" s="43" t="n">
        <v>40000</v>
      </c>
    </row>
    <row r="6" ht="15.75" customHeight="1" s="35">
      <c r="A6" s="44" t="inlineStr">
        <is>
          <t>Cost of Revenue</t>
        </is>
      </c>
      <c r="B6" s="45" t="n">
        <v>4970</v>
      </c>
      <c r="C6" s="45" t="n">
        <v>5730</v>
      </c>
      <c r="D6" s="45" t="n">
        <v>6570</v>
      </c>
      <c r="E6" s="45" t="n">
        <v>7040</v>
      </c>
      <c r="F6" s="45" t="n">
        <v>9080</v>
      </c>
    </row>
    <row r="7" ht="15.75" customHeight="1" s="35">
      <c r="A7" s="42" t="inlineStr">
        <is>
          <t>Gross Profit</t>
        </is>
      </c>
      <c r="B7" s="43">
        <f>B5-B6</f>
        <v/>
      </c>
      <c r="C7" s="43">
        <f>C5-C6</f>
        <v/>
      </c>
      <c r="D7" s="43">
        <f>D5-D6</f>
        <v/>
      </c>
      <c r="E7" s="43">
        <f>E5-E6</f>
        <v/>
      </c>
      <c r="F7" s="43">
        <f>F5-F6</f>
        <v/>
      </c>
    </row>
    <row r="8" ht="15.75" customHeight="1" s="35">
      <c r="A8" s="46" t="n"/>
      <c r="B8" s="46" t="n"/>
      <c r="C8" s="46" t="n"/>
      <c r="D8" s="46" t="n"/>
      <c r="E8" s="46" t="n"/>
      <c r="F8" s="46" t="n"/>
    </row>
    <row r="9" ht="15.75" customHeight="1" s="35">
      <c r="A9" s="47" t="inlineStr">
        <is>
          <t>Operating Expenses</t>
        </is>
      </c>
      <c r="B9" s="48" t="n"/>
      <c r="C9" s="48" t="n"/>
      <c r="D9" s="48" t="n"/>
      <c r="E9" s="48" t="n"/>
      <c r="F9" s="48" t="n"/>
    </row>
    <row r="10" ht="15.75" customHeight="1" s="35">
      <c r="A10" s="49" t="inlineStr">
        <is>
          <t>Selling, General &amp; Admin</t>
        </is>
      </c>
      <c r="B10" s="50" t="n">
        <v>2520</v>
      </c>
      <c r="C10" s="50" t="n">
        <v>3040</v>
      </c>
      <c r="D10" s="50" t="n">
        <v>3220</v>
      </c>
      <c r="E10" s="50" t="n">
        <v>3790</v>
      </c>
      <c r="F10" s="50" t="n">
        <v>4370</v>
      </c>
    </row>
    <row r="11" ht="15.75" customHeight="1" s="35">
      <c r="A11" s="44" t="inlineStr">
        <is>
          <t>Other Operating Expenses</t>
        </is>
      </c>
      <c r="B11" s="51" t="n">
        <v>813</v>
      </c>
      <c r="C11" s="45" t="n">
        <v>1720</v>
      </c>
      <c r="D11" s="45" t="n">
        <v>1890</v>
      </c>
      <c r="E11" s="45" t="n">
        <v>1500</v>
      </c>
      <c r="F11" s="51" t="n">
        <v>0</v>
      </c>
    </row>
    <row r="12" ht="15.75" customHeight="1" s="35">
      <c r="A12" s="42" t="inlineStr">
        <is>
          <t>Total Operating Expenses</t>
        </is>
      </c>
      <c r="B12" s="43">
        <f>B10+B11</f>
        <v/>
      </c>
      <c r="C12" s="43">
        <f>C10+C11</f>
        <v/>
      </c>
      <c r="D12" s="43">
        <f>D10+D11</f>
        <v/>
      </c>
      <c r="E12" s="43">
        <f>E10+E11</f>
        <v/>
      </c>
      <c r="F12" s="43">
        <f>F10+F11</f>
        <v/>
      </c>
    </row>
    <row r="13" ht="15.75" customHeight="1" s="35">
      <c r="A13" s="46" t="n"/>
      <c r="B13" s="46" t="n"/>
      <c r="C13" s="46" t="n"/>
      <c r="D13" s="46" t="n"/>
      <c r="E13" s="46" t="n"/>
      <c r="F13" s="46" t="n"/>
    </row>
    <row r="14" ht="15.75" customHeight="1" s="35">
      <c r="A14" s="42" t="inlineStr">
        <is>
          <t>Operating Income (EBIT)</t>
        </is>
      </c>
      <c r="B14" s="43">
        <f>B7-B12</f>
        <v/>
      </c>
      <c r="C14" s="43">
        <f>C7-C12</f>
        <v/>
      </c>
      <c r="D14" s="43">
        <f>D7-D12</f>
        <v/>
      </c>
      <c r="E14" s="43">
        <f>E7-E12</f>
        <v/>
      </c>
      <c r="F14" s="43">
        <f>F7-F12</f>
        <v/>
      </c>
    </row>
    <row r="15" ht="15.75" customHeight="1" s="35">
      <c r="A15" s="46" t="n"/>
      <c r="B15" s="46" t="n"/>
      <c r="C15" s="46" t="n"/>
      <c r="D15" s="46" t="n"/>
      <c r="E15" s="46" t="n"/>
      <c r="F15" s="46" t="n"/>
    </row>
    <row r="16" ht="15.75" customHeight="1" s="35">
      <c r="A16" s="47" t="inlineStr">
        <is>
          <t>Non-Operating Income/Expense</t>
        </is>
      </c>
      <c r="B16" s="48" t="n"/>
      <c r="C16" s="48" t="n"/>
      <c r="D16" s="48" t="n"/>
      <c r="E16" s="48" t="n"/>
      <c r="F16" s="48" t="n"/>
    </row>
    <row r="17" ht="15.75" customHeight="1" s="35">
      <c r="A17" s="49" t="inlineStr">
        <is>
          <t>Interest Income</t>
        </is>
      </c>
      <c r="B17" s="52" t="n">
        <v>290</v>
      </c>
      <c r="C17" s="52" t="n">
        <v>420</v>
      </c>
      <c r="D17" s="52" t="n">
        <v>680</v>
      </c>
      <c r="E17" s="52" t="n">
        <v>950</v>
      </c>
      <c r="F17" s="50" t="n">
        <v>1200</v>
      </c>
    </row>
    <row r="18" ht="15.75" customHeight="1" s="35">
      <c r="A18" s="44" t="inlineStr">
        <is>
          <t>Interest Expense</t>
        </is>
      </c>
      <c r="B18" s="51" t="n">
        <v>-350</v>
      </c>
      <c r="C18" s="51" t="n">
        <v>-380</v>
      </c>
      <c r="D18" s="51" t="n">
        <v>-420</v>
      </c>
      <c r="E18" s="51" t="n">
        <v>-450</v>
      </c>
      <c r="F18" s="51" t="n">
        <v>-480</v>
      </c>
    </row>
    <row r="19" ht="15.75" customHeight="1" s="35">
      <c r="A19" s="42" t="inlineStr">
        <is>
          <t>Other Non-Operating Income</t>
        </is>
      </c>
      <c r="B19" s="42" t="n">
        <v>120</v>
      </c>
      <c r="C19" s="42" t="n">
        <v>150</v>
      </c>
      <c r="D19" s="42" t="n">
        <v>180</v>
      </c>
      <c r="E19" s="42" t="n">
        <v>220</v>
      </c>
      <c r="F19" s="42" t="n">
        <v>260</v>
      </c>
    </row>
    <row r="20" ht="15.75" customHeight="1" s="35">
      <c r="A20" s="42" t="inlineStr">
        <is>
          <t>Total Non-Operating Income</t>
        </is>
      </c>
      <c r="B20" s="43">
        <f>B17+B18+B19</f>
        <v/>
      </c>
      <c r="C20" s="43">
        <f>C17+C18+C19</f>
        <v/>
      </c>
      <c r="D20" s="43">
        <f>D17+D18+D19</f>
        <v/>
      </c>
      <c r="E20" s="43">
        <f>E17+E18+E19</f>
        <v/>
      </c>
      <c r="F20" s="43">
        <f>F17+F18+F19</f>
        <v/>
      </c>
    </row>
    <row r="21" ht="15.75" customHeight="1" s="35">
      <c r="A21" s="46" t="n"/>
      <c r="B21" s="46" t="n"/>
      <c r="C21" s="46" t="n"/>
      <c r="D21" s="46" t="n"/>
      <c r="E21" s="46" t="n"/>
      <c r="F21" s="46" t="n"/>
    </row>
    <row r="22" ht="15.75" customHeight="1" s="35">
      <c r="A22" s="44" t="inlineStr">
        <is>
          <t>Earnings Before Tax (EBT)</t>
        </is>
      </c>
      <c r="B22" s="44">
        <f>B14+B20</f>
        <v/>
      </c>
      <c r="C22" s="44">
        <f>C14+C20</f>
        <v/>
      </c>
      <c r="D22" s="44">
        <f>D14+D20</f>
        <v/>
      </c>
      <c r="E22" s="44">
        <f>E14+E20</f>
        <v/>
      </c>
      <c r="F22" s="44">
        <f>F14+F20</f>
        <v/>
      </c>
    </row>
    <row r="23" ht="15.75" customHeight="1" s="35">
      <c r="A23" s="44" t="inlineStr">
        <is>
          <t>Income Tax Expense</t>
        </is>
      </c>
      <c r="B23" s="45" t="n">
        <v>3551</v>
      </c>
      <c r="C23" s="45" t="n">
        <v>4053</v>
      </c>
      <c r="D23" s="45" t="n">
        <v>4140</v>
      </c>
      <c r="E23" s="45" t="n">
        <v>4573</v>
      </c>
      <c r="F23" s="45" t="n">
        <v>7470</v>
      </c>
    </row>
    <row r="24" ht="15.75" customHeight="1" s="35">
      <c r="A24" s="46" t="n"/>
      <c r="B24" s="46" t="n"/>
      <c r="C24" s="46" t="n"/>
      <c r="D24" s="46" t="n"/>
      <c r="E24" s="46" t="n"/>
      <c r="F24" s="46" t="n"/>
    </row>
    <row r="25" ht="15.75" customHeight="1" s="35">
      <c r="A25" s="42" t="inlineStr">
        <is>
          <t>Net Income</t>
        </is>
      </c>
      <c r="B25" s="43">
        <f>B22-B23</f>
        <v/>
      </c>
      <c r="C25" s="43">
        <f>C22-C23</f>
        <v/>
      </c>
      <c r="D25" s="43">
        <f>D22-D23</f>
        <v/>
      </c>
      <c r="E25" s="43">
        <f>E22-E23</f>
        <v/>
      </c>
      <c r="F25" s="43">
        <f>F22-F23</f>
        <v/>
      </c>
    </row>
    <row r="26" ht="16.5" customHeight="1" s="35">
      <c r="A26" s="46" t="n"/>
      <c r="B26" s="46" t="n"/>
      <c r="C26" s="46" t="n"/>
      <c r="D26" s="46" t="n"/>
      <c r="E26" s="46" t="n"/>
      <c r="F26" s="46" t="n"/>
    </row>
    <row r="27" ht="16.5" customHeight="1" s="35">
      <c r="A27" s="47" t="inlineStr">
        <is>
          <t>Key Metrics</t>
        </is>
      </c>
      <c r="B27" s="48" t="n"/>
      <c r="C27" s="48" t="n"/>
      <c r="D27" s="48" t="n"/>
      <c r="E27" s="48" t="n"/>
      <c r="F27" s="48" t="n"/>
    </row>
    <row r="28" ht="16.5" customHeight="1" s="35">
      <c r="A28" s="44" t="inlineStr">
        <is>
          <t>Gross Margin %</t>
        </is>
      </c>
      <c r="B28" s="53">
        <f>B7/B5</f>
        <v/>
      </c>
      <c r="C28" s="53">
        <f>C7/C5</f>
        <v/>
      </c>
      <c r="D28" s="53">
        <f>D7/D5</f>
        <v/>
      </c>
      <c r="E28" s="53">
        <f>E7/E5</f>
        <v/>
      </c>
      <c r="F28" s="53">
        <f>F7/F5</f>
        <v/>
      </c>
    </row>
    <row r="29" ht="15.75" customHeight="1" s="35">
      <c r="A29" s="44" t="inlineStr">
        <is>
          <t>Operating Margin %</t>
        </is>
      </c>
      <c r="B29" s="54">
        <f>B14/B5</f>
        <v/>
      </c>
      <c r="C29" s="54">
        <f>C14/C5</f>
        <v/>
      </c>
      <c r="D29" s="54">
        <f>D14/D5</f>
        <v/>
      </c>
      <c r="E29" s="54">
        <f>E14/E5</f>
        <v/>
      </c>
      <c r="F29" s="54">
        <f>F14/F5</f>
        <v/>
      </c>
    </row>
    <row r="30" ht="15.75" customHeight="1" s="35">
      <c r="A30" s="44" t="inlineStr">
        <is>
          <t>Net Margin %</t>
        </is>
      </c>
      <c r="B30" s="54">
        <f>B25/B5</f>
        <v/>
      </c>
      <c r="C30" s="54">
        <f>C25/C5</f>
        <v/>
      </c>
      <c r="D30" s="54">
        <f>D25/D5</f>
        <v/>
      </c>
      <c r="E30" s="54">
        <f>E25/E5</f>
        <v/>
      </c>
      <c r="F30" s="54">
        <f>F25/F5</f>
        <v/>
      </c>
    </row>
    <row r="31" ht="15.75" customHeight="1" s="35">
      <c r="A31" s="44" t="inlineStr">
        <is>
          <t>Tax Rate %</t>
        </is>
      </c>
      <c r="B31" s="55" t="n">
        <v>0.224</v>
      </c>
      <c r="C31" s="55" t="n">
        <v>0.213</v>
      </c>
      <c r="D31" s="55" t="n">
        <v>0.193</v>
      </c>
      <c r="E31" s="55" t="n">
        <v>0.188</v>
      </c>
      <c r="F31" s="55" t="n">
        <v>0.271</v>
      </c>
    </row>
    <row r="32" ht="16.5" customHeight="1" s="35">
      <c r="A32" s="46" t="n"/>
      <c r="B32" s="46" t="n"/>
      <c r="C32" s="46" t="n"/>
      <c r="D32" s="46" t="n"/>
      <c r="E32" s="46" t="n"/>
      <c r="F32" s="46" t="n"/>
    </row>
    <row r="33" ht="15.75" customHeight="1" s="35">
      <c r="A33" s="49" t="inlineStr">
        <is>
          <t>Shares Outstanding (Million)</t>
        </is>
      </c>
      <c r="B33" s="50" t="n">
        <v>2046</v>
      </c>
      <c r="C33" s="50" t="n">
        <v>2014</v>
      </c>
      <c r="D33" s="50" t="n">
        <v>1961</v>
      </c>
      <c r="E33" s="50" t="n">
        <v>1933</v>
      </c>
      <c r="F33" s="50" t="n">
        <v>1874</v>
      </c>
    </row>
    <row r="34" ht="16.5" customHeight="1" s="35">
      <c r="A34" s="44" t="inlineStr">
        <is>
          <t>EPS (Diluted)</t>
        </is>
      </c>
      <c r="B34" s="51" t="n">
        <v>6.01</v>
      </c>
      <c r="C34" s="51" t="n">
        <v>7.43</v>
      </c>
      <c r="D34" s="51" t="n">
        <v>8.81</v>
      </c>
      <c r="E34" s="51" t="n">
        <v>10.21</v>
      </c>
      <c r="F34" s="51" t="n">
        <v>10.7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A1F71"/>
    <outlinePr summaryBelow="1" summaryRight="1"/>
    <pageSetUpPr fitToPage="0"/>
  </sheetPr>
  <dimension ref="A1:F50"/>
  <sheetViews>
    <sheetView showFormulas="0" showGridLines="0" showRowColHeaders="1" showZeros="1" rightToLeft="0" tabSelected="1" showOutlineSymbols="1" defaultGridColor="1" view="normal" topLeftCell="A19" colorId="64" zoomScale="100" zoomScaleNormal="100" zoomScalePageLayoutView="100" workbookViewId="0">
      <selection pane="topLeft" activeCell="A19" activeCellId="0" sqref="A19"/>
    </sheetView>
  </sheetViews>
  <sheetFormatPr baseColWidth="8" defaultColWidth="8.83203125" defaultRowHeight="15" customHeight="0" zeroHeight="0" outlineLevelRow="0"/>
  <cols>
    <col width="36.67" customWidth="1" style="34" min="1" max="1"/>
    <col width="13" customWidth="1" style="34" min="2" max="6"/>
  </cols>
  <sheetData>
    <row r="1" ht="24" customHeight="1" s="35">
      <c r="A1" s="36" t="inlineStr">
        <is>
          <t>Visa Inc. - Balance Sheet</t>
        </is>
      </c>
      <c r="B1" s="37" t="n"/>
      <c r="C1" s="37" t="n"/>
      <c r="D1" s="37" t="n"/>
      <c r="E1" s="37" t="n"/>
      <c r="F1" s="37" t="n"/>
    </row>
    <row r="2" ht="18" customHeight="1" s="35">
      <c r="A2" s="38" t="inlineStr">
        <is>
          <t>(USD Millions)</t>
        </is>
      </c>
      <c r="B2" s="39" t="inlineStr">
        <is>
          <t>FY 2021</t>
        </is>
      </c>
      <c r="C2" s="39" t="inlineStr">
        <is>
          <t>FY 2022</t>
        </is>
      </c>
      <c r="D2" s="39" t="inlineStr">
        <is>
          <t>FY 2023</t>
        </is>
      </c>
      <c r="E2" s="39" t="inlineStr">
        <is>
          <t>FY 2024</t>
        </is>
      </c>
      <c r="F2" s="39" t="inlineStr">
        <is>
          <t>FY 2025</t>
        </is>
      </c>
    </row>
    <row r="3" ht="15" customHeight="1" s="35">
      <c r="A3" s="40" t="n"/>
      <c r="B3" s="40" t="n"/>
      <c r="C3" s="40" t="n"/>
      <c r="D3" s="40" t="n"/>
      <c r="E3" s="40" t="n"/>
      <c r="F3" s="40" t="n"/>
    </row>
    <row r="4" ht="15" customHeight="1" s="35">
      <c r="A4" s="41" t="inlineStr">
        <is>
          <t>Assets</t>
        </is>
      </c>
      <c r="B4" s="41" t="n"/>
      <c r="C4" s="41" t="n"/>
      <c r="D4" s="41" t="n"/>
      <c r="E4" s="41" t="n"/>
      <c r="F4" s="41" t="n"/>
    </row>
    <row r="5" ht="15" customHeight="1" s="35">
      <c r="A5" s="47" t="inlineStr">
        <is>
          <t>Current Assets</t>
        </is>
      </c>
      <c r="B5" s="56" t="n"/>
      <c r="C5" s="56" t="n"/>
      <c r="D5" s="56" t="n"/>
      <c r="E5" s="56" t="n"/>
      <c r="F5" s="56" t="n"/>
    </row>
    <row r="6" ht="15" customHeight="1" s="35">
      <c r="A6" s="57" t="inlineStr">
        <is>
          <t>Cash and Cash Equivalents</t>
        </is>
      </c>
      <c r="B6" s="58" t="n">
        <v>18510</v>
      </c>
      <c r="C6" s="58" t="n">
        <v>18520</v>
      </c>
      <c r="D6" s="58" t="n">
        <v>20130</v>
      </c>
      <c r="E6" s="58" t="n">
        <v>15180</v>
      </c>
      <c r="F6" s="58" t="n">
        <v>21990</v>
      </c>
    </row>
    <row r="7" ht="15" customHeight="1" s="35">
      <c r="A7" s="59" t="inlineStr">
        <is>
          <t>Short-term Investments</t>
        </is>
      </c>
      <c r="B7" s="60" t="n">
        <v>4200</v>
      </c>
      <c r="C7" s="60" t="n">
        <v>6400</v>
      </c>
      <c r="D7" s="60" t="n">
        <v>7800</v>
      </c>
      <c r="E7" s="60" t="n">
        <v>12500</v>
      </c>
      <c r="F7" s="60" t="n">
        <v>9400</v>
      </c>
    </row>
    <row r="8" ht="15" customHeight="1" s="35">
      <c r="A8" s="57" t="inlineStr">
        <is>
          <t>Accounts Receivable</t>
        </is>
      </c>
      <c r="B8" s="58" t="n">
        <v>3500</v>
      </c>
      <c r="C8" s="58" t="n">
        <v>3800</v>
      </c>
      <c r="D8" s="58" t="n">
        <v>4100</v>
      </c>
      <c r="E8" s="58" t="n">
        <v>4500</v>
      </c>
      <c r="F8" s="58" t="n">
        <v>4800</v>
      </c>
    </row>
    <row r="9" ht="15" customHeight="1" s="35">
      <c r="A9" s="59" t="inlineStr">
        <is>
          <t>Other Current Assets</t>
        </is>
      </c>
      <c r="B9" s="60" t="n">
        <v>1400</v>
      </c>
      <c r="C9" s="60" t="n">
        <v>1490</v>
      </c>
      <c r="D9" s="60" t="n">
        <v>1500</v>
      </c>
      <c r="E9" s="60" t="n">
        <v>1850</v>
      </c>
      <c r="F9" s="60" t="n">
        <v>1580</v>
      </c>
    </row>
    <row r="10" ht="15" customHeight="1" s="35">
      <c r="A10" s="61" t="inlineStr">
        <is>
          <t>Total Current Assets</t>
        </is>
      </c>
      <c r="B10" s="62" t="n">
        <v>27610</v>
      </c>
      <c r="C10" s="62" t="n">
        <v>30210</v>
      </c>
      <c r="D10" s="62" t="n">
        <v>33530</v>
      </c>
      <c r="E10" s="62" t="n">
        <v>34030</v>
      </c>
      <c r="F10" s="62" t="n">
        <v>37770</v>
      </c>
    </row>
    <row r="11" ht="15" customHeight="1" s="35">
      <c r="A11" s="40" t="n"/>
      <c r="B11" s="40" t="n"/>
      <c r="C11" s="40" t="n"/>
      <c r="D11" s="40" t="n"/>
      <c r="E11" s="40" t="n"/>
      <c r="F11" s="40" t="n"/>
    </row>
    <row r="12" ht="15" customHeight="1" s="35">
      <c r="A12" s="47" t="inlineStr">
        <is>
          <t>Non-Current Assets</t>
        </is>
      </c>
      <c r="B12" s="56" t="n"/>
      <c r="C12" s="56" t="n"/>
      <c r="D12" s="56" t="n"/>
      <c r="E12" s="56" t="n"/>
      <c r="F12" s="56" t="n"/>
    </row>
    <row r="13" ht="15" customHeight="1" s="35">
      <c r="A13" s="57" t="inlineStr">
        <is>
          <t>Property, Plant &amp; Equipment</t>
        </is>
      </c>
      <c r="B13" s="58" t="n">
        <v>2720</v>
      </c>
      <c r="C13" s="58" t="n">
        <v>3220</v>
      </c>
      <c r="D13" s="58" t="n">
        <v>3430</v>
      </c>
      <c r="E13" s="58" t="n">
        <v>3820</v>
      </c>
      <c r="F13" s="58" t="n">
        <v>4240</v>
      </c>
    </row>
    <row r="14" ht="15" customHeight="1" s="35">
      <c r="A14" s="59" t="inlineStr">
        <is>
          <t>Goodwill</t>
        </is>
      </c>
      <c r="B14" s="60" t="n">
        <v>15960</v>
      </c>
      <c r="C14" s="60" t="n">
        <v>17790</v>
      </c>
      <c r="D14" s="60" t="n">
        <v>18000</v>
      </c>
      <c r="E14" s="60" t="n">
        <v>18940</v>
      </c>
      <c r="F14" s="60" t="n">
        <v>19880</v>
      </c>
    </row>
    <row r="15" ht="15" customHeight="1" s="35">
      <c r="A15" s="57" t="inlineStr">
        <is>
          <t>Intangible Assets</t>
        </is>
      </c>
      <c r="B15" s="58" t="n">
        <v>21300</v>
      </c>
      <c r="C15" s="58" t="n">
        <v>19500</v>
      </c>
      <c r="D15" s="58" t="n">
        <v>18800</v>
      </c>
      <c r="E15" s="58" t="n">
        <v>20500</v>
      </c>
      <c r="F15" s="58" t="n">
        <v>20200</v>
      </c>
    </row>
    <row r="16" ht="15" customHeight="1" s="35">
      <c r="A16" s="59" t="inlineStr">
        <is>
          <t>Other Non-Current Assets</t>
        </is>
      </c>
      <c r="B16" s="60" t="n">
        <v>15310</v>
      </c>
      <c r="C16" s="60" t="n">
        <v>14780</v>
      </c>
      <c r="D16" s="60" t="n">
        <v>16740</v>
      </c>
      <c r="E16" s="60" t="n">
        <v>17220</v>
      </c>
      <c r="F16" s="60" t="n">
        <v>17540</v>
      </c>
    </row>
    <row r="17" ht="15" customHeight="1" s="35">
      <c r="A17" s="61" t="inlineStr">
        <is>
          <t>Total Non-Current Assets</t>
        </is>
      </c>
      <c r="B17" s="62" t="n">
        <v>55290</v>
      </c>
      <c r="C17" s="62" t="n">
        <v>55290</v>
      </c>
      <c r="D17" s="62" t="n">
        <v>56970</v>
      </c>
      <c r="E17" s="62" t="n">
        <v>60480</v>
      </c>
      <c r="F17" s="62" t="n">
        <v>61860</v>
      </c>
    </row>
    <row r="18" ht="15" customHeight="1" s="35">
      <c r="A18" s="40" t="n"/>
      <c r="B18" s="40" t="n"/>
      <c r="C18" s="40" t="n"/>
      <c r="D18" s="40" t="n"/>
      <c r="E18" s="40" t="n"/>
      <c r="F18" s="40" t="n"/>
    </row>
    <row r="19" ht="15" customHeight="1" s="35">
      <c r="A19" s="61" t="inlineStr">
        <is>
          <t>Total Assets</t>
        </is>
      </c>
      <c r="B19" s="62" t="n">
        <v>82900</v>
      </c>
      <c r="C19" s="62" t="n">
        <v>85500</v>
      </c>
      <c r="D19" s="62" t="n">
        <v>90500</v>
      </c>
      <c r="E19" s="62" t="n">
        <v>94510</v>
      </c>
      <c r="F19" s="62" t="n">
        <v>99630</v>
      </c>
    </row>
    <row r="20" ht="15" customHeight="1" s="35">
      <c r="A20" s="40" t="n"/>
      <c r="B20" s="40" t="n"/>
      <c r="C20" s="40" t="n"/>
      <c r="D20" s="40" t="n"/>
      <c r="E20" s="40" t="n"/>
      <c r="F20" s="40" t="n"/>
    </row>
    <row r="21" ht="15" customHeight="1" s="35">
      <c r="A21" s="47" t="inlineStr">
        <is>
          <t>Liabilities &amp; Shareholders' Equity</t>
        </is>
      </c>
      <c r="B21" s="56" t="n"/>
      <c r="C21" s="56" t="n"/>
      <c r="D21" s="56" t="n"/>
      <c r="E21" s="56" t="n"/>
      <c r="F21" s="56" t="n"/>
    </row>
    <row r="22" ht="15" customHeight="1" s="35">
      <c r="A22" s="47" t="inlineStr">
        <is>
          <t>Current Liabilities</t>
        </is>
      </c>
      <c r="B22" s="56" t="n"/>
      <c r="C22" s="56" t="n"/>
      <c r="D22" s="56" t="n"/>
      <c r="E22" s="56" t="n"/>
      <c r="F22" s="56" t="n"/>
    </row>
    <row r="23" ht="15" customHeight="1" s="35">
      <c r="A23" s="57" t="inlineStr">
        <is>
          <t>Accounts Payable</t>
        </is>
      </c>
      <c r="B23" s="58" t="n">
        <v>2100</v>
      </c>
      <c r="C23" s="58" t="n">
        <v>2300</v>
      </c>
      <c r="D23" s="58" t="n">
        <v>2500</v>
      </c>
      <c r="E23" s="58" t="n">
        <v>2700</v>
      </c>
      <c r="F23" s="58" t="n">
        <v>2900</v>
      </c>
    </row>
    <row r="24" ht="15" customHeight="1" s="35">
      <c r="A24" s="59" t="inlineStr">
        <is>
          <t>Accrued Expenses</t>
        </is>
      </c>
      <c r="B24" s="60" t="n">
        <v>8500</v>
      </c>
      <c r="C24" s="60" t="n">
        <v>9200</v>
      </c>
      <c r="D24" s="60" t="n">
        <v>10100</v>
      </c>
      <c r="E24" s="60" t="n">
        <v>11200</v>
      </c>
      <c r="F24" s="60" t="n">
        <v>12300</v>
      </c>
    </row>
    <row r="25" ht="15" customHeight="1" s="35">
      <c r="A25" s="57" t="inlineStr">
        <is>
          <t>Short-term Debt</t>
        </is>
      </c>
      <c r="B25" s="58" t="n">
        <v>1200</v>
      </c>
      <c r="C25" s="58" t="n">
        <v>1500</v>
      </c>
      <c r="D25" s="58" t="n">
        <v>1800</v>
      </c>
      <c r="E25" s="58" t="n">
        <v>2100</v>
      </c>
      <c r="F25" s="58" t="n">
        <v>2400</v>
      </c>
    </row>
    <row r="26" ht="15" customHeight="1" s="35">
      <c r="A26" s="59" t="inlineStr">
        <is>
          <t>Other Current Liabilities</t>
        </is>
      </c>
      <c r="B26" s="60" t="n">
        <v>3940</v>
      </c>
      <c r="C26" s="60" t="n">
        <v>7850</v>
      </c>
      <c r="D26" s="60" t="n">
        <v>8700</v>
      </c>
      <c r="E26" s="60" t="n">
        <v>10520</v>
      </c>
      <c r="F26" s="60" t="n">
        <v>13090</v>
      </c>
    </row>
    <row r="27" ht="15" customHeight="1" s="35">
      <c r="A27" s="61" t="inlineStr">
        <is>
          <t>Total Current Liabilities</t>
        </is>
      </c>
      <c r="B27" s="62" t="n">
        <v>15740</v>
      </c>
      <c r="C27" s="62" t="n">
        <v>20850</v>
      </c>
      <c r="D27" s="62" t="n">
        <v>23100</v>
      </c>
      <c r="E27" s="62" t="n">
        <v>26520</v>
      </c>
      <c r="F27" s="62" t="n">
        <v>30690</v>
      </c>
    </row>
    <row r="28" ht="15" customHeight="1" s="35">
      <c r="A28" s="40" t="n"/>
      <c r="B28" s="40" t="n"/>
      <c r="C28" s="40" t="n"/>
      <c r="D28" s="40" t="n"/>
      <c r="E28" s="40" t="n"/>
      <c r="F28" s="40" t="n"/>
    </row>
    <row r="29" ht="15" customHeight="1" s="35">
      <c r="A29" s="47" t="inlineStr">
        <is>
          <t>Non-Current Liabilities</t>
        </is>
      </c>
      <c r="B29" s="56" t="n"/>
      <c r="C29" s="56" t="n"/>
      <c r="D29" s="56" t="n"/>
      <c r="E29" s="56" t="n"/>
      <c r="F29" s="56" t="n"/>
    </row>
    <row r="30" ht="15" customHeight="1" s="35">
      <c r="A30" s="57" t="inlineStr">
        <is>
          <t>Long-term Debt</t>
        </is>
      </c>
      <c r="B30" s="58" t="n">
        <v>20350</v>
      </c>
      <c r="C30" s="58" t="n">
        <v>21790</v>
      </c>
      <c r="D30" s="58" t="n">
        <v>19500</v>
      </c>
      <c r="E30" s="58" t="n">
        <v>19700</v>
      </c>
      <c r="F30" s="58" t="n">
        <v>19400</v>
      </c>
    </row>
    <row r="31" ht="15" customHeight="1" s="35">
      <c r="A31" s="59" t="inlineStr">
        <is>
          <t>Deferred Tax Liabilities</t>
        </is>
      </c>
      <c r="B31" s="60" t="n">
        <v>4100</v>
      </c>
      <c r="C31" s="60" t="n">
        <v>3800</v>
      </c>
      <c r="D31" s="60" t="n">
        <v>4200</v>
      </c>
      <c r="E31" s="60" t="n">
        <v>4300</v>
      </c>
      <c r="F31" s="60" t="n">
        <v>4500</v>
      </c>
    </row>
    <row r="32" ht="15" customHeight="1" s="35">
      <c r="A32" s="57" t="inlineStr">
        <is>
          <t>Other Non-Current Liabilities</t>
        </is>
      </c>
      <c r="B32" s="58" t="n">
        <v>5120</v>
      </c>
      <c r="C32" s="58" t="n">
        <v>3480</v>
      </c>
      <c r="D32" s="58" t="n">
        <v>4970</v>
      </c>
      <c r="E32" s="58" t="n">
        <v>4850</v>
      </c>
      <c r="F32" s="58" t="n">
        <v>7130</v>
      </c>
    </row>
    <row r="33" ht="15" customHeight="1" s="35">
      <c r="A33" s="61" t="inlineStr">
        <is>
          <t>Total Non-Current Liabilities</t>
        </is>
      </c>
      <c r="B33" s="62" t="n">
        <v>29570</v>
      </c>
      <c r="C33" s="62" t="n">
        <v>29070</v>
      </c>
      <c r="D33" s="62" t="n">
        <v>28670</v>
      </c>
      <c r="E33" s="62" t="n">
        <v>28850</v>
      </c>
      <c r="F33" s="62" t="n">
        <v>31030</v>
      </c>
    </row>
    <row r="34" ht="15" customHeight="1" s="35">
      <c r="A34" s="40" t="n"/>
      <c r="B34" s="40" t="n"/>
      <c r="C34" s="40" t="n"/>
      <c r="D34" s="40" t="n"/>
      <c r="E34" s="40" t="n"/>
      <c r="F34" s="40" t="n"/>
    </row>
    <row r="35" ht="15" customHeight="1" s="35">
      <c r="A35" s="61" t="inlineStr">
        <is>
          <t>Total Liabilities</t>
        </is>
      </c>
      <c r="B35" s="62" t="n">
        <v>45310</v>
      </c>
      <c r="C35" s="62" t="n">
        <v>49920</v>
      </c>
      <c r="D35" s="62" t="n">
        <v>51770</v>
      </c>
      <c r="E35" s="62" t="n">
        <v>55370</v>
      </c>
      <c r="F35" s="62" t="n">
        <v>61720</v>
      </c>
    </row>
    <row r="36" ht="15" customHeight="1" s="35">
      <c r="A36" s="40" t="n"/>
      <c r="B36" s="40" t="n"/>
      <c r="C36" s="40" t="n"/>
      <c r="D36" s="40" t="n"/>
      <c r="E36" s="40" t="n"/>
      <c r="F36" s="40" t="n"/>
    </row>
    <row r="37" ht="15" customHeight="1" s="35">
      <c r="A37" s="47" t="inlineStr">
        <is>
          <t>Shareholders' Equity</t>
        </is>
      </c>
      <c r="B37" s="56" t="n"/>
      <c r="C37" s="56" t="n"/>
      <c r="D37" s="56" t="n"/>
      <c r="E37" s="56" t="n"/>
      <c r="F37" s="56" t="n"/>
    </row>
    <row r="38" ht="15" customHeight="1" s="35">
      <c r="A38" s="57" t="inlineStr">
        <is>
          <t>Common Stock</t>
        </is>
      </c>
      <c r="B38" s="58" t="n">
        <v>21940</v>
      </c>
      <c r="C38" s="58" t="n">
        <v>21870</v>
      </c>
      <c r="D38" s="58" t="n">
        <v>20000</v>
      </c>
      <c r="E38" s="58" t="n">
        <v>19500</v>
      </c>
      <c r="F38" s="58" t="n">
        <v>18500</v>
      </c>
    </row>
    <row r="39" ht="15" customHeight="1" s="35">
      <c r="A39" s="59" t="inlineStr">
        <is>
          <t>Retained Earnings</t>
        </is>
      </c>
      <c r="B39" s="60" t="n">
        <v>15350</v>
      </c>
      <c r="C39" s="60" t="n">
        <v>16120</v>
      </c>
      <c r="D39" s="60" t="n">
        <v>18040</v>
      </c>
      <c r="E39" s="60" t="n">
        <v>17290</v>
      </c>
      <c r="F39" s="60" t="n">
        <v>15110</v>
      </c>
    </row>
    <row r="40" ht="15" customHeight="1" s="35">
      <c r="A40" s="57" t="inlineStr">
        <is>
          <t>Other Comprehensive Income</t>
        </is>
      </c>
      <c r="B40" s="63" t="n">
        <v>300</v>
      </c>
      <c r="C40" s="58" t="n">
        <v>-2410</v>
      </c>
      <c r="D40" s="63" t="n">
        <v>690</v>
      </c>
      <c r="E40" s="58" t="n">
        <v>2350</v>
      </c>
      <c r="F40" s="58" t="n">
        <v>4300</v>
      </c>
    </row>
    <row r="41" ht="15" customHeight="1" s="35">
      <c r="A41" s="61" t="inlineStr">
        <is>
          <t>Total Shareholders' Equity</t>
        </is>
      </c>
      <c r="B41" s="62" t="n">
        <v>37590</v>
      </c>
      <c r="C41" s="62" t="n">
        <v>35580</v>
      </c>
      <c r="D41" s="62" t="n">
        <v>38730</v>
      </c>
      <c r="E41" s="62" t="n">
        <v>39140</v>
      </c>
      <c r="F41" s="62" t="n">
        <v>37910</v>
      </c>
    </row>
    <row r="42" ht="15" customHeight="1" s="35">
      <c r="A42" s="40" t="n"/>
      <c r="B42" s="40" t="n"/>
      <c r="C42" s="40" t="n"/>
      <c r="D42" s="40" t="n"/>
      <c r="E42" s="40" t="n"/>
      <c r="F42" s="40" t="n"/>
    </row>
    <row r="43" ht="15" customHeight="1" s="35">
      <c r="A43" s="61" t="inlineStr">
        <is>
          <t>Total Liabilities &amp; Equity</t>
        </is>
      </c>
      <c r="B43" s="62" t="n">
        <v>82900</v>
      </c>
      <c r="C43" s="62" t="n">
        <v>85500</v>
      </c>
      <c r="D43" s="62" t="n">
        <v>90500</v>
      </c>
      <c r="E43" s="62" t="n">
        <v>94510</v>
      </c>
      <c r="F43" s="62" t="n">
        <v>99630</v>
      </c>
    </row>
    <row r="44" ht="15" customHeight="1" s="35">
      <c r="A44" s="40" t="n"/>
      <c r="B44" s="40" t="n"/>
      <c r="C44" s="40" t="n"/>
      <c r="D44" s="40" t="n"/>
      <c r="E44" s="40" t="n"/>
      <c r="F44" s="40" t="n"/>
    </row>
    <row r="45" ht="15" customHeight="1" s="35">
      <c r="A45" s="47" t="inlineStr">
        <is>
          <t>Key Metrics</t>
        </is>
      </c>
      <c r="B45" s="56" t="n"/>
      <c r="C45" s="56" t="n"/>
      <c r="D45" s="56" t="n"/>
      <c r="E45" s="56" t="n"/>
      <c r="F45" s="56" t="n"/>
    </row>
    <row r="46" ht="15" customHeight="1" s="35">
      <c r="A46" s="57" t="inlineStr">
        <is>
          <t>Working Capital</t>
        </is>
      </c>
      <c r="B46" s="58" t="n">
        <v>11870</v>
      </c>
      <c r="C46" s="58" t="n">
        <v>9360</v>
      </c>
      <c r="D46" s="58" t="n">
        <v>10430</v>
      </c>
      <c r="E46" s="58" t="n">
        <v>7510</v>
      </c>
      <c r="F46" s="58" t="n">
        <v>7080</v>
      </c>
    </row>
    <row r="47" ht="15" customHeight="1" s="35">
      <c r="A47" s="61" t="inlineStr">
        <is>
          <t>Total Debt</t>
        </is>
      </c>
      <c r="B47" s="62" t="n">
        <v>21550</v>
      </c>
      <c r="C47" s="62" t="n">
        <v>23290</v>
      </c>
      <c r="D47" s="62" t="n">
        <v>21300</v>
      </c>
      <c r="E47" s="62" t="n">
        <v>21800</v>
      </c>
      <c r="F47" s="62" t="n">
        <v>21800</v>
      </c>
    </row>
    <row r="48" ht="15" customHeight="1" s="35">
      <c r="A48" s="57" t="inlineStr">
        <is>
          <t>Net Debt</t>
        </is>
      </c>
      <c r="B48" s="58" t="n">
        <v>3040</v>
      </c>
      <c r="C48" s="58" t="n">
        <v>4770</v>
      </c>
      <c r="D48" s="58" t="n">
        <v>1170</v>
      </c>
      <c r="E48" s="58" t="n">
        <v>6620</v>
      </c>
      <c r="F48" s="63" t="n">
        <v>-600</v>
      </c>
    </row>
    <row r="49" ht="15" customHeight="1" s="35">
      <c r="A49" s="59" t="inlineStr">
        <is>
          <t>Debt to Equity</t>
        </is>
      </c>
      <c r="B49" s="64" t="n">
        <v>0.57</v>
      </c>
      <c r="C49" s="64" t="n">
        <v>0.65</v>
      </c>
      <c r="D49" s="64" t="n">
        <v>0.55</v>
      </c>
      <c r="E49" s="64" t="n">
        <v>0.5600000000000001</v>
      </c>
      <c r="F49" s="64" t="n">
        <v>0.58</v>
      </c>
    </row>
    <row r="50" ht="15.75" customHeight="1" s="35">
      <c r="A50" s="57" t="inlineStr">
        <is>
          <t>Current Ratio</t>
        </is>
      </c>
      <c r="B50" s="63" t="n">
        <v>1.75</v>
      </c>
      <c r="C50" s="63" t="n">
        <v>1.45</v>
      </c>
      <c r="D50" s="63" t="n">
        <v>1.45</v>
      </c>
      <c r="E50" s="63" t="n">
        <v>1.28</v>
      </c>
      <c r="F50" s="63" t="n">
        <v>1.23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A1F71"/>
    <outlinePr summaryBelow="1" summaryRight="1"/>
    <pageSetUpPr fitToPage="0"/>
  </sheetPr>
  <dimension ref="A1:F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8.83203125" defaultRowHeight="15" customHeight="0" zeroHeight="0" outlineLevelRow="0"/>
  <cols>
    <col width="36.67" customWidth="1" style="34" min="1" max="1"/>
    <col width="13" customWidth="1" style="34" min="2" max="6"/>
  </cols>
  <sheetData>
    <row r="1" ht="24" customHeight="1" s="35">
      <c r="A1" s="36" t="inlineStr">
        <is>
          <t>Visa Inc. - Cash Flow Statement</t>
        </is>
      </c>
      <c r="B1" s="37" t="n"/>
      <c r="C1" s="37" t="n"/>
      <c r="D1" s="37" t="n"/>
      <c r="E1" s="37" t="n"/>
      <c r="F1" s="37" t="n"/>
    </row>
    <row r="2" ht="18" customHeight="1" s="35">
      <c r="A2" s="38" t="inlineStr">
        <is>
          <t>(USD Millions)</t>
        </is>
      </c>
      <c r="B2" s="39" t="inlineStr">
        <is>
          <t>FY 2021</t>
        </is>
      </c>
      <c r="C2" s="39" t="inlineStr">
        <is>
          <t>FY 2022</t>
        </is>
      </c>
      <c r="D2" s="39" t="inlineStr">
        <is>
          <t>FY 2023</t>
        </is>
      </c>
      <c r="E2" s="39" t="inlineStr">
        <is>
          <t>FY 2024</t>
        </is>
      </c>
      <c r="F2" s="39" t="inlineStr">
        <is>
          <t>FY 2025</t>
        </is>
      </c>
    </row>
    <row r="3" ht="15" customHeight="1" s="35">
      <c r="A3" s="40" t="n"/>
      <c r="B3" s="40" t="n"/>
      <c r="C3" s="40" t="n"/>
      <c r="D3" s="40" t="n"/>
      <c r="E3" s="40" t="n"/>
      <c r="F3" s="40" t="n"/>
    </row>
    <row r="4" ht="15" customHeight="1" s="35">
      <c r="A4" s="41" t="inlineStr">
        <is>
          <t>Operating Activities</t>
        </is>
      </c>
      <c r="B4" s="41" t="n"/>
      <c r="C4" s="41" t="n"/>
      <c r="D4" s="41" t="n"/>
      <c r="E4" s="41" t="n"/>
      <c r="F4" s="41" t="n"/>
    </row>
    <row r="5" ht="15" customHeight="1" s="35">
      <c r="A5" s="61" t="inlineStr">
        <is>
          <t>Net Income</t>
        </is>
      </c>
      <c r="B5" s="62" t="n">
        <v>12311</v>
      </c>
      <c r="C5" s="62" t="n">
        <v>14957</v>
      </c>
      <c r="D5" s="62" t="n">
        <v>17273</v>
      </c>
      <c r="E5" s="62" t="n">
        <v>19743</v>
      </c>
      <c r="F5" s="62" t="n">
        <v>20060</v>
      </c>
    </row>
    <row r="6" ht="15" customHeight="1" s="35">
      <c r="A6" s="61" t="inlineStr">
        <is>
          <t>Adjustments to Net Income:</t>
        </is>
      </c>
      <c r="B6" s="61" t="n"/>
      <c r="C6" s="61" t="n"/>
      <c r="D6" s="61" t="n"/>
      <c r="E6" s="61" t="n"/>
      <c r="F6" s="61" t="n"/>
    </row>
    <row r="7" ht="15" customHeight="1" s="35">
      <c r="A7" s="57" t="inlineStr">
        <is>
          <t>Depreciation &amp; Amortization</t>
        </is>
      </c>
      <c r="B7" s="63" t="n">
        <v>804</v>
      </c>
      <c r="C7" s="63" t="n">
        <v>861</v>
      </c>
      <c r="D7" s="63" t="n">
        <v>943</v>
      </c>
      <c r="E7" s="58" t="n">
        <v>1030</v>
      </c>
      <c r="F7" s="58" t="n">
        <v>1220</v>
      </c>
    </row>
    <row r="8" ht="15" customHeight="1" s="35">
      <c r="A8" s="59" t="inlineStr">
        <is>
          <t>Stock-Based Compensation</t>
        </is>
      </c>
      <c r="B8" s="64" t="n">
        <v>450</v>
      </c>
      <c r="C8" s="64" t="n">
        <v>520</v>
      </c>
      <c r="D8" s="64" t="n">
        <v>580</v>
      </c>
      <c r="E8" s="64" t="n">
        <v>640</v>
      </c>
      <c r="F8" s="64" t="n">
        <v>720</v>
      </c>
    </row>
    <row r="9" ht="15" customHeight="1" s="35">
      <c r="A9" s="57" t="inlineStr">
        <is>
          <t>Deferred Income Taxes</t>
        </is>
      </c>
      <c r="B9" s="63" t="n">
        <v>-100</v>
      </c>
      <c r="C9" s="63" t="n">
        <v>150</v>
      </c>
      <c r="D9" s="63" t="n">
        <v>200</v>
      </c>
      <c r="E9" s="63" t="n">
        <v>250</v>
      </c>
      <c r="F9" s="63" t="n">
        <v>300</v>
      </c>
    </row>
    <row r="10" ht="15" customHeight="1" s="35">
      <c r="A10" s="47" t="inlineStr">
        <is>
          <t>Changes in Working Capital:</t>
        </is>
      </c>
      <c r="B10" s="56" t="n"/>
      <c r="C10" s="56" t="n"/>
      <c r="D10" s="56" t="n"/>
      <c r="E10" s="56" t="n"/>
      <c r="F10" s="56" t="n"/>
    </row>
    <row r="11" ht="15" customHeight="1" s="35">
      <c r="A11" s="57" t="inlineStr">
        <is>
          <t>Accounts Receivable</t>
        </is>
      </c>
      <c r="B11" s="63" t="n">
        <v>-200</v>
      </c>
      <c r="C11" s="63" t="n">
        <v>-300</v>
      </c>
      <c r="D11" s="63" t="n">
        <v>-300</v>
      </c>
      <c r="E11" s="63" t="n">
        <v>-400</v>
      </c>
      <c r="F11" s="63" t="n">
        <v>-300</v>
      </c>
    </row>
    <row r="12" ht="15" customHeight="1" s="35">
      <c r="A12" s="59" t="inlineStr">
        <is>
          <t>Accounts Payable</t>
        </is>
      </c>
      <c r="B12" s="64" t="n">
        <v>150</v>
      </c>
      <c r="C12" s="64" t="n">
        <v>200</v>
      </c>
      <c r="D12" s="64" t="n">
        <v>200</v>
      </c>
      <c r="E12" s="64" t="n">
        <v>200</v>
      </c>
      <c r="F12" s="64" t="n">
        <v>200</v>
      </c>
    </row>
    <row r="13" ht="15" customHeight="1" s="35">
      <c r="A13" s="57" t="inlineStr">
        <is>
          <t>Other Working Capital Changes</t>
        </is>
      </c>
      <c r="B13" s="58" t="n">
        <v>1812</v>
      </c>
      <c r="C13" s="58" t="n">
        <v>2461</v>
      </c>
      <c r="D13" s="58" t="n">
        <v>1859</v>
      </c>
      <c r="E13" s="63" t="n">
        <v>-514</v>
      </c>
      <c r="F13" s="58" t="n">
        <v>1866</v>
      </c>
    </row>
    <row r="14" ht="15" customHeight="1" s="35">
      <c r="A14" s="61" t="inlineStr">
        <is>
          <t>Net Cash from Operating Activities</t>
        </is>
      </c>
      <c r="B14" s="62" t="n">
        <v>15227</v>
      </c>
      <c r="C14" s="62" t="n">
        <v>18849</v>
      </c>
      <c r="D14" s="62" t="n">
        <v>20755</v>
      </c>
      <c r="E14" s="62" t="n">
        <v>19950</v>
      </c>
      <c r="F14" s="62" t="n">
        <v>23066</v>
      </c>
    </row>
    <row r="15" ht="15" customHeight="1" s="35">
      <c r="A15" s="40" t="n"/>
      <c r="B15" s="40" t="n"/>
      <c r="C15" s="40" t="n"/>
      <c r="D15" s="40" t="n"/>
      <c r="E15" s="40" t="n"/>
      <c r="F15" s="40" t="n"/>
    </row>
    <row r="16" ht="15" customHeight="1" s="35">
      <c r="A16" s="47" t="inlineStr">
        <is>
          <t>Investing Activities</t>
        </is>
      </c>
      <c r="B16" s="56" t="n"/>
      <c r="C16" s="56" t="n"/>
      <c r="D16" s="56" t="n"/>
      <c r="E16" s="56" t="n"/>
      <c r="F16" s="56" t="n"/>
    </row>
    <row r="17" ht="15" customHeight="1" s="35">
      <c r="A17" s="57" t="inlineStr">
        <is>
          <t>Capital Expenditures (CapEx)</t>
        </is>
      </c>
      <c r="B17" s="63" t="n">
        <v>-705</v>
      </c>
      <c r="C17" s="63" t="n">
        <v>-970</v>
      </c>
      <c r="D17" s="58" t="n">
        <v>-1060</v>
      </c>
      <c r="E17" s="58" t="n">
        <v>-1260</v>
      </c>
      <c r="F17" s="58" t="n">
        <v>-1480</v>
      </c>
    </row>
    <row r="18" ht="15" customHeight="1" s="35">
      <c r="A18" s="59" t="inlineStr">
        <is>
          <t>Acquisitions &amp; Investments</t>
        </is>
      </c>
      <c r="B18" s="60" t="n">
        <v>-2800</v>
      </c>
      <c r="C18" s="60" t="n">
        <v>-3100</v>
      </c>
      <c r="D18" s="60" t="n">
        <v>-1200</v>
      </c>
      <c r="E18" s="64" t="n">
        <v>-800</v>
      </c>
      <c r="F18" s="60" t="n">
        <v>-1000</v>
      </c>
    </row>
    <row r="19" ht="15" customHeight="1" s="35">
      <c r="A19" s="57" t="inlineStr">
        <is>
          <t>Sale of Investments</t>
        </is>
      </c>
      <c r="B19" s="58" t="n">
        <v>3500</v>
      </c>
      <c r="C19" s="63" t="n">
        <v>800</v>
      </c>
      <c r="D19" s="63" t="n">
        <v>300</v>
      </c>
      <c r="E19" s="63" t="n">
        <v>200</v>
      </c>
      <c r="F19" s="63" t="n">
        <v>500</v>
      </c>
    </row>
    <row r="20" ht="15" customHeight="1" s="35">
      <c r="A20" s="59" t="inlineStr">
        <is>
          <t>Other Investing Activities</t>
        </is>
      </c>
      <c r="B20" s="64" t="n">
        <v>-147</v>
      </c>
      <c r="C20" s="64" t="n">
        <v>-18</v>
      </c>
      <c r="D20" s="64" t="n">
        <v>-46</v>
      </c>
      <c r="E20" s="64" t="n">
        <v>-66</v>
      </c>
      <c r="F20" s="64" t="n">
        <v>-150</v>
      </c>
    </row>
    <row r="21" ht="15" customHeight="1" s="35">
      <c r="A21" s="61" t="inlineStr">
        <is>
          <t>Net Cash from Investing Activities</t>
        </is>
      </c>
      <c r="B21" s="61" t="n">
        <v>-152</v>
      </c>
      <c r="C21" s="62" t="n">
        <v>-3288</v>
      </c>
      <c r="D21" s="62" t="n">
        <v>-2006</v>
      </c>
      <c r="E21" s="62" t="n">
        <v>-1926</v>
      </c>
      <c r="F21" s="62" t="n">
        <v>-2130</v>
      </c>
    </row>
    <row r="22" ht="15" customHeight="1" s="35">
      <c r="A22" s="40" t="n"/>
      <c r="B22" s="40" t="n"/>
      <c r="C22" s="40" t="n"/>
      <c r="D22" s="40" t="n"/>
      <c r="E22" s="40" t="n"/>
      <c r="F22" s="40" t="n"/>
    </row>
    <row r="23" ht="15" customHeight="1" s="35">
      <c r="A23" s="47" t="inlineStr">
        <is>
          <t>Financing Activities</t>
        </is>
      </c>
      <c r="B23" s="56" t="n"/>
      <c r="C23" s="56" t="n"/>
      <c r="D23" s="56" t="n"/>
      <c r="E23" s="56" t="n"/>
      <c r="F23" s="56" t="n"/>
    </row>
    <row r="24" ht="15" customHeight="1" s="35">
      <c r="A24" s="57" t="inlineStr">
        <is>
          <t>Dividends Paid</t>
        </is>
      </c>
      <c r="B24" s="58" t="n">
        <v>-2800</v>
      </c>
      <c r="C24" s="58" t="n">
        <v>-3200</v>
      </c>
      <c r="D24" s="58" t="n">
        <v>-3750</v>
      </c>
      <c r="E24" s="58" t="n">
        <v>-4220</v>
      </c>
      <c r="F24" s="58" t="n">
        <v>-4630</v>
      </c>
    </row>
    <row r="25" ht="15" customHeight="1" s="35">
      <c r="A25" s="59" t="inlineStr">
        <is>
          <t>Share Repurchases</t>
        </is>
      </c>
      <c r="B25" s="60" t="n">
        <v>-10500</v>
      </c>
      <c r="C25" s="60" t="n">
        <v>-8300</v>
      </c>
      <c r="D25" s="60" t="n">
        <v>-12500</v>
      </c>
      <c r="E25" s="60" t="n">
        <v>-13800</v>
      </c>
      <c r="F25" s="60" t="n">
        <v>-13200</v>
      </c>
    </row>
    <row r="26" ht="15" customHeight="1" s="35">
      <c r="A26" s="57" t="inlineStr">
        <is>
          <t>Debt Issuance/(Repayment)</t>
        </is>
      </c>
      <c r="B26" s="58" t="n">
        <v>1200</v>
      </c>
      <c r="C26" s="58" t="n">
        <v>1800</v>
      </c>
      <c r="D26" s="58" t="n">
        <v>-2000</v>
      </c>
      <c r="E26" s="63" t="n">
        <v>500</v>
      </c>
      <c r="F26" s="63" t="n">
        <v>0</v>
      </c>
    </row>
    <row r="27" ht="15" customHeight="1" s="35">
      <c r="A27" s="59" t="inlineStr">
        <is>
          <t>Other Financing Activities</t>
        </is>
      </c>
      <c r="B27" s="60" t="n">
        <v>-2310</v>
      </c>
      <c r="C27" s="60" t="n">
        <v>-2996</v>
      </c>
      <c r="D27" s="64" t="n">
        <v>478</v>
      </c>
      <c r="E27" s="60" t="n">
        <v>-1113</v>
      </c>
      <c r="F27" s="60" t="n">
        <v>-2200</v>
      </c>
    </row>
    <row r="28" ht="15" customHeight="1" s="35">
      <c r="A28" s="61" t="inlineStr">
        <is>
          <t>Net Cash from Financing Activities</t>
        </is>
      </c>
      <c r="B28" s="62" t="n">
        <v>-14410</v>
      </c>
      <c r="C28" s="62" t="n">
        <v>-12696</v>
      </c>
      <c r="D28" s="62" t="n">
        <v>-17772</v>
      </c>
      <c r="E28" s="62" t="n">
        <v>-20633</v>
      </c>
      <c r="F28" s="62" t="n">
        <v>-20030</v>
      </c>
    </row>
    <row r="29" ht="15" customHeight="1" s="35">
      <c r="A29" s="40" t="n"/>
      <c r="B29" s="40" t="n"/>
      <c r="C29" s="40" t="n"/>
      <c r="D29" s="40" t="n"/>
      <c r="E29" s="40" t="n"/>
      <c r="F29" s="40" t="n"/>
    </row>
    <row r="30" ht="15" customHeight="1" s="35">
      <c r="A30" s="61" t="inlineStr">
        <is>
          <t>Net Change in Cash</t>
        </is>
      </c>
      <c r="B30" s="61" t="n">
        <v>628</v>
      </c>
      <c r="C30" s="61" t="n">
        <v>578</v>
      </c>
      <c r="D30" s="62" t="n">
        <v>1613</v>
      </c>
      <c r="E30" s="62" t="n">
        <v>-2227</v>
      </c>
      <c r="F30" s="62" t="n">
        <v>6810</v>
      </c>
    </row>
    <row r="31" ht="15" customHeight="1" s="35">
      <c r="A31" s="57" t="inlineStr">
        <is>
          <t>Cash at Beginning of Period</t>
        </is>
      </c>
      <c r="B31" s="58" t="n">
        <v>17900</v>
      </c>
      <c r="C31" s="58" t="n">
        <v>18510</v>
      </c>
      <c r="D31" s="58" t="n">
        <v>18520</v>
      </c>
      <c r="E31" s="58" t="n">
        <v>20130</v>
      </c>
      <c r="F31" s="58" t="n">
        <v>15180</v>
      </c>
    </row>
    <row r="32" ht="15" customHeight="1" s="35">
      <c r="A32" s="59" t="inlineStr">
        <is>
          <t>Cash at End of Period</t>
        </is>
      </c>
      <c r="B32" s="60" t="n">
        <v>18510</v>
      </c>
      <c r="C32" s="60" t="n">
        <v>18520</v>
      </c>
      <c r="D32" s="60" t="n">
        <v>20130</v>
      </c>
      <c r="E32" s="60" t="n">
        <v>15180</v>
      </c>
      <c r="F32" s="60" t="n">
        <v>21990</v>
      </c>
    </row>
    <row r="33" ht="15" customHeight="1" s="35">
      <c r="A33" s="40" t="n"/>
      <c r="B33" s="40" t="n"/>
      <c r="C33" s="40" t="n"/>
      <c r="D33" s="40" t="n"/>
      <c r="E33" s="40" t="n"/>
      <c r="F33" s="40" t="n"/>
    </row>
    <row r="34" ht="15" customHeight="1" s="35">
      <c r="A34" s="47" t="inlineStr">
        <is>
          <t>Key Metrics</t>
        </is>
      </c>
      <c r="B34" s="56" t="n"/>
      <c r="C34" s="56" t="n"/>
      <c r="D34" s="56" t="n"/>
      <c r="E34" s="56" t="n"/>
      <c r="F34" s="56" t="n"/>
    </row>
    <row r="35" ht="15" customHeight="1" s="35">
      <c r="A35" s="61" t="inlineStr">
        <is>
          <t>Free Cash Flow (FCF)</t>
        </is>
      </c>
      <c r="B35" s="62" t="n">
        <v>14522</v>
      </c>
      <c r="C35" s="62" t="n">
        <v>17879</v>
      </c>
      <c r="D35" s="62" t="n">
        <v>19695</v>
      </c>
      <c r="E35" s="62" t="n">
        <v>18690</v>
      </c>
      <c r="F35" s="62" t="n">
        <v>21586</v>
      </c>
    </row>
    <row r="36" ht="15" customHeight="1" s="35">
      <c r="A36" s="59" t="inlineStr">
        <is>
          <t>FCF Margin %</t>
        </is>
      </c>
      <c r="B36" s="65" t="n">
        <v>0.602</v>
      </c>
      <c r="C36" s="65" t="n">
        <v>0.61</v>
      </c>
      <c r="D36" s="65" t="n">
        <v>0.603</v>
      </c>
      <c r="E36" s="65" t="n">
        <v>0.52</v>
      </c>
      <c r="F36" s="65" t="n">
        <v>0.54</v>
      </c>
    </row>
    <row r="37" ht="15" customHeight="1" s="35">
      <c r="A37" s="57" t="inlineStr">
        <is>
          <t>FCF Conversion (FCF/Net Income)</t>
        </is>
      </c>
      <c r="B37" s="66" t="n">
        <v>1.18</v>
      </c>
      <c r="C37" s="66" t="n">
        <v>1.195</v>
      </c>
      <c r="D37" s="66" t="n">
        <v>1.14</v>
      </c>
      <c r="E37" s="66" t="n">
        <v>0.946</v>
      </c>
      <c r="F37" s="66" t="n">
        <v>1.076</v>
      </c>
    </row>
    <row r="38" ht="15" customHeight="1" s="35">
      <c r="A38" s="59" t="inlineStr">
        <is>
          <t>CapEx as % of Revenue</t>
        </is>
      </c>
      <c r="B38" s="65" t="n">
        <v>0.029</v>
      </c>
      <c r="C38" s="65" t="n">
        <v>0.033</v>
      </c>
      <c r="D38" s="65" t="n">
        <v>0.032</v>
      </c>
      <c r="E38" s="65" t="n">
        <v>0.035</v>
      </c>
      <c r="F38" s="65" t="n">
        <v>0.037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A1F71"/>
    <outlinePr summaryBelow="1" summaryRight="1"/>
    <pageSetUpPr fitToPage="0"/>
  </sheetPr>
  <dimension ref="A1:F40"/>
  <sheetViews>
    <sheetView showFormulas="0" showGridLines="0" showRowColHeaders="1" showZeros="1" rightToLeft="0" tabSelected="0" showOutlineSymbols="1" defaultGridColor="1" view="normal" topLeftCell="A13" colorId="64" zoomScale="113" zoomScaleNormal="113" zoomScalePageLayoutView="100" workbookViewId="0">
      <selection pane="topLeft" activeCell="F39" activeCellId="0" sqref="F39"/>
    </sheetView>
  </sheetViews>
  <sheetFormatPr baseColWidth="8" defaultColWidth="8.83203125" defaultRowHeight="15" customHeight="0" zeroHeight="0" outlineLevelRow="0"/>
  <cols>
    <col width="35.67" customWidth="1" style="34" min="1" max="1"/>
    <col width="13" customWidth="1" style="34" min="2" max="6"/>
  </cols>
  <sheetData>
    <row r="1" ht="24" customHeight="1" s="35">
      <c r="A1" s="36" t="inlineStr">
        <is>
          <t>Visa Inc. - Key Financial Ratios</t>
        </is>
      </c>
      <c r="B1" s="37" t="n"/>
      <c r="C1" s="37" t="n"/>
      <c r="D1" s="37" t="n"/>
      <c r="E1" s="37" t="n"/>
      <c r="F1" s="37" t="n"/>
    </row>
    <row r="2" ht="18" customHeight="1" s="35">
      <c r="A2" s="39" t="n"/>
      <c r="B2" s="38" t="inlineStr">
        <is>
          <t>FY 2021</t>
        </is>
      </c>
      <c r="C2" s="39" t="inlineStr">
        <is>
          <t>FY 2022</t>
        </is>
      </c>
      <c r="D2" s="39" t="inlineStr">
        <is>
          <t>FY 2023</t>
        </is>
      </c>
      <c r="E2" s="39" t="inlineStr">
        <is>
          <t>FY 2024</t>
        </is>
      </c>
      <c r="F2" s="39" t="inlineStr">
        <is>
          <t>FY 2025</t>
        </is>
      </c>
    </row>
    <row r="3" ht="15" customHeight="1" s="35">
      <c r="A3" s="40" t="n"/>
      <c r="B3" s="40" t="n"/>
      <c r="C3" s="40" t="n"/>
      <c r="D3" s="40" t="n"/>
      <c r="E3" s="40" t="n"/>
      <c r="F3" s="40" t="n"/>
    </row>
    <row r="4" ht="15" customHeight="1" s="35">
      <c r="A4" s="41" t="inlineStr">
        <is>
          <t>Profitability Ratios</t>
        </is>
      </c>
      <c r="B4" s="41" t="n"/>
      <c r="C4" s="41" t="n"/>
      <c r="D4" s="41" t="n"/>
      <c r="E4" s="41" t="n"/>
      <c r="F4" s="41" t="n"/>
    </row>
    <row r="5" ht="15" customHeight="1" s="35">
      <c r="A5" s="57" t="inlineStr">
        <is>
          <t>Gross Margin</t>
        </is>
      </c>
      <c r="B5" s="66" t="n">
        <v>0.794</v>
      </c>
      <c r="C5" s="66" t="n">
        <v>0.804</v>
      </c>
      <c r="D5" s="66" t="n">
        <v>0.799</v>
      </c>
      <c r="E5" s="66" t="n">
        <v>0.804</v>
      </c>
      <c r="F5" s="66" t="n">
        <v>0.773</v>
      </c>
    </row>
    <row r="6" ht="15" customHeight="1" s="35">
      <c r="A6" s="59" t="inlineStr">
        <is>
          <t>Operating Margin (EBIT Margin)</t>
        </is>
      </c>
      <c r="B6" s="65" t="n">
        <v>0.656</v>
      </c>
      <c r="C6" s="65" t="n">
        <v>0.642</v>
      </c>
      <c r="D6" s="65" t="n">
        <v>0.642</v>
      </c>
      <c r="E6" s="65" t="n">
        <v>0.657</v>
      </c>
      <c r="F6" s="65" t="n">
        <v>0.664</v>
      </c>
    </row>
    <row r="7" ht="15" customHeight="1" s="35">
      <c r="A7" s="57" t="inlineStr">
        <is>
          <t>Net Profit Margin</t>
        </is>
      </c>
      <c r="B7" s="66" t="n">
        <v>0.511</v>
      </c>
      <c r="C7" s="66" t="n">
        <v>0.51</v>
      </c>
      <c r="D7" s="66" t="n">
        <v>0.529</v>
      </c>
      <c r="E7" s="66" t="n">
        <v>0.549</v>
      </c>
      <c r="F7" s="66" t="n">
        <v>0.502</v>
      </c>
    </row>
    <row r="8" ht="15" customHeight="1" s="35">
      <c r="A8" s="59" t="inlineStr">
        <is>
          <t>Return on Assets (ROA)</t>
        </is>
      </c>
      <c r="B8" s="65" t="n">
        <v>0.149</v>
      </c>
      <c r="C8" s="65" t="n">
        <v>0.175</v>
      </c>
      <c r="D8" s="65" t="n">
        <v>0.191</v>
      </c>
      <c r="E8" s="65" t="n">
        <v>0.209</v>
      </c>
      <c r="F8" s="65" t="n">
        <v>0.201</v>
      </c>
    </row>
    <row r="9" ht="15" customHeight="1" s="35">
      <c r="A9" s="57" t="inlineStr">
        <is>
          <t>Return on Equity (ROE)</t>
        </is>
      </c>
      <c r="B9" s="66" t="n">
        <v>0.328</v>
      </c>
      <c r="C9" s="66" t="n">
        <v>0.42</v>
      </c>
      <c r="D9" s="66" t="n">
        <v>0.446</v>
      </c>
      <c r="E9" s="66" t="n">
        <v>0.504</v>
      </c>
      <c r="F9" s="66" t="n">
        <v>0.529</v>
      </c>
    </row>
    <row r="10" ht="15" customHeight="1" s="35">
      <c r="A10" s="59" t="inlineStr">
        <is>
          <t>EBITDA Margin</t>
        </is>
      </c>
      <c r="B10" s="65" t="n">
        <v>0.6889999999999999</v>
      </c>
      <c r="C10" s="65" t="n">
        <v>0.671</v>
      </c>
      <c r="D10" s="65" t="n">
        <v>0.6909999999999999</v>
      </c>
      <c r="E10" s="65" t="n">
        <v>0.71</v>
      </c>
      <c r="F10" s="65" t="n">
        <v>0.695</v>
      </c>
    </row>
    <row r="11" ht="15" customHeight="1" s="35">
      <c r="A11" s="40" t="n"/>
      <c r="B11" s="40" t="n"/>
      <c r="C11" s="40" t="n"/>
      <c r="D11" s="40" t="n"/>
      <c r="E11" s="40" t="n"/>
      <c r="F11" s="40" t="n"/>
    </row>
    <row r="12" ht="15" customHeight="1" s="35">
      <c r="A12" s="47" t="inlineStr">
        <is>
          <t>Liquidity Ratios</t>
        </is>
      </c>
      <c r="B12" s="56" t="n"/>
      <c r="C12" s="56" t="n"/>
      <c r="D12" s="56" t="n"/>
      <c r="E12" s="56" t="n"/>
      <c r="F12" s="56" t="n"/>
    </row>
    <row r="13" ht="15" customHeight="1" s="35">
      <c r="A13" s="57" t="inlineStr">
        <is>
          <t>Current Ratio</t>
        </is>
      </c>
      <c r="B13" s="63" t="n">
        <v>1.75</v>
      </c>
      <c r="C13" s="63" t="n">
        <v>1.45</v>
      </c>
      <c r="D13" s="63" t="n">
        <v>1.45</v>
      </c>
      <c r="E13" s="63" t="n">
        <v>1.28</v>
      </c>
      <c r="F13" s="63" t="n">
        <v>1.23</v>
      </c>
    </row>
    <row r="14" ht="15" customHeight="1" s="35">
      <c r="A14" s="59" t="inlineStr">
        <is>
          <t>Quick Ratio</t>
        </is>
      </c>
      <c r="B14" s="64" t="n">
        <v>1.75</v>
      </c>
      <c r="C14" s="64" t="n">
        <v>1.45</v>
      </c>
      <c r="D14" s="64" t="n">
        <v>1.45</v>
      </c>
      <c r="E14" s="64" t="n">
        <v>1.28</v>
      </c>
      <c r="F14" s="64" t="n">
        <v>1.23</v>
      </c>
    </row>
    <row r="15" ht="15" customHeight="1" s="35">
      <c r="A15" s="57" t="inlineStr">
        <is>
          <t>Cash Ratio</t>
        </is>
      </c>
      <c r="B15" s="63" t="n">
        <v>1.18</v>
      </c>
      <c r="C15" s="63" t="n">
        <v>0.89</v>
      </c>
      <c r="D15" s="63" t="n">
        <v>0.87</v>
      </c>
      <c r="E15" s="63" t="n">
        <v>0.57</v>
      </c>
      <c r="F15" s="63" t="n">
        <v>0.72</v>
      </c>
    </row>
    <row r="16" ht="15" customHeight="1" s="35">
      <c r="A16" s="40" t="n"/>
      <c r="B16" s="40" t="n"/>
      <c r="C16" s="40" t="n"/>
      <c r="D16" s="40" t="n"/>
      <c r="E16" s="40" t="n"/>
      <c r="F16" s="40" t="n"/>
    </row>
    <row r="17" ht="15" customHeight="1" s="35">
      <c r="A17" s="47" t="inlineStr">
        <is>
          <t>Leverage Ratios</t>
        </is>
      </c>
      <c r="B17" s="56" t="n"/>
      <c r="C17" s="56" t="n"/>
      <c r="D17" s="56" t="n"/>
      <c r="E17" s="56" t="n"/>
      <c r="F17" s="56" t="n"/>
    </row>
    <row r="18" ht="15" customHeight="1" s="35">
      <c r="A18" s="57" t="inlineStr">
        <is>
          <t>Debt to Equity</t>
        </is>
      </c>
      <c r="B18" s="63" t="n">
        <v>0.57</v>
      </c>
      <c r="C18" s="63" t="n">
        <v>0.65</v>
      </c>
      <c r="D18" s="63" t="n">
        <v>0.55</v>
      </c>
      <c r="E18" s="63" t="n">
        <v>0.5600000000000001</v>
      </c>
      <c r="F18" s="63" t="n">
        <v>0.58</v>
      </c>
    </row>
    <row r="19" ht="15" customHeight="1" s="35">
      <c r="A19" s="59" t="inlineStr">
        <is>
          <t>Debt to Assets</t>
        </is>
      </c>
      <c r="B19" s="64" t="n">
        <v>0.26</v>
      </c>
      <c r="C19" s="64" t="n">
        <v>0.27</v>
      </c>
      <c r="D19" s="64" t="n">
        <v>0.24</v>
      </c>
      <c r="E19" s="64" t="n">
        <v>0.23</v>
      </c>
      <c r="F19" s="64" t="n">
        <v>0.22</v>
      </c>
    </row>
    <row r="20" ht="15" customHeight="1" s="35">
      <c r="A20" s="57" t="inlineStr">
        <is>
          <t>Interest Coverage (EBIT/Interest)</t>
        </is>
      </c>
      <c r="B20" s="63" t="n">
        <v>45.1</v>
      </c>
      <c r="C20" s="63" t="n">
        <v>49.5</v>
      </c>
      <c r="D20" s="63" t="n">
        <v>49.9</v>
      </c>
      <c r="E20" s="63" t="n">
        <v>52.4</v>
      </c>
      <c r="F20" s="63" t="n">
        <v>55.3</v>
      </c>
    </row>
    <row r="21" ht="15" customHeight="1" s="35">
      <c r="A21" s="61" t="inlineStr">
        <is>
          <t>Net Debt to EBITDA</t>
        </is>
      </c>
      <c r="B21" s="61" t="n">
        <v>0.18</v>
      </c>
      <c r="C21" s="61" t="n">
        <v>0.24</v>
      </c>
      <c r="D21" s="61" t="n">
        <v>0.05</v>
      </c>
      <c r="E21" s="61" t="n">
        <v>0.26</v>
      </c>
      <c r="F21" s="61" t="n">
        <v>-0.02</v>
      </c>
    </row>
    <row r="22" ht="15" customHeight="1" s="35">
      <c r="A22" s="40" t="n"/>
      <c r="B22" s="40" t="n"/>
      <c r="C22" s="40" t="n"/>
      <c r="D22" s="40" t="n"/>
      <c r="E22" s="40" t="n"/>
      <c r="F22" s="40" t="n"/>
    </row>
    <row r="23" ht="15" customHeight="1" s="35">
      <c r="A23" s="47" t="inlineStr">
        <is>
          <t>Efficiency Ratios</t>
        </is>
      </c>
      <c r="B23" s="56" t="n"/>
      <c r="C23" s="56" t="n"/>
      <c r="D23" s="56" t="n"/>
      <c r="E23" s="56" t="n"/>
      <c r="F23" s="56" t="n"/>
    </row>
    <row r="24" ht="15" customHeight="1" s="35">
      <c r="A24" s="57" t="inlineStr">
        <is>
          <t>Asset Turnover</t>
        </is>
      </c>
      <c r="B24" s="63" t="n">
        <v>0.29</v>
      </c>
      <c r="C24" s="63" t="n">
        <v>0.34</v>
      </c>
      <c r="D24" s="63" t="n">
        <v>0.36</v>
      </c>
      <c r="E24" s="63" t="n">
        <v>0.38</v>
      </c>
      <c r="F24" s="63" t="n">
        <v>0.4</v>
      </c>
    </row>
    <row r="25" ht="15" customHeight="1" s="35">
      <c r="A25" s="61" t="inlineStr">
        <is>
          <t>FCF to Revenue</t>
        </is>
      </c>
      <c r="B25" s="67" t="n">
        <v>0.602</v>
      </c>
      <c r="C25" s="67" t="n">
        <v>0.61</v>
      </c>
      <c r="D25" s="67" t="n">
        <v>0.603</v>
      </c>
      <c r="E25" s="67" t="n">
        <v>0.52</v>
      </c>
      <c r="F25" s="67" t="n">
        <v>0.54</v>
      </c>
    </row>
    <row r="26" ht="15" customHeight="1" s="35">
      <c r="A26" s="61" t="inlineStr">
        <is>
          <t>FCF to Net Income</t>
        </is>
      </c>
      <c r="B26" s="67" t="n">
        <v>1.18</v>
      </c>
      <c r="C26" s="67" t="n">
        <v>1.195</v>
      </c>
      <c r="D26" s="67" t="n">
        <v>1.14</v>
      </c>
      <c r="E26" s="67" t="n">
        <v>0.946</v>
      </c>
      <c r="F26" s="67" t="n">
        <v>1.076</v>
      </c>
    </row>
    <row r="27" ht="15" customHeight="1" s="35">
      <c r="A27" s="40" t="n"/>
      <c r="B27" s="40" t="n"/>
      <c r="C27" s="40" t="n"/>
      <c r="D27" s="40" t="n"/>
      <c r="E27" s="40" t="n"/>
      <c r="F27" s="40" t="n"/>
    </row>
    <row r="28" ht="15" customHeight="1" s="35">
      <c r="A28" s="47" t="inlineStr">
        <is>
          <t>Valuation Metrics</t>
        </is>
      </c>
      <c r="B28" s="56" t="n"/>
      <c r="C28" s="56" t="n"/>
      <c r="D28" s="56" t="n"/>
      <c r="E28" s="56" t="n"/>
      <c r="F28" s="56" t="n"/>
    </row>
    <row r="29" ht="15" customHeight="1" s="35">
      <c r="A29" s="57" t="inlineStr">
        <is>
          <t>EPS (Diluted)</t>
        </is>
      </c>
      <c r="B29" s="63" t="n">
        <v>6.01</v>
      </c>
      <c r="C29" s="63" t="n">
        <v>7.43</v>
      </c>
      <c r="D29" s="63" t="n">
        <v>8.81</v>
      </c>
      <c r="E29" s="63" t="n">
        <v>10.21</v>
      </c>
      <c r="F29" s="63" t="n">
        <v>10.7</v>
      </c>
    </row>
    <row r="30" ht="15" customHeight="1" s="35">
      <c r="A30" s="59" t="inlineStr">
        <is>
          <t>Book Value per Share</t>
        </is>
      </c>
      <c r="B30" s="64" t="n">
        <v>18.37</v>
      </c>
      <c r="C30" s="64" t="n">
        <v>17.67</v>
      </c>
      <c r="D30" s="64" t="n">
        <v>19.75</v>
      </c>
      <c r="E30" s="64" t="n">
        <v>20.25</v>
      </c>
      <c r="F30" s="64" t="n">
        <v>20.23</v>
      </c>
    </row>
    <row r="31" ht="15" customHeight="1" s="35">
      <c r="A31" s="47" t="inlineStr">
        <is>
          <t>P/E Ratio (assume current price)</t>
        </is>
      </c>
      <c r="B31" s="56" t="n"/>
      <c r="C31" s="56" t="n"/>
      <c r="D31" s="56" t="n"/>
      <c r="E31" s="56" t="n"/>
      <c r="F31" s="56" t="n"/>
    </row>
    <row r="32" ht="15" customHeight="1" s="35">
      <c r="A32" s="47" t="inlineStr">
        <is>
          <t>P/B Ratio</t>
        </is>
      </c>
      <c r="B32" s="56" t="n"/>
      <c r="C32" s="56" t="n"/>
      <c r="D32" s="56" t="n"/>
      <c r="E32" s="56" t="n"/>
      <c r="F32" s="56" t="n"/>
    </row>
    <row r="33" ht="15" customHeight="1" s="35">
      <c r="A33" s="47" t="inlineStr">
        <is>
          <t>EV/EBITDA</t>
        </is>
      </c>
      <c r="B33" s="56" t="n"/>
      <c r="C33" s="56" t="n"/>
      <c r="D33" s="56" t="n"/>
      <c r="E33" s="56" t="n"/>
      <c r="F33" s="56" t="n"/>
    </row>
    <row r="34" ht="15" customHeight="1" s="35">
      <c r="A34" s="40" t="n"/>
      <c r="B34" s="40" t="n"/>
      <c r="C34" s="40" t="n"/>
      <c r="D34" s="40" t="n"/>
      <c r="E34" s="40" t="n"/>
      <c r="F34" s="40" t="n"/>
    </row>
    <row r="35" ht="15" customHeight="1" s="35">
      <c r="A35" s="47" t="inlineStr">
        <is>
          <t>Growth Rates (YoY)</t>
        </is>
      </c>
      <c r="B35" s="56" t="n"/>
      <c r="C35" s="56" t="n"/>
      <c r="D35" s="56" t="n"/>
      <c r="E35" s="56" t="n"/>
      <c r="F35" s="56" t="n"/>
    </row>
    <row r="36" ht="15" customHeight="1" s="35">
      <c r="A36" s="57" t="inlineStr">
        <is>
          <t>Revenue Growth</t>
        </is>
      </c>
      <c r="B36" s="40" t="n"/>
      <c r="C36" s="66" t="n">
        <v>0.216</v>
      </c>
      <c r="D36" s="66" t="n">
        <v>0.114</v>
      </c>
      <c r="E36" s="66" t="n">
        <v>0.1</v>
      </c>
      <c r="F36" s="66" t="n">
        <v>0.113</v>
      </c>
    </row>
    <row r="37" ht="15" customHeight="1" s="35">
      <c r="A37" s="59" t="inlineStr">
        <is>
          <t>Operating Income Growth</t>
        </is>
      </c>
      <c r="B37" s="59" t="n"/>
      <c r="C37" s="65" t="n">
        <v>0.191</v>
      </c>
      <c r="D37" s="65" t="n">
        <v>0.114</v>
      </c>
      <c r="E37" s="65" t="n">
        <v>0.125</v>
      </c>
      <c r="F37" s="65" t="n">
        <v>0.125</v>
      </c>
    </row>
    <row r="38" ht="15" customHeight="1" s="35">
      <c r="A38" s="57" t="inlineStr">
        <is>
          <t>Net Income Growth</t>
        </is>
      </c>
      <c r="B38" s="40" t="n"/>
      <c r="C38" s="66" t="n">
        <v>0.215</v>
      </c>
      <c r="D38" s="66" t="n">
        <v>0.155</v>
      </c>
      <c r="E38" s="66" t="n">
        <v>0.143</v>
      </c>
      <c r="F38" s="66" t="n">
        <v>0.016</v>
      </c>
    </row>
    <row r="39" ht="15" customHeight="1" s="35">
      <c r="A39" s="59" t="inlineStr">
        <is>
          <t>EPS Growth</t>
        </is>
      </c>
      <c r="B39" s="59" t="n"/>
      <c r="C39" s="65" t="n">
        <v>0.236</v>
      </c>
      <c r="D39" s="65" t="n">
        <v>0.186</v>
      </c>
      <c r="E39" s="65" t="n">
        <v>0.159</v>
      </c>
      <c r="F39" s="65" t="n">
        <v>0.048</v>
      </c>
    </row>
    <row r="40" ht="15" customHeight="1" s="35">
      <c r="A40" s="57" t="inlineStr">
        <is>
          <t>FCF Growth</t>
        </is>
      </c>
      <c r="B40" s="40" t="n"/>
      <c r="C40" s="66" t="n">
        <v>0.231</v>
      </c>
      <c r="D40" s="66" t="n">
        <v>0.102</v>
      </c>
      <c r="E40" s="66" t="n">
        <v>-0.051</v>
      </c>
      <c r="F40" s="66" t="n">
        <v>0.155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tabColor rgb="001A1F71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2" customWidth="1" style="35" min="1" max="1"/>
    <col width="14" customWidth="1" style="35" min="2" max="2"/>
    <col width="14" customWidth="1" style="35" min="3" max="3"/>
    <col width="14" customWidth="1" style="35" min="4" max="4"/>
  </cols>
  <sheetData>
    <row r="1" ht="24" customHeight="1" s="35">
      <c r="A1" s="68" t="inlineStr">
        <is>
          <t>Visa — Peer Comparison (Comparable Company Analysis)</t>
        </is>
      </c>
    </row>
    <row r="2">
      <c r="A2" s="69" t="inlineStr">
        <is>
          <t>Researched Jun 2026 · update with live data before use</t>
        </is>
      </c>
    </row>
    <row r="4">
      <c r="A4" s="70" t="inlineStr">
        <is>
          <t>Company</t>
        </is>
      </c>
      <c r="B4" s="71" t="inlineStr">
        <is>
          <t>Price ($)</t>
        </is>
      </c>
      <c r="C4" s="71" t="inlineStr">
        <is>
          <t>EPS ($)</t>
        </is>
      </c>
      <c r="D4" s="71" t="inlineStr">
        <is>
          <t>P/E (x)</t>
        </is>
      </c>
    </row>
    <row r="5">
      <c r="A5" s="72" t="inlineStr">
        <is>
          <t>Visa ★</t>
        </is>
      </c>
      <c r="B5" s="73" t="n">
        <v>342.77</v>
      </c>
      <c r="C5" s="73" t="n">
        <v>11.42</v>
      </c>
      <c r="D5" s="74">
        <f>B5/C5</f>
        <v/>
      </c>
    </row>
    <row r="6">
      <c r="A6" s="75" t="inlineStr">
        <is>
          <t>Mastercard</t>
        </is>
      </c>
      <c r="B6" s="76" t="n">
        <v>499.02</v>
      </c>
      <c r="C6" s="76" t="n">
        <v>15.12</v>
      </c>
      <c r="D6" s="77">
        <f>B6/C6</f>
        <v/>
      </c>
    </row>
    <row r="8">
      <c r="A8" s="78" t="inlineStr">
        <is>
          <t>COMPARABLE-COMPANY SUMMARY</t>
        </is>
      </c>
      <c r="B8" s="79" t="n"/>
      <c r="C8" s="79" t="n"/>
      <c r="D8" s="80" t="n"/>
    </row>
    <row r="9">
      <c r="A9" s="72" t="inlineStr">
        <is>
          <t>Peer median P/E (x)</t>
        </is>
      </c>
      <c r="D9" s="81">
        <f>MEDIAN(D6:D6)</f>
        <v/>
      </c>
    </row>
    <row r="10">
      <c r="A10" s="72" t="inlineStr">
        <is>
          <t>Visa P/E premium / (discount) to peers</t>
        </is>
      </c>
      <c r="D10" s="82">
        <f>D5/D9-1</f>
        <v/>
      </c>
    </row>
    <row r="11">
      <c r="A11" s="72" t="inlineStr">
        <is>
          <t>Comps-implied value — peer median P/E × EPS ($)</t>
        </is>
      </c>
      <c r="D11" s="83">
        <f>D9*C5</f>
        <v/>
      </c>
    </row>
    <row r="12">
      <c r="A12" s="72" t="inlineStr">
        <is>
          <t>Comps-implied vs current price</t>
        </is>
      </c>
      <c r="D12" s="82">
        <f>D11/B5-1</f>
        <v/>
      </c>
    </row>
    <row r="14">
      <c r="A14" s="84" t="inlineStr">
        <is>
          <t>Note: Mastercard is the closest comparable. Visa trades at a modest discount to it — supportive of the BUY. Amex and PayPal are lower-multiple but structurally different businesses.</t>
        </is>
      </c>
    </row>
    <row r="15"/>
    <row r="16"/>
  </sheetData>
  <mergeCells count="4">
    <mergeCell ref="A14:D16"/>
    <mergeCell ref="A1:D1"/>
    <mergeCell ref="A8:D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2026-03-16T07:31:34Z</dcterms:created>
  <dcterms:modified xmlns:dcterms="http://purl.org/dc/terms/" xmlns:xsi="http://www.w3.org/2001/XMLSchema-instance" xsi:type="dcterms:W3CDTF">2026-07-22T05:45:37Z</dcterms:modified>
  <cp:lastModifiedBy>Debjit Mukherjee</cp:lastModifiedBy>
  <cp:revision>0</cp:revision>
</cp:coreProperties>
</file>