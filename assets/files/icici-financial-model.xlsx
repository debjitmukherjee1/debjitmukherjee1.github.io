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Ratios" sheetId="6" state="visible" r:id="rId6"/>
    <sheet xmlns:r="http://schemas.openxmlformats.org/officeDocument/2006/relationships" name="Peer Comp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0.0%;\(0.0%\);\-"/>
    <numFmt numFmtId="166" formatCode="0.000"/>
    <numFmt numFmtId="167" formatCode="0.00\x"/>
    <numFmt numFmtId="168" formatCode="0.0\x"/>
    <numFmt numFmtId="169" formatCode="0.0"/>
    <numFmt numFmtId="170" formatCode="0.0%"/>
    <numFmt numFmtId="171" formatCode="#,##0;(#,##0)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4"/>
    </font>
    <font>
      <name val="Arial"/>
      <charset val="1"/>
      <family val="0"/>
      <color rgb="FFD9E2F2"/>
      <sz val="11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FF"/>
      <sz val="10"/>
    </font>
    <font>
      <name val="Calibri"/>
      <b val="1"/>
      <color rgb="00FFFFFF"/>
      <sz val="14"/>
    </font>
    <font>
      <name val="Calibri"/>
      <b val="1"/>
      <color rgb="00FFFFFF"/>
      <sz val="10.5"/>
    </font>
    <font>
      <name val="Calibri"/>
      <b val="1"/>
      <color rgb="00000000"/>
      <sz val="10.5"/>
    </font>
    <font>
      <name val="Calibri"/>
      <color rgb="00000000"/>
      <sz val="10.5"/>
    </font>
    <font>
      <name val="Calibri"/>
      <i val="1"/>
      <color rgb="00000000"/>
      <sz val="9.5"/>
    </font>
    <font>
      <name val="Arial"/>
      <b val="1"/>
      <color rgb="FFFFFFFF"/>
      <sz val="12"/>
    </font>
    <font>
      <name val="Arial"/>
      <b val="1"/>
      <color rgb="FFFFFFFF"/>
      <sz val="24"/>
    </font>
    <font>
      <name val="Arial"/>
      <b val="1"/>
      <color rgb="FFFFFFFF"/>
      <sz val="10"/>
    </font>
    <font>
      <name val="Arial"/>
      <color rgb="FFFFFFFF"/>
      <sz val="10"/>
    </font>
    <font>
      <name val="Arial"/>
      <color rgb="FF1F1F1F"/>
      <sz val="10"/>
    </font>
    <font>
      <name val="Arial"/>
      <i val="1"/>
      <color rgb="FF595959"/>
      <sz val="10"/>
    </font>
    <font>
      <name val="Arial"/>
      <b val="1"/>
      <color rgb="FF008000"/>
      <sz val="10"/>
    </font>
    <font>
      <name val="Arial"/>
      <b val="1"/>
      <color rgb="FF9E3039"/>
      <sz val="10"/>
    </font>
    <font>
      <name val="Arial"/>
      <b val="1"/>
      <color rgb="FFFFFFFF"/>
      <sz val="14"/>
    </font>
    <font>
      <name val="Arial"/>
      <color rgb="FF0000FF"/>
      <sz val="10"/>
    </font>
    <font>
      <name val="Arial"/>
      <b val="1"/>
      <color rgb="FF1F1F1F"/>
      <sz val="10"/>
    </font>
    <font>
      <name val="Arial"/>
      <color rgb="FF008000"/>
      <sz val="10"/>
    </font>
    <font>
      <name val="Arial"/>
      <b val="1"/>
      <color rgb="FF0000FF"/>
      <sz val="10"/>
    </font>
    <font>
      <name val="Arial"/>
      <i val="1"/>
      <color rgb="FF1F1F1F"/>
      <sz val="10"/>
    </font>
  </fonts>
  <fills count="1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9A227"/>
        <bgColor rgb="FF99CC00"/>
      </patternFill>
    </fill>
    <fill>
      <patternFill patternType="solid">
        <fgColor rgb="FFD9E2F2"/>
        <bgColor rgb="FFF2F6FB"/>
      </patternFill>
    </fill>
    <fill>
      <patternFill patternType="solid">
        <fgColor rgb="FFFFF2CC"/>
        <bgColor rgb="FFF2F6FB"/>
      </patternFill>
    </fill>
    <fill>
      <patternFill patternType="solid">
        <fgColor rgb="FFFFFF00"/>
        <bgColor rgb="FFFFFF00"/>
      </patternFill>
    </fill>
    <fill>
      <patternFill patternType="solid">
        <fgColor rgb="FFF2F6FB"/>
        <bgColor rgb="FFFFFFFF"/>
      </patternFill>
    </fill>
    <fill>
      <patternFill patternType="solid">
        <fgColor rgb="009C2A50"/>
      </patternFill>
    </fill>
    <fill>
      <patternFill patternType="solid">
        <fgColor rgb="00C56A2E"/>
      </patternFill>
    </fill>
    <fill>
      <patternFill patternType="solid">
        <fgColor rgb="00F7EAE0"/>
      </patternFill>
    </fill>
    <fill>
      <patternFill patternType="solid">
        <fgColor rgb="FF9E3039"/>
        <bgColor rgb="FF9E3039"/>
      </patternFill>
    </fill>
    <fill>
      <patternFill patternType="solid">
        <fgColor rgb="FFF58220"/>
        <bgColor rgb="FFF58220"/>
      </patternFill>
    </fill>
    <fill>
      <patternFill patternType="solid">
        <fgColor rgb="FFFDF3E7"/>
        <bgColor rgb="FFFDF3E7"/>
      </patternFill>
    </fill>
    <fill>
      <patternFill patternType="solid">
        <fgColor rgb="FFFAE5CE"/>
        <bgColor rgb="FFFAE5CE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F3864"/>
      </top>
      <bottom/>
      <diagonal/>
    </border>
    <border>
      <left/>
      <right/>
      <top style="thin"/>
      <bottom style="double"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FF9E3039"/>
      </top>
      <bottom style="thin">
        <color rgb="FF9E3039"/>
      </bottom>
    </border>
    <border>
      <left style="thin">
        <color rgb="00DDDDDD"/>
      </left>
      <right style="thin">
        <color rgb="00DDDDDD"/>
      </right>
      <top style="thin">
        <color rgb="FF9E3039"/>
      </top>
      <bottom style="thin">
        <color rgb="FF9E303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8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4" fontId="9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4" fontId="11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1" fillId="5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1" fillId="6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164" fontId="11" fillId="7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8" fillId="7" borderId="0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164" fontId="1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4" fontId="11" fillId="7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4" fontId="12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7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13" fillId="7" borderId="0" applyAlignment="1" pivotButton="0" quotePrefix="0" xfId="0">
      <alignment horizontal="general" vertical="bottom"/>
    </xf>
    <xf numFmtId="164" fontId="12" fillId="0" borderId="3" applyAlignment="1" pivotButton="0" quotePrefix="0" xfId="0">
      <alignment horizontal="general" vertical="bottom"/>
    </xf>
    <xf numFmtId="165" fontId="8" fillId="7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general" vertical="bottom"/>
    </xf>
    <xf numFmtId="164" fontId="9" fillId="7" borderId="0" applyAlignment="1" pivotButton="0" quotePrefix="0" xfId="0">
      <alignment horizontal="general" vertical="bottom"/>
    </xf>
    <xf numFmtId="164" fontId="12" fillId="7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4" fontId="8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4" fontId="13" fillId="0" borderId="0" applyAlignment="1" pivotButton="0" quotePrefix="0" xfId="0">
      <alignment horizontal="general" vertical="bottom"/>
    </xf>
    <xf numFmtId="4" fontId="12" fillId="3" borderId="0" applyAlignment="1" pivotButton="0" quotePrefix="0" xfId="0">
      <alignment horizontal="general" vertical="bottom"/>
    </xf>
    <xf numFmtId="165" fontId="12" fillId="3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13" fillId="7" borderId="0" applyAlignment="1" pivotButton="0" quotePrefix="0" xfId="0">
      <alignment horizontal="general" vertical="bottom"/>
    </xf>
    <xf numFmtId="4" fontId="13" fillId="7" borderId="0" applyAlignment="1" pivotButton="0" quotePrefix="0" xfId="0">
      <alignment horizontal="general" vertical="bottom"/>
    </xf>
    <xf numFmtId="168" fontId="13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8" fontId="8" fillId="7" borderId="0" applyAlignment="1" pivotButton="0" quotePrefix="0" xfId="0">
      <alignment horizontal="general" vertical="bottom"/>
    </xf>
    <xf numFmtId="4" fontId="11" fillId="6" borderId="0" applyAlignment="1" pivotButton="0" quotePrefix="0" xfId="0">
      <alignment horizontal="general" vertical="bottom"/>
    </xf>
    <xf numFmtId="164" fontId="11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4" fontId="9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8" borderId="4" applyAlignment="1" pivotButton="0" quotePrefix="0" xfId="0">
      <alignment horizontal="left" vertical="center" indent="1"/>
    </xf>
    <xf numFmtId="0" fontId="0" fillId="8" borderId="4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16" fillId="9" borderId="4" applyAlignment="1" pivotButton="0" quotePrefix="0" xfId="0">
      <alignment horizontal="general" vertical="bottom"/>
    </xf>
    <xf numFmtId="0" fontId="0" fillId="9" borderId="4" pivotButton="0" quotePrefix="0" xfId="0"/>
    <xf numFmtId="0" fontId="0" fillId="9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4" fontId="11" fillId="5" borderId="4" applyAlignment="1" pivotButton="0" quotePrefix="0" xfId="0">
      <alignment horizontal="general" vertical="bottom"/>
    </xf>
    <xf numFmtId="0" fontId="0" fillId="0" borderId="4" pivotButton="0" quotePrefix="0" xfId="0"/>
    <xf numFmtId="0" fontId="8" fillId="10" borderId="4" applyAlignment="1" pivotButton="0" quotePrefix="0" xfId="0">
      <alignment horizontal="general" vertical="bottom"/>
    </xf>
    <xf numFmtId="0" fontId="0" fillId="10" borderId="4" pivotButton="0" quotePrefix="0" xfId="0"/>
    <xf numFmtId="164" fontId="8" fillId="0" borderId="4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165" fontId="11" fillId="5" borderId="4" applyAlignment="1" pivotButton="0" quotePrefix="0" xfId="0">
      <alignment horizontal="general" vertical="bottom"/>
    </xf>
    <xf numFmtId="0" fontId="12" fillId="10" borderId="4" applyAlignment="1" pivotButton="0" quotePrefix="0" xfId="0">
      <alignment horizontal="general" vertical="bottom"/>
    </xf>
    <xf numFmtId="165" fontId="12" fillId="10" borderId="4" applyAlignment="1" pivotButton="0" quotePrefix="0" xfId="0">
      <alignment horizontal="general" vertical="bottom"/>
    </xf>
    <xf numFmtId="165" fontId="11" fillId="6" borderId="4" applyAlignment="1" pivotButton="0" quotePrefix="0" xfId="0">
      <alignment horizontal="general" vertical="bottom"/>
    </xf>
    <xf numFmtId="0" fontId="6" fillId="10" borderId="4" applyAlignment="1" pivotButton="0" quotePrefix="0" xfId="0">
      <alignment horizontal="general" vertical="bottom"/>
    </xf>
    <xf numFmtId="0" fontId="11" fillId="5" borderId="4" applyAlignment="1" pivotButton="0" quotePrefix="0" xfId="0">
      <alignment horizontal="center" vertical="bottom"/>
    </xf>
    <xf numFmtId="0" fontId="8" fillId="10" borderId="4" applyAlignment="1" pivotButton="0" quotePrefix="0" xfId="0">
      <alignment horizontal="center" vertical="bottom"/>
    </xf>
    <xf numFmtId="0" fontId="13" fillId="10" borderId="4" applyAlignment="1" pivotButton="0" quotePrefix="0" xfId="0">
      <alignment horizontal="center" vertical="bottom"/>
    </xf>
    <xf numFmtId="0" fontId="16" fillId="8" borderId="4" applyAlignment="1" pivotButton="0" quotePrefix="0" xfId="0">
      <alignment horizontal="left" vertical="center"/>
    </xf>
    <xf numFmtId="0" fontId="16" fillId="8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general" vertical="bottom"/>
    </xf>
    <xf numFmtId="0" fontId="8" fillId="7" borderId="4" applyAlignment="1" pivotButton="0" quotePrefix="0" xfId="0">
      <alignment horizontal="general" vertical="bottom"/>
    </xf>
    <xf numFmtId="164" fontId="11" fillId="7" borderId="4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164" fontId="12" fillId="0" borderId="4" applyAlignment="1" pivotButton="0" quotePrefix="0" xfId="0">
      <alignment horizontal="general" vertical="bottom"/>
    </xf>
    <xf numFmtId="164" fontId="8" fillId="7" borderId="4" applyAlignment="1" pivotButton="0" quotePrefix="0" xfId="0">
      <alignment horizontal="general" vertical="bottom"/>
    </xf>
    <xf numFmtId="164" fontId="14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4" fontId="11" fillId="7" borderId="4" applyAlignment="1" pivotButton="0" quotePrefix="0" xfId="0">
      <alignment horizontal="general" vertical="bottom"/>
    </xf>
    <xf numFmtId="165" fontId="11" fillId="0" borderId="4" applyAlignment="1" pivotButton="0" quotePrefix="0" xfId="0">
      <alignment horizontal="general" vertical="bottom"/>
    </xf>
    <xf numFmtId="0" fontId="11" fillId="0" borderId="4" applyAlignment="1" pivotButton="0" quotePrefix="0" xfId="0">
      <alignment horizontal="general" vertical="bottom"/>
    </xf>
    <xf numFmtId="0" fontId="11" fillId="7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7" fillId="2" borderId="4" applyAlignment="1" pivotButton="0" quotePrefix="0" xfId="0">
      <alignment horizontal="general" vertical="bottom"/>
    </xf>
    <xf numFmtId="0" fontId="7" fillId="2" borderId="4" applyAlignment="1" pivotButton="0" quotePrefix="0" xfId="0">
      <alignment horizontal="right" vertical="bottom"/>
    </xf>
    <xf numFmtId="164" fontId="9" fillId="10" borderId="4" applyAlignment="1" pivotButton="0" quotePrefix="0" xfId="0">
      <alignment horizontal="general" vertical="bottom"/>
    </xf>
    <xf numFmtId="164" fontId="12" fillId="10" borderId="4" applyAlignment="1" pivotButton="0" quotePrefix="0" xfId="0">
      <alignment horizontal="general" vertical="bottom"/>
    </xf>
    <xf numFmtId="164" fontId="8" fillId="10" borderId="4" applyAlignment="1" pivotButton="0" quotePrefix="0" xfId="0">
      <alignment horizontal="general" vertical="bottom"/>
    </xf>
    <xf numFmtId="164" fontId="13" fillId="7" borderId="4" applyAlignment="1" pivotButton="0" quotePrefix="0" xfId="0">
      <alignment horizontal="general" vertical="bottom"/>
    </xf>
    <xf numFmtId="165" fontId="8" fillId="7" borderId="4" applyAlignment="1" pivotButton="0" quotePrefix="0" xfId="0">
      <alignment horizontal="general" vertical="bottom"/>
    </xf>
    <xf numFmtId="0" fontId="12" fillId="7" borderId="4" applyAlignment="1" pivotButton="0" quotePrefix="0" xfId="0">
      <alignment horizontal="general" vertical="bottom"/>
    </xf>
    <xf numFmtId="164" fontId="9" fillId="7" borderId="4" applyAlignment="1" pivotButton="0" quotePrefix="0" xfId="0">
      <alignment horizontal="general" vertical="bottom"/>
    </xf>
    <xf numFmtId="164" fontId="12" fillId="7" borderId="4" applyAlignment="1" pivotButton="0" quotePrefix="0" xfId="0">
      <alignment horizontal="general" vertical="bottom"/>
    </xf>
    <xf numFmtId="165" fontId="8" fillId="10" borderId="4" applyAlignment="1" pivotButton="0" quotePrefix="0" xfId="0">
      <alignment horizontal="general" vertical="bottom"/>
    </xf>
    <xf numFmtId="4" fontId="8" fillId="10" borderId="4" applyAlignment="1" pivotButton="0" quotePrefix="0" xfId="0">
      <alignment horizontal="general" vertical="bottom"/>
    </xf>
    <xf numFmtId="164" fontId="13" fillId="10" borderId="4" applyAlignment="1" pivotButton="0" quotePrefix="0" xfId="0">
      <alignment horizontal="general" vertical="bottom"/>
    </xf>
    <xf numFmtId="166" fontId="8" fillId="10" borderId="4" applyAlignment="1" pivotButton="0" quotePrefix="0" xfId="0">
      <alignment horizontal="general" vertical="bottom"/>
    </xf>
    <xf numFmtId="164" fontId="13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4" fontId="13" fillId="10" borderId="4" applyAlignment="1" pivotButton="0" quotePrefix="0" xfId="0">
      <alignment horizontal="general" vertical="bottom"/>
    </xf>
    <xf numFmtId="4" fontId="12" fillId="3" borderId="4" applyAlignment="1" pivotButton="0" quotePrefix="0" xfId="0">
      <alignment horizontal="general" vertical="bottom"/>
    </xf>
    <xf numFmtId="165" fontId="12" fillId="3" borderId="4" applyAlignment="1" pivotButton="0" quotePrefix="0" xfId="0">
      <alignment horizontal="general" vertical="bottom"/>
    </xf>
    <xf numFmtId="0" fontId="12" fillId="4" borderId="4" applyAlignment="1" pivotButton="0" quotePrefix="0" xfId="0">
      <alignment horizontal="general" vertical="bottom"/>
    </xf>
    <xf numFmtId="167" fontId="8" fillId="0" borderId="4" applyAlignment="1" pivotButton="0" quotePrefix="0" xfId="0">
      <alignment horizontal="general" vertical="bottom"/>
    </xf>
    <xf numFmtId="165" fontId="14" fillId="4" borderId="4" applyAlignment="1" pivotButton="0" quotePrefix="0" xfId="0">
      <alignment horizontal="general" vertical="bottom"/>
    </xf>
    <xf numFmtId="3" fontId="8" fillId="10" borderId="4" applyAlignment="1" pivotButton="0" quotePrefix="0" xfId="0">
      <alignment horizontal="general" vertical="bottom"/>
    </xf>
    <xf numFmtId="3" fontId="8" fillId="0" borderId="4" applyAlignment="1" pivotButton="0" quotePrefix="0" xfId="0">
      <alignment horizontal="general" vertical="bottom"/>
    </xf>
    <xf numFmtId="3" fontId="8" fillId="3" borderId="4" applyAlignment="1" pivotButton="0" quotePrefix="0" xfId="0">
      <alignment horizontal="general" vertical="bottom"/>
    </xf>
    <xf numFmtId="165" fontId="8" fillId="0" borderId="4" applyAlignment="1" pivotButton="0" quotePrefix="0" xfId="0">
      <alignment horizontal="general" vertical="bottom"/>
    </xf>
    <xf numFmtId="165" fontId="13" fillId="0" borderId="4" applyAlignment="1" pivotButton="0" quotePrefix="0" xfId="0">
      <alignment horizontal="general" vertical="bottom"/>
    </xf>
    <xf numFmtId="165" fontId="13" fillId="7" borderId="4" applyAlignment="1" pivotButton="0" quotePrefix="0" xfId="0">
      <alignment horizontal="general" vertical="bottom"/>
    </xf>
    <xf numFmtId="4" fontId="13" fillId="7" borderId="4" applyAlignment="1" pivotButton="0" quotePrefix="0" xfId="0">
      <alignment horizontal="general" vertical="bottom"/>
    </xf>
    <xf numFmtId="168" fontId="13" fillId="0" borderId="4" applyAlignment="1" pivotButton="0" quotePrefix="0" xfId="0">
      <alignment horizontal="general" vertical="bottom"/>
    </xf>
    <xf numFmtId="4" fontId="11" fillId="10" borderId="4" applyAlignment="1" pivotButton="0" quotePrefix="0" xfId="0">
      <alignment horizontal="general" vertical="bottom"/>
    </xf>
    <xf numFmtId="164" fontId="11" fillId="10" borderId="4" applyAlignment="1" pivotButton="0" quotePrefix="0" xfId="0">
      <alignment horizontal="general" vertical="bottom"/>
    </xf>
    <xf numFmtId="168" fontId="8" fillId="10" borderId="4" applyAlignment="1" pivotButton="0" quotePrefix="0" xfId="0">
      <alignment horizontal="general" vertical="bottom"/>
    </xf>
    <xf numFmtId="168" fontId="8" fillId="7" borderId="4" applyAlignment="1" pivotButton="0" quotePrefix="0" xfId="0">
      <alignment horizontal="general" vertical="bottom"/>
    </xf>
    <xf numFmtId="4" fontId="11" fillId="6" borderId="4" applyAlignment="1" pivotButton="0" quotePrefix="0" xfId="0">
      <alignment horizontal="general" vertical="bottom"/>
    </xf>
    <xf numFmtId="164" fontId="11" fillId="6" borderId="4" applyAlignment="1" pivotButton="0" quotePrefix="0" xfId="0">
      <alignment horizontal="general" vertical="bottom"/>
    </xf>
    <xf numFmtId="0" fontId="16" fillId="8" borderId="4" applyAlignment="1" pivotButton="0" quotePrefix="0" xfId="0">
      <alignment horizontal="left" vertical="center" indent="1"/>
    </xf>
    <xf numFmtId="0" fontId="16" fillId="8" borderId="4" pivotButton="0" quotePrefix="0" xfId="0"/>
    <xf numFmtId="0" fontId="17" fillId="0" borderId="4" pivotButton="0" quotePrefix="0" xfId="0"/>
    <xf numFmtId="169" fontId="18" fillId="0" borderId="4" pivotButton="0" quotePrefix="0" xfId="0"/>
    <xf numFmtId="2" fontId="18" fillId="0" borderId="4" pivotButton="0" quotePrefix="0" xfId="0"/>
    <xf numFmtId="3" fontId="18" fillId="0" borderId="4" pivotButton="0" quotePrefix="0" xfId="0"/>
    <xf numFmtId="0" fontId="16" fillId="9" borderId="4" pivotButton="0" quotePrefix="0" xfId="0"/>
    <xf numFmtId="0" fontId="18" fillId="0" borderId="4" pivotButton="0" quotePrefix="0" xfId="0"/>
    <xf numFmtId="3" fontId="17" fillId="0" borderId="4" pivotButton="0" quotePrefix="0" xfId="0"/>
    <xf numFmtId="170" fontId="17" fillId="0" borderId="4" pivotButton="0" quotePrefix="0" xfId="0"/>
    <xf numFmtId="0" fontId="19" fillId="0" borderId="4" pivotButton="0" quotePrefix="0" xfId="0"/>
    <xf numFmtId="0" fontId="20" fillId="11" borderId="0" applyAlignment="1" pivotButton="0" quotePrefix="0" xfId="0">
      <alignment horizontal="general" vertical="bottom"/>
    </xf>
    <xf numFmtId="0" fontId="21" fillId="11" borderId="0" applyAlignment="1" pivotButton="0" quotePrefix="0" xfId="0">
      <alignment horizontal="general" vertical="bottom"/>
    </xf>
    <xf numFmtId="0" fontId="22" fillId="11" borderId="0" applyAlignment="1" pivotButton="0" quotePrefix="0" xfId="0">
      <alignment horizontal="general" vertical="bottom"/>
    </xf>
    <xf numFmtId="0" fontId="23" fillId="12" borderId="0" applyAlignment="1" pivotButton="0" quotePrefix="0" xfId="0">
      <alignment horizontal="general" vertical="bottom"/>
    </xf>
    <xf numFmtId="0" fontId="24" fillId="13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4" fillId="13" borderId="1" applyAlignment="1" pivotButton="0" quotePrefix="0" xfId="0">
      <alignment horizontal="general" vertical="bottom"/>
    </xf>
    <xf numFmtId="4" fontId="26" fillId="0" borderId="1" applyAlignment="1" pivotButton="0" quotePrefix="0" xfId="0">
      <alignment horizontal="general" vertical="bottom"/>
    </xf>
    <xf numFmtId="164" fontId="26" fillId="0" borderId="1" applyAlignment="1" pivotButton="0" quotePrefix="0" xfId="0">
      <alignment horizontal="general" vertical="bottom"/>
    </xf>
    <xf numFmtId="0" fontId="27" fillId="14" borderId="9" applyAlignment="1" pivotButton="0" quotePrefix="0" xfId="0">
      <alignment horizontal="general" vertical="bottom"/>
    </xf>
    <xf numFmtId="164" fontId="26" fillId="14" borderId="9" applyAlignment="1" pivotButton="0" quotePrefix="0" xfId="0">
      <alignment horizontal="general" vertical="bottom"/>
    </xf>
    <xf numFmtId="4" fontId="26" fillId="13" borderId="1" applyAlignment="1" pivotButton="0" quotePrefix="0" xfId="0">
      <alignment horizontal="general" vertical="bottom"/>
    </xf>
    <xf numFmtId="165" fontId="26" fillId="13" borderId="1" applyAlignment="1" pivotButton="0" quotePrefix="0" xfId="0">
      <alignment horizontal="general" vertical="bottom"/>
    </xf>
    <xf numFmtId="171" fontId="26" fillId="14" borderId="9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8" fillId="11" borderId="4" applyAlignment="1" pivotButton="0" quotePrefix="0" xfId="0">
      <alignment horizontal="left" vertical="center" indent="1"/>
    </xf>
    <xf numFmtId="0" fontId="20" fillId="11" borderId="4" applyAlignment="1" pivotButton="0" quotePrefix="0" xfId="0">
      <alignment horizontal="general" vertical="bottom"/>
    </xf>
    <xf numFmtId="0" fontId="24" fillId="13" borderId="4" applyAlignment="1" pivotButton="0" quotePrefix="0" xfId="0">
      <alignment horizontal="general" vertical="bottom"/>
    </xf>
    <xf numFmtId="0" fontId="22" fillId="11" borderId="4" applyAlignment="1" pivotButton="0" quotePrefix="0" xfId="0">
      <alignment horizontal="general" vertical="bottom"/>
    </xf>
    <xf numFmtId="0" fontId="22" fillId="11" borderId="4" pivotButton="0" quotePrefix="0" xfId="0"/>
    <xf numFmtId="0" fontId="22" fillId="11" borderId="0" pivotButton="0" quotePrefix="0" xfId="0"/>
    <xf numFmtId="0" fontId="24" fillId="0" borderId="4" applyAlignment="1" pivotButton="0" quotePrefix="0" xfId="0">
      <alignment horizontal="general" vertical="bottom"/>
    </xf>
    <xf numFmtId="4" fontId="29" fillId="13" borderId="4" applyAlignment="1" pivotButton="0" quotePrefix="0" xfId="0">
      <alignment horizontal="general" vertical="bottom"/>
    </xf>
    <xf numFmtId="0" fontId="24" fillId="13" borderId="4" pivotButton="0" quotePrefix="0" xfId="0"/>
    <xf numFmtId="164" fontId="24" fillId="0" borderId="4" applyAlignment="1" pivotButton="0" quotePrefix="0" xfId="0">
      <alignment horizontal="general" vertical="bottom"/>
    </xf>
    <xf numFmtId="0" fontId="22" fillId="12" borderId="4" applyAlignment="1" pivotButton="0" quotePrefix="0" xfId="0">
      <alignment horizontal="general" vertical="bottom"/>
    </xf>
    <xf numFmtId="0" fontId="23" fillId="12" borderId="4" applyAlignment="1" pivotButton="0" quotePrefix="0" xfId="0">
      <alignment horizontal="general" vertical="bottom"/>
    </xf>
    <xf numFmtId="0" fontId="30" fillId="0" borderId="4" applyAlignment="1" pivotButton="0" quotePrefix="0" xfId="0">
      <alignment horizontal="general" vertical="bottom"/>
    </xf>
    <xf numFmtId="165" fontId="29" fillId="13" borderId="4" applyAlignment="1" pivotButton="0" quotePrefix="0" xfId="0">
      <alignment horizontal="general" vertical="bottom"/>
    </xf>
    <xf numFmtId="0" fontId="30" fillId="13" borderId="4" applyAlignment="1" pivotButton="0" quotePrefix="0" xfId="0">
      <alignment horizontal="general" vertical="bottom"/>
    </xf>
    <xf numFmtId="165" fontId="30" fillId="13" borderId="4" applyAlignment="1" pivotButton="0" quotePrefix="0" xfId="0">
      <alignment horizontal="general" vertical="bottom"/>
    </xf>
    <xf numFmtId="0" fontId="25" fillId="13" borderId="4" applyAlignment="1" pivotButton="0" quotePrefix="0" xfId="0">
      <alignment horizontal="general" vertical="bottom"/>
    </xf>
    <xf numFmtId="0" fontId="29" fillId="13" borderId="4" applyAlignment="1" pivotButton="0" quotePrefix="0" xfId="0">
      <alignment horizontal="center" vertical="bottom"/>
    </xf>
    <xf numFmtId="0" fontId="24" fillId="13" borderId="4" applyAlignment="1" pivotButton="0" quotePrefix="0" xfId="0">
      <alignment horizontal="center" vertical="bottom"/>
    </xf>
    <xf numFmtId="0" fontId="31" fillId="13" borderId="4" applyAlignment="1" pivotButton="0" quotePrefix="0" xfId="0">
      <alignment horizontal="center" vertical="bottom"/>
    </xf>
    <xf numFmtId="0" fontId="22" fillId="11" borderId="4" applyAlignment="1" pivotButton="0" quotePrefix="0" xfId="0">
      <alignment horizontal="left" vertical="center"/>
    </xf>
    <xf numFmtId="0" fontId="22" fillId="11" borderId="4" applyAlignment="1" pivotButton="0" quotePrefix="0" xfId="0">
      <alignment horizontal="center" vertical="center"/>
    </xf>
    <xf numFmtId="164" fontId="29" fillId="0" borderId="4" applyAlignment="1" pivotButton="0" quotePrefix="0" xfId="0">
      <alignment horizontal="general" vertical="bottom"/>
    </xf>
    <xf numFmtId="164" fontId="29" fillId="13" borderId="4" applyAlignment="1" pivotButton="0" quotePrefix="0" xfId="0">
      <alignment horizontal="general" vertical="bottom"/>
    </xf>
    <xf numFmtId="164" fontId="30" fillId="0" borderId="4" applyAlignment="1" pivotButton="0" quotePrefix="0" xfId="0">
      <alignment horizontal="general" vertical="bottom"/>
    </xf>
    <xf numFmtId="0" fontId="27" fillId="14" borderId="10" applyAlignment="1" pivotButton="0" quotePrefix="0" xfId="0">
      <alignment horizontal="general" vertical="bottom"/>
    </xf>
    <xf numFmtId="164" fontId="27" fillId="14" borderId="10" applyAlignment="1" pivotButton="0" quotePrefix="0" xfId="0">
      <alignment horizontal="general" vertical="bottom"/>
    </xf>
    <xf numFmtId="164" fontId="24" fillId="13" borderId="4" applyAlignment="1" pivotButton="0" quotePrefix="0" xfId="0">
      <alignment horizontal="general" vertical="bottom"/>
    </xf>
    <xf numFmtId="164" fontId="32" fillId="14" borderId="10" applyAlignment="1" pivotButton="0" quotePrefix="0" xfId="0">
      <alignment horizontal="general" vertical="bottom"/>
    </xf>
    <xf numFmtId="165" fontId="29" fillId="0" borderId="4" applyAlignment="1" pivotButton="0" quotePrefix="0" xfId="0">
      <alignment horizontal="general" vertical="bottom"/>
    </xf>
    <xf numFmtId="0" fontId="29" fillId="14" borderId="10" applyAlignment="1" pivotButton="0" quotePrefix="0" xfId="0">
      <alignment horizontal="general" vertical="bottom"/>
    </xf>
    <xf numFmtId="0" fontId="29" fillId="13" borderId="4" applyAlignment="1" pivotButton="0" quotePrefix="0" xfId="0">
      <alignment horizontal="general" vertical="bottom"/>
    </xf>
    <xf numFmtId="0" fontId="29" fillId="0" borderId="4" applyAlignment="1" pivotButton="0" quotePrefix="0" xfId="0">
      <alignment horizontal="general" vertical="bottom"/>
    </xf>
    <xf numFmtId="0" fontId="22" fillId="11" borderId="4" applyAlignment="1" pivotButton="0" quotePrefix="0" xfId="0">
      <alignment horizontal="right" vertical="bottom"/>
    </xf>
    <xf numFmtId="164" fontId="26" fillId="14" borderId="10" applyAlignment="1" pivotButton="0" quotePrefix="0" xfId="0">
      <alignment horizontal="general" vertical="bottom"/>
    </xf>
    <xf numFmtId="164" fontId="31" fillId="13" borderId="4" applyAlignment="1" pivotButton="0" quotePrefix="0" xfId="0">
      <alignment horizontal="general" vertical="bottom"/>
    </xf>
    <xf numFmtId="0" fontId="27" fillId="14" borderId="10" pivotButton="0" quotePrefix="0" xfId="0"/>
    <xf numFmtId="165" fontId="24" fillId="13" borderId="4" applyAlignment="1" pivotButton="0" quotePrefix="0" xfId="0">
      <alignment horizontal="general" vertical="bottom"/>
    </xf>
    <xf numFmtId="4" fontId="24" fillId="13" borderId="4" applyAlignment="1" pivotButton="0" quotePrefix="0" xfId="0">
      <alignment horizontal="general" vertical="bottom"/>
    </xf>
    <xf numFmtId="164" fontId="31" fillId="14" borderId="10" applyAlignment="1" pivotButton="0" quotePrefix="0" xfId="0">
      <alignment horizontal="general" vertical="bottom"/>
    </xf>
    <xf numFmtId="164" fontId="30" fillId="13" borderId="4" applyAlignment="1" pivotButton="0" quotePrefix="0" xfId="0">
      <alignment horizontal="general" vertical="bottom"/>
    </xf>
    <xf numFmtId="166" fontId="24" fillId="13" borderId="4" applyAlignment="1" pivotButton="0" quotePrefix="0" xfId="0">
      <alignment horizontal="general" vertical="bottom"/>
    </xf>
    <xf numFmtId="164" fontId="31" fillId="0" borderId="4" applyAlignment="1" pivotButton="0" quotePrefix="0" xfId="0">
      <alignment horizontal="general" vertical="bottom"/>
    </xf>
    <xf numFmtId="4" fontId="31" fillId="13" borderId="4" applyAlignment="1" pivotButton="0" quotePrefix="0" xfId="0">
      <alignment horizontal="general" vertical="bottom"/>
    </xf>
    <xf numFmtId="4" fontId="30" fillId="13" borderId="4" applyAlignment="1" pivotButton="0" quotePrefix="0" xfId="0">
      <alignment horizontal="general" vertical="bottom"/>
    </xf>
    <xf numFmtId="171" fontId="27" fillId="14" borderId="10" applyAlignment="1" pivotButton="0" quotePrefix="0" xfId="0">
      <alignment horizontal="general" vertical="bottom"/>
    </xf>
    <xf numFmtId="167" fontId="24" fillId="0" borderId="4" applyAlignment="1" pivotButton="0" quotePrefix="0" xfId="0">
      <alignment horizontal="general" vertical="bottom"/>
    </xf>
    <xf numFmtId="165" fontId="32" fillId="13" borderId="4" applyAlignment="1" pivotButton="0" quotePrefix="0" xfId="0">
      <alignment horizontal="general" vertical="bottom"/>
    </xf>
    <xf numFmtId="3" fontId="24" fillId="13" borderId="4" applyAlignment="1" pivotButton="0" quotePrefix="0" xfId="0">
      <alignment horizontal="general" vertical="bottom"/>
    </xf>
    <xf numFmtId="3" fontId="24" fillId="0" borderId="4" applyAlignment="1" pivotButton="0" quotePrefix="0" xfId="0">
      <alignment horizontal="general" vertical="bottom"/>
    </xf>
    <xf numFmtId="165" fontId="24" fillId="0" borderId="4" applyAlignment="1" pivotButton="0" quotePrefix="0" xfId="0">
      <alignment horizontal="general" vertical="bottom"/>
    </xf>
    <xf numFmtId="165" fontId="31" fillId="0" borderId="4" applyAlignment="1" pivotButton="0" quotePrefix="0" xfId="0">
      <alignment horizontal="general" vertical="bottom"/>
    </xf>
    <xf numFmtId="165" fontId="31" fillId="13" borderId="4" applyAlignment="1" pivotButton="0" quotePrefix="0" xfId="0">
      <alignment horizontal="general" vertical="bottom"/>
    </xf>
    <xf numFmtId="168" fontId="31" fillId="0" borderId="4" applyAlignment="1" pivotButton="0" quotePrefix="0" xfId="0">
      <alignment horizontal="general" vertical="bottom"/>
    </xf>
    <xf numFmtId="168" fontId="24" fillId="13" borderId="4" applyAlignment="1" pivotButton="0" quotePrefix="0" xfId="0">
      <alignment horizontal="general" vertical="bottom"/>
    </xf>
    <xf numFmtId="0" fontId="22" fillId="12" borderId="4" applyAlignment="1" pivotButton="0" quotePrefix="0" xfId="0">
      <alignment horizontal="left" vertical="center" indent="1"/>
    </xf>
    <xf numFmtId="0" fontId="0" fillId="0" borderId="7" pivotButton="0" quotePrefix="0" xfId="0"/>
    <xf numFmtId="0" fontId="0" fillId="0" borderId="8" pivotButton="0" quotePrefix="0" xfId="0"/>
    <xf numFmtId="0" fontId="30" fillId="0" borderId="4" pivotButton="0" quotePrefix="0" xfId="0"/>
    <xf numFmtId="169" fontId="24" fillId="0" borderId="4" pivotButton="0" quotePrefix="0" xfId="0"/>
    <xf numFmtId="2" fontId="24" fillId="0" borderId="4" pivotButton="0" quotePrefix="0" xfId="0"/>
    <xf numFmtId="3" fontId="24" fillId="0" borderId="4" pivotButton="0" quotePrefix="0" xfId="0"/>
    <xf numFmtId="0" fontId="30" fillId="13" borderId="4" pivotButton="0" quotePrefix="0" xfId="0"/>
    <xf numFmtId="0" fontId="24" fillId="0" borderId="4" pivotButton="0" quotePrefix="0" xfId="0"/>
    <xf numFmtId="3" fontId="30" fillId="0" borderId="4" pivotButton="0" quotePrefix="0" xfId="0"/>
    <xf numFmtId="170" fontId="30" fillId="0" borderId="4" pivotButton="0" quotePrefix="0" xfId="0"/>
    <xf numFmtId="0" fontId="33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2CC"/>
      <rgbColor rgb="FFF2F6FB"/>
      <rgbColor rgb="FF660066"/>
      <rgbColor rgb="FFFF8080"/>
      <rgbColor rgb="FF2E75B6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E9E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9E3039"/>
    <outlinePr summaryBelow="1" summaryRight="1"/>
    <pageSetUpPr fitToPage="0"/>
  </sheetPr>
  <dimension ref="A1:F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67" min="1" max="1"/>
    <col width="42" customWidth="1" style="67" min="2" max="5"/>
    <col width="13" customWidth="1" style="68" min="3" max="3"/>
    <col width="13" customWidth="1" style="68" min="4" max="4"/>
    <col width="13" customWidth="1" style="68" min="5" max="5"/>
    <col width="13" customWidth="1" style="68" min="6" max="6"/>
  </cols>
  <sheetData>
    <row r="1" ht="15" customHeight="1" s="68">
      <c r="A1" s="165" t="n"/>
      <c r="B1" s="165" t="n"/>
      <c r="C1" s="165" t="n"/>
      <c r="D1" s="165" t="n"/>
      <c r="E1" s="165" t="n"/>
      <c r="F1" s="165" t="n"/>
    </row>
    <row r="2" ht="29.15" customHeight="1" s="68">
      <c r="A2" s="165" t="n"/>
      <c r="B2" s="166" t="inlineStr">
        <is>
          <t>ICICI Bank Ltd</t>
        </is>
      </c>
      <c r="C2" s="165" t="n"/>
      <c r="D2" s="165" t="n"/>
      <c r="E2" s="165" t="n"/>
      <c r="F2" s="165" t="n"/>
    </row>
    <row r="3" ht="15" customHeight="1" s="68">
      <c r="A3" s="167" t="n"/>
      <c r="B3" s="167" t="n"/>
      <c r="C3" s="167" t="n"/>
      <c r="D3" s="167" t="n"/>
      <c r="E3" s="167" t="n"/>
      <c r="F3" s="167" t="n"/>
    </row>
    <row r="4" ht="15" customHeight="1" s="68">
      <c r="A4" s="167" t="n"/>
      <c r="B4" s="167" t="inlineStr">
        <is>
          <t>Equity Valuation Model  |  NSE: ICICIBANK | BSE: 532174  |  Sector: Banking</t>
        </is>
      </c>
      <c r="C4" s="167" t="n"/>
      <c r="D4" s="167" t="n"/>
      <c r="E4" s="167" t="n"/>
      <c r="F4" s="167" t="n"/>
    </row>
    <row r="5" ht="15" customHeight="1" s="68">
      <c r="A5" s="168" t="n"/>
      <c r="B5" s="168" t="n"/>
      <c r="C5" s="168" t="n"/>
      <c r="D5" s="168" t="n"/>
      <c r="E5" s="168" t="n"/>
      <c r="F5" s="168" t="n"/>
    </row>
    <row r="6" ht="3.75" customHeight="1" s="68">
      <c r="A6" s="169" t="n"/>
      <c r="B6" s="169" t="n"/>
      <c r="C6" s="169" t="n"/>
      <c r="D6" s="169" t="n"/>
      <c r="E6" s="169" t="n"/>
      <c r="F6" s="169" t="n"/>
    </row>
    <row r="7"/>
    <row r="8" ht="15" customHeight="1" s="68">
      <c r="B8" s="170" t="inlineStr">
        <is>
          <t>Prepared for: Debjit  |  Date: 11 June 2026  |  Currency: ₹ Crore</t>
        </is>
      </c>
    </row>
    <row r="9"/>
    <row r="10" ht="15" customHeight="1" s="68">
      <c r="A10" s="171" t="inlineStr">
        <is>
          <t>Snapshot</t>
        </is>
      </c>
      <c r="B10" s="168" t="n"/>
      <c r="C10" s="168" t="n"/>
      <c r="D10" s="168" t="n"/>
      <c r="E10" s="168" t="n"/>
      <c r="F10" s="168" t="n"/>
    </row>
    <row r="11" ht="15" customHeight="1" s="68">
      <c r="B11" s="172" t="inlineStr">
        <is>
          <t>Current price (₹)</t>
        </is>
      </c>
      <c r="C11" s="173">
        <f>Assumptions!B5</f>
        <v/>
      </c>
    </row>
    <row r="12" ht="15" customHeight="1" s="68">
      <c r="B12" s="172" t="inlineStr">
        <is>
          <t>Market cap (₹ Cr)</t>
        </is>
      </c>
      <c r="C12" s="174">
        <f>Assumptions!B7</f>
        <v/>
      </c>
    </row>
    <row r="13" ht="15" customHeight="1" s="68">
      <c r="B13" s="172" t="inlineStr">
        <is>
          <t>FY26 net interest income (₹ Cr)</t>
        </is>
      </c>
      <c r="C13" s="174">
        <f>Historical!I8</f>
        <v/>
      </c>
    </row>
    <row r="14" ht="15" customHeight="1" s="68">
      <c r="B14" s="175" t="inlineStr">
        <is>
          <t>FY26 PAT (₹ Cr)</t>
        </is>
      </c>
      <c r="C14" s="176">
        <f>Historical!I14</f>
        <v/>
      </c>
    </row>
    <row r="15" ht="15" customHeight="1" s="68">
      <c r="B15" s="172" t="inlineStr">
        <is>
          <t>Intrinsic value (₹/share)</t>
        </is>
      </c>
      <c r="C15" s="177">
        <f>Valuation!B19</f>
        <v/>
      </c>
    </row>
    <row r="16" ht="15" customHeight="1" s="68">
      <c r="B16" s="172" t="inlineStr">
        <is>
          <t>Upside / (downside)</t>
        </is>
      </c>
      <c r="C16" s="178">
        <f>Valuation!B21</f>
        <v/>
      </c>
    </row>
    <row r="17" ht="15" customHeight="1" s="68">
      <c r="B17" s="175" t="inlineStr">
        <is>
          <t>Implied rating</t>
        </is>
      </c>
      <c r="C17" s="179">
        <f>Valuation!B22</f>
        <v/>
      </c>
    </row>
    <row r="18"/>
    <row r="19"/>
    <row r="20" ht="15" customHeight="1" s="68">
      <c r="A20" s="171" t="inlineStr">
        <is>
          <t>Contents</t>
        </is>
      </c>
      <c r="B20" s="168" t="n"/>
      <c r="C20" s="168" t="n"/>
      <c r="D20" s="168" t="n"/>
      <c r="E20" s="168" t="n"/>
      <c r="F20" s="168" t="n"/>
    </row>
    <row r="21" ht="15" customHeight="1" s="68">
      <c r="B21" s="180" t="inlineStr">
        <is>
          <t>1. Assumptions — all editable drivers (highlighted blue cells)</t>
        </is>
      </c>
    </row>
    <row r="22" ht="15" customHeight="1" s="68">
      <c r="B22" s="180" t="inlineStr">
        <is>
          <t>2. Historical — FY2019–FY2026 financials</t>
        </is>
      </c>
    </row>
    <row r="23" ht="15" customHeight="1" s="68">
      <c r="B23" s="180" t="inlineStr">
        <is>
          <t>3. Forecast — FY2027E–FY2031E earnings &amp; book value</t>
        </is>
      </c>
    </row>
    <row r="24" ht="15" customHeight="1" s="68">
      <c r="B24" s="180" t="inlineStr">
        <is>
          <t>4. Valuation — excess return model &amp; sensitivity</t>
        </is>
      </c>
    </row>
    <row r="25" ht="15" customHeight="1" s="68">
      <c r="B25" s="180" t="inlineStr">
        <is>
          <t>5. Ratios — returns, margins, growth, leverage</t>
        </is>
      </c>
    </row>
    <row r="26" ht="15" customHeight="1" s="68">
      <c r="B26" s="180" t="inlineStr">
        <is>
          <t>6. Peer Comps — relative valuation</t>
        </is>
      </c>
    </row>
    <row r="27"/>
    <row r="28"/>
    <row r="29" ht="15" customHeight="1" s="68">
      <c r="B29" s="170" t="inlineStr">
        <is>
          <t>Disclaimer: For educational/analytical use only. Not investment advice. Figures from public filings; forecasts are illustrative assumptions.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9E3039"/>
    <outlinePr summaryBelow="1" summaryRight="1"/>
    <pageSetUpPr fitToPage="0"/>
  </sheetPr>
  <dimension ref="A1:J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7" min="1" max="1"/>
    <col width="13" customWidth="1" style="67" min="2" max="13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24" customHeight="1" s="68">
      <c r="A1" s="181" t="inlineStr">
        <is>
          <t>ICICI Bank Ltd — Key Assumptions &amp; Drivers</t>
        </is>
      </c>
      <c r="B1" s="182" t="n"/>
      <c r="C1" s="182" t="n"/>
      <c r="D1" s="182" t="n"/>
      <c r="E1" s="182" t="n"/>
      <c r="F1" s="182" t="n"/>
      <c r="G1" s="165" t="n"/>
      <c r="H1" s="165" t="n"/>
      <c r="I1" s="165" t="n"/>
      <c r="J1" s="165" t="n"/>
    </row>
    <row r="2" ht="3" customHeight="1" s="68">
      <c r="A2" s="183" t="n"/>
      <c r="B2" s="183" t="n"/>
      <c r="C2" s="183" t="n"/>
      <c r="D2" s="183" t="n"/>
      <c r="E2" s="183" t="n"/>
      <c r="F2" s="183" t="n"/>
      <c r="G2" s="169" t="n"/>
      <c r="H2" s="169" t="n"/>
      <c r="I2" s="169" t="n"/>
      <c r="J2" s="169" t="n"/>
    </row>
    <row r="3" ht="15" customHeight="1" s="68">
      <c r="A3" s="184" t="inlineStr">
        <is>
          <t>All highlighted blue cells are user inputs. ₹ Crore unless stated.</t>
        </is>
      </c>
      <c r="B3" s="185" t="n"/>
      <c r="C3" s="185" t="n"/>
      <c r="D3" s="185" t="n"/>
      <c r="E3" s="185" t="n"/>
      <c r="F3" s="185" t="n"/>
      <c r="G3" s="186" t="n"/>
      <c r="H3" s="186" t="n"/>
      <c r="I3" s="186" t="n"/>
      <c r="J3" s="186" t="n"/>
    </row>
    <row r="4" ht="15" customHeight="1" s="68">
      <c r="A4" s="184" t="inlineStr">
        <is>
          <t>Market Data</t>
        </is>
      </c>
      <c r="B4" s="184" t="n"/>
      <c r="C4" s="184" t="n"/>
      <c r="D4" s="184" t="n"/>
      <c r="E4" s="184" t="n"/>
      <c r="F4" s="184" t="n"/>
      <c r="G4" s="167" t="n"/>
      <c r="H4" s="167" t="n"/>
      <c r="I4" s="167" t="n"/>
      <c r="J4" s="167" t="n"/>
    </row>
    <row r="5" ht="15" customHeight="1" s="68">
      <c r="A5" s="187" t="inlineStr">
        <is>
          <t>Current share price (₹, 06-May-2026)</t>
        </is>
      </c>
      <c r="B5" s="188" t="n">
        <v>1280</v>
      </c>
      <c r="C5" s="90" t="n"/>
      <c r="D5" s="90" t="n"/>
      <c r="E5" s="90" t="n"/>
      <c r="F5" s="90" t="n"/>
    </row>
    <row r="6" ht="15" customHeight="1" s="68">
      <c r="A6" s="183" t="inlineStr">
        <is>
          <t>Shares outstanding (Crore)</t>
        </is>
      </c>
      <c r="B6" s="188" t="n">
        <v>716</v>
      </c>
      <c r="C6" s="189" t="n"/>
      <c r="D6" s="189" t="n"/>
      <c r="E6" s="189" t="n"/>
      <c r="F6" s="189" t="n"/>
    </row>
    <row r="7" ht="15" customHeight="1" s="68">
      <c r="A7" s="187" t="inlineStr">
        <is>
          <t>Market capitalisation (₹ Cr)</t>
        </is>
      </c>
      <c r="B7" s="190">
        <f>B5*B6</f>
        <v/>
      </c>
      <c r="C7" s="90" t="n"/>
      <c r="D7" s="90" t="n"/>
      <c r="E7" s="90" t="n"/>
      <c r="F7" s="90" t="n"/>
    </row>
    <row r="8">
      <c r="A8" s="90" t="n"/>
      <c r="B8" s="90" t="n"/>
      <c r="C8" s="90" t="n"/>
      <c r="D8" s="90" t="n"/>
      <c r="E8" s="90" t="n"/>
      <c r="F8" s="90" t="n"/>
    </row>
    <row r="9" ht="15" customHeight="1" s="68">
      <c r="A9" s="191" t="inlineStr">
        <is>
          <t>Forecast Drivers (FY2027E–FY2031E)</t>
        </is>
      </c>
      <c r="B9" s="192" t="n"/>
      <c r="C9" s="192" t="n"/>
      <c r="D9" s="192" t="n"/>
      <c r="E9" s="192" t="n"/>
      <c r="F9" s="192" t="n"/>
      <c r="G9" s="168" t="n"/>
      <c r="H9" s="168" t="n"/>
      <c r="I9" s="168" t="n"/>
      <c r="J9" s="168" t="n"/>
    </row>
    <row r="10" ht="15" customHeight="1" s="68">
      <c r="A10" s="90" t="n"/>
      <c r="B10" s="193" t="inlineStr">
        <is>
          <t>FY2027E</t>
        </is>
      </c>
      <c r="C10" s="193" t="inlineStr">
        <is>
          <t>FY2028E</t>
        </is>
      </c>
      <c r="D10" s="193" t="inlineStr">
        <is>
          <t>FY2029E</t>
        </is>
      </c>
      <c r="E10" s="193" t="inlineStr">
        <is>
          <t>FY2030E</t>
        </is>
      </c>
      <c r="F10" s="193" t="inlineStr">
        <is>
          <t>FY2031E</t>
        </is>
      </c>
    </row>
    <row r="11" ht="15" customHeight="1" s="68">
      <c r="A11" s="183" t="inlineStr">
        <is>
          <t>Total asset growth (%)</t>
        </is>
      </c>
      <c r="B11" s="194" t="n">
        <v>0.12</v>
      </c>
      <c r="C11" s="194" t="n">
        <v>0.12</v>
      </c>
      <c r="D11" s="194" t="n">
        <v>0.12</v>
      </c>
      <c r="E11" s="194" t="n">
        <v>0.115</v>
      </c>
      <c r="F11" s="194" t="n">
        <v>0.11</v>
      </c>
    </row>
    <row r="12" ht="15" customHeight="1" s="68">
      <c r="A12" s="187" t="inlineStr">
        <is>
          <t>Net interest margin (NII / avg total assets)</t>
        </is>
      </c>
      <c r="B12" s="194" t="n">
        <v>0.0382</v>
      </c>
      <c r="C12" s="90" t="n"/>
      <c r="D12" s="90" t="n"/>
      <c r="E12" s="90" t="n"/>
      <c r="F12" s="90" t="n"/>
    </row>
    <row r="13" ht="15" customHeight="1" s="68">
      <c r="A13" s="183" t="inlineStr">
        <is>
          <t>Other income growth (%)</t>
        </is>
      </c>
      <c r="B13" s="194" t="n">
        <v>0.1</v>
      </c>
      <c r="C13" s="189" t="n"/>
      <c r="D13" s="189" t="n"/>
      <c r="E13" s="189" t="n"/>
      <c r="F13" s="189" t="n"/>
    </row>
    <row r="14" ht="15" customHeight="1" s="68">
      <c r="A14" s="187" t="inlineStr">
        <is>
          <t>Opex + provisions (% of total income)</t>
        </is>
      </c>
      <c r="B14" s="194" t="n">
        <v>0.65</v>
      </c>
      <c r="C14" s="194" t="n">
        <v>0.648</v>
      </c>
      <c r="D14" s="194" t="n">
        <v>0.646</v>
      </c>
      <c r="E14" s="194" t="n">
        <v>0.644</v>
      </c>
      <c r="F14" s="194" t="n">
        <v>0.642</v>
      </c>
    </row>
    <row r="15" ht="15" customHeight="1" s="68">
      <c r="A15" s="183" t="inlineStr">
        <is>
          <t>Effective tax rate (%)</t>
        </is>
      </c>
      <c r="B15" s="194" t="n">
        <v>0.25</v>
      </c>
      <c r="C15" s="189" t="n"/>
      <c r="D15" s="189" t="n"/>
      <c r="E15" s="189" t="n"/>
      <c r="F15" s="189" t="n"/>
    </row>
    <row r="16" ht="15" customHeight="1" s="68">
      <c r="A16" s="187" t="inlineStr">
        <is>
          <t>Dividend payout (%)</t>
        </is>
      </c>
      <c r="B16" s="194" t="n">
        <v>0.16</v>
      </c>
      <c r="C16" s="90" t="n"/>
      <c r="D16" s="90" t="n"/>
      <c r="E16" s="90" t="n"/>
      <c r="F16" s="90" t="n"/>
    </row>
    <row r="17">
      <c r="A17" s="90" t="n"/>
      <c r="B17" s="90" t="n"/>
      <c r="C17" s="90" t="n"/>
      <c r="D17" s="90" t="n"/>
      <c r="E17" s="90" t="n"/>
      <c r="F17" s="90" t="n"/>
    </row>
    <row r="18" ht="15" customHeight="1" s="68">
      <c r="A18" s="191" t="inlineStr">
        <is>
          <t>Cost of Equity (CAPM) &amp; Terminal Value</t>
        </is>
      </c>
      <c r="B18" s="192" t="n"/>
      <c r="C18" s="192" t="n"/>
      <c r="D18" s="192" t="n"/>
      <c r="E18" s="192" t="n"/>
      <c r="F18" s="192" t="n"/>
      <c r="G18" s="168" t="n"/>
      <c r="H18" s="168" t="n"/>
      <c r="I18" s="168" t="n"/>
      <c r="J18" s="168" t="n"/>
    </row>
    <row r="19" ht="15" customHeight="1" s="68">
      <c r="A19" s="187" t="inlineStr">
        <is>
          <t>Risk-free rate (10Y G-Sec)</t>
        </is>
      </c>
      <c r="B19" s="194" t="n">
        <v>0.067</v>
      </c>
      <c r="C19" s="90" t="n"/>
      <c r="D19" s="90" t="n"/>
      <c r="E19" s="90" t="n"/>
      <c r="F19" s="90" t="n"/>
    </row>
    <row r="20" ht="15" customHeight="1" s="68">
      <c r="A20" s="183" t="inlineStr">
        <is>
          <t>Equity beta</t>
        </is>
      </c>
      <c r="B20" s="188" t="n">
        <v>0.75</v>
      </c>
      <c r="C20" s="189" t="n"/>
      <c r="D20" s="189" t="n"/>
      <c r="E20" s="189" t="n"/>
      <c r="F20" s="189" t="n"/>
    </row>
    <row r="21" ht="15" customHeight="1" s="68">
      <c r="A21" s="187" t="inlineStr">
        <is>
          <t>Equity risk premium</t>
        </is>
      </c>
      <c r="B21" s="194" t="n">
        <v>0.055</v>
      </c>
      <c r="C21" s="90" t="n"/>
      <c r="D21" s="90" t="n"/>
      <c r="E21" s="90" t="n"/>
      <c r="F21" s="90" t="n"/>
    </row>
    <row r="22" ht="15" customHeight="1" s="68">
      <c r="A22" s="195" t="inlineStr">
        <is>
          <t>Cost of equity = Rf + β × ERP</t>
        </is>
      </c>
      <c r="B22" s="196">
        <f>B19+B20*B21</f>
        <v/>
      </c>
      <c r="C22" s="189" t="n"/>
      <c r="D22" s="189" t="n"/>
      <c r="E22" s="189" t="n"/>
      <c r="F22" s="189" t="n"/>
    </row>
    <row r="23" ht="15" customHeight="1" s="68">
      <c r="A23" s="187" t="inlineStr">
        <is>
          <t>Terminal growth rate (g)</t>
        </is>
      </c>
      <c r="B23" s="194" t="n">
        <v>0.055</v>
      </c>
      <c r="C23" s="90" t="n"/>
      <c r="D23" s="90" t="n"/>
      <c r="E23" s="90" t="n"/>
      <c r="F23" s="90" t="n"/>
    </row>
    <row r="24">
      <c r="A24" s="90" t="n"/>
      <c r="B24" s="90" t="n"/>
      <c r="C24" s="90" t="n"/>
      <c r="D24" s="90" t="n"/>
      <c r="E24" s="90" t="n"/>
      <c r="F24" s="90" t="n"/>
    </row>
    <row r="25" ht="15" customHeight="1" s="68">
      <c r="A25" s="197" t="inlineStr">
        <is>
          <t>Legend:</t>
        </is>
      </c>
      <c r="B25" s="198" t="inlineStr">
        <is>
          <t>Input</t>
        </is>
      </c>
      <c r="C25" s="199" t="inlineStr">
        <is>
          <t>Formula</t>
        </is>
      </c>
      <c r="D25" s="200" t="inlineStr">
        <is>
          <t>Link</t>
        </is>
      </c>
      <c r="E25" s="189" t="n"/>
      <c r="F25" s="18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9E3039"/>
    <outlinePr summaryBelow="1" summaryRight="1"/>
    <pageSetUpPr fitToPage="0"/>
  </sheetPr>
  <dimension ref="A1:J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67" min="1" max="1"/>
    <col width="13" customWidth="1" style="67" min="2" max="13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24" customHeight="1" s="68">
      <c r="A1" s="181" t="inlineStr">
        <is>
          <t>ICICI Bank Ltd — Historical Financials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65" t="n"/>
    </row>
    <row r="2" ht="3" customHeight="1" s="68">
      <c r="A2" s="183" t="n"/>
      <c r="B2" s="183" t="n"/>
      <c r="C2" s="183" t="n"/>
      <c r="D2" s="183" t="n"/>
      <c r="E2" s="183" t="n"/>
      <c r="F2" s="183" t="n"/>
      <c r="G2" s="183" t="n"/>
      <c r="H2" s="183" t="n"/>
      <c r="I2" s="183" t="n"/>
      <c r="J2" s="169" t="n"/>
    </row>
    <row r="3" ht="15" customHeight="1" s="68">
      <c r="A3" s="184" t="inlineStr">
        <is>
          <t>₹ Crore, consolidated. Blue = source data. Source: Company filings (consolidated) via Screener.in; FY2026 results announced Apr 2026. Retrieved 11-Jun-2026.</t>
        </is>
      </c>
      <c r="B3" s="185" t="n"/>
      <c r="C3" s="185" t="n"/>
      <c r="D3" s="185" t="n"/>
      <c r="E3" s="185" t="n"/>
      <c r="F3" s="185" t="n"/>
      <c r="G3" s="185" t="n"/>
      <c r="H3" s="185" t="n"/>
      <c r="I3" s="185" t="n"/>
      <c r="J3" s="186" t="n"/>
    </row>
    <row r="4" ht="18" customHeight="1" s="68">
      <c r="A4" s="201" t="inlineStr">
        <is>
          <t>Fiscal Year (ends March)</t>
        </is>
      </c>
      <c r="B4" s="202" t="inlineStr">
        <is>
          <t>FY2019</t>
        </is>
      </c>
      <c r="C4" s="202" t="inlineStr">
        <is>
          <t>FY2020</t>
        </is>
      </c>
      <c r="D4" s="202" t="inlineStr">
        <is>
          <t>FY2021</t>
        </is>
      </c>
      <c r="E4" s="202" t="inlineStr">
        <is>
          <t>FY2022</t>
        </is>
      </c>
      <c r="F4" s="202" t="inlineStr">
        <is>
          <t>FY2023</t>
        </is>
      </c>
      <c r="G4" s="202" t="inlineStr">
        <is>
          <t>FY2024</t>
        </is>
      </c>
      <c r="H4" s="202" t="inlineStr">
        <is>
          <t>FY2025</t>
        </is>
      </c>
      <c r="I4" s="202" t="inlineStr">
        <is>
          <t>FY2026</t>
        </is>
      </c>
      <c r="J4" s="167" t="n"/>
    </row>
    <row r="5" ht="15" customHeight="1" s="68">
      <c r="A5" s="191" t="inlineStr">
        <is>
          <t>Income Statement</t>
        </is>
      </c>
      <c r="B5" s="192" t="n"/>
      <c r="C5" s="192" t="n"/>
      <c r="D5" s="192" t="n"/>
      <c r="E5" s="192" t="n"/>
      <c r="F5" s="192" t="n"/>
      <c r="G5" s="192" t="n"/>
      <c r="H5" s="192" t="n"/>
      <c r="I5" s="192" t="n"/>
      <c r="J5" s="168" t="n"/>
    </row>
    <row r="6" ht="15" customHeight="1" s="68">
      <c r="A6" s="187" t="inlineStr">
        <is>
          <t>Interest earned</t>
        </is>
      </c>
      <c r="B6" s="203" t="n">
        <v>71982</v>
      </c>
      <c r="C6" s="203" t="n">
        <v>84836</v>
      </c>
      <c r="D6" s="203" t="n">
        <v>89163</v>
      </c>
      <c r="E6" s="203" t="n">
        <v>95407</v>
      </c>
      <c r="F6" s="203" t="n">
        <v>121067</v>
      </c>
      <c r="G6" s="203" t="n">
        <v>159516</v>
      </c>
      <c r="H6" s="203" t="n">
        <v>186331</v>
      </c>
      <c r="I6" s="203" t="n">
        <v>195218</v>
      </c>
    </row>
    <row r="7" ht="15" customHeight="1" s="68">
      <c r="A7" s="183" t="inlineStr">
        <is>
          <t>Interest expended</t>
        </is>
      </c>
      <c r="B7" s="204" t="n">
        <v>39178</v>
      </c>
      <c r="C7" s="204" t="n">
        <v>44666</v>
      </c>
      <c r="D7" s="204" t="n">
        <v>42659</v>
      </c>
      <c r="E7" s="204" t="n">
        <v>41167</v>
      </c>
      <c r="F7" s="204" t="n">
        <v>50543</v>
      </c>
      <c r="G7" s="204" t="n">
        <v>74108</v>
      </c>
      <c r="H7" s="204" t="n">
        <v>89028</v>
      </c>
      <c r="I7" s="204" t="n">
        <v>89029</v>
      </c>
      <c r="J7" s="169" t="n"/>
    </row>
    <row r="8" ht="15" customHeight="1" s="68">
      <c r="A8" s="193" t="inlineStr">
        <is>
          <t>Net interest income (NII)</t>
        </is>
      </c>
      <c r="B8" s="205">
        <f>B6-B7</f>
        <v/>
      </c>
      <c r="C8" s="205">
        <f>C6-C7</f>
        <v/>
      </c>
      <c r="D8" s="205">
        <f>D6-D7</f>
        <v/>
      </c>
      <c r="E8" s="205">
        <f>E6-E7</f>
        <v/>
      </c>
      <c r="F8" s="205">
        <f>F6-F7</f>
        <v/>
      </c>
      <c r="G8" s="205">
        <f>G6-G7</f>
        <v/>
      </c>
      <c r="H8" s="205">
        <f>H6-H7</f>
        <v/>
      </c>
      <c r="I8" s="205">
        <f>I6-I7</f>
        <v/>
      </c>
    </row>
    <row r="9" ht="15" customHeight="1" s="68">
      <c r="A9" s="183" t="inlineStr">
        <is>
          <t>Other income</t>
        </is>
      </c>
      <c r="B9" s="204" t="n">
        <v>59325</v>
      </c>
      <c r="C9" s="204" t="n">
        <v>64950</v>
      </c>
      <c r="D9" s="204" t="n">
        <v>72174</v>
      </c>
      <c r="E9" s="204" t="n">
        <v>62129</v>
      </c>
      <c r="F9" s="204" t="n">
        <v>65112</v>
      </c>
      <c r="G9" s="204" t="n">
        <v>76522</v>
      </c>
      <c r="H9" s="204" t="n">
        <v>108255</v>
      </c>
      <c r="I9" s="204" t="n">
        <v>116900</v>
      </c>
      <c r="J9" s="169" t="n"/>
    </row>
    <row r="10" ht="15" customHeight="1" s="68">
      <c r="A10" s="206" t="inlineStr">
        <is>
          <t>Total income (NII + other income)</t>
        </is>
      </c>
      <c r="B10" s="207">
        <f>B8+B9</f>
        <v/>
      </c>
      <c r="C10" s="207">
        <f>C8+C9</f>
        <v/>
      </c>
      <c r="D10" s="207">
        <f>D8+D9</f>
        <v/>
      </c>
      <c r="E10" s="207">
        <f>E8+E9</f>
        <v/>
      </c>
      <c r="F10" s="207">
        <f>F8+F9</f>
        <v/>
      </c>
      <c r="G10" s="207">
        <f>G8+G9</f>
        <v/>
      </c>
      <c r="H10" s="207">
        <f>H8+H9</f>
        <v/>
      </c>
      <c r="I10" s="207">
        <f>I8+I9</f>
        <v/>
      </c>
    </row>
    <row r="11" ht="15" customHeight="1" s="68">
      <c r="A11" s="183" t="inlineStr">
        <is>
          <t>Operating expenses, provisions &amp; depreciation</t>
        </is>
      </c>
      <c r="B11" s="204" t="n">
        <v>84721</v>
      </c>
      <c r="C11" s="204" t="n">
        <v>86532</v>
      </c>
      <c r="D11" s="204" t="n">
        <v>92649</v>
      </c>
      <c r="E11" s="204" t="n">
        <v>82128</v>
      </c>
      <c r="F11" s="204" t="n">
        <v>89379</v>
      </c>
      <c r="G11" s="204" t="n">
        <v>101495</v>
      </c>
      <c r="H11" s="204" t="n">
        <v>132705</v>
      </c>
      <c r="I11" s="204" t="n">
        <v>146032</v>
      </c>
      <c r="J11" s="169" t="n"/>
    </row>
    <row r="12" ht="15" customHeight="1" s="68">
      <c r="A12" s="206" t="inlineStr">
        <is>
          <t>Profit before tax</t>
        </is>
      </c>
      <c r="B12" s="207">
        <f>B10-B11</f>
        <v/>
      </c>
      <c r="C12" s="207">
        <f>C10-C11</f>
        <v/>
      </c>
      <c r="D12" s="207">
        <f>D10-D11</f>
        <v/>
      </c>
      <c r="E12" s="207">
        <f>E10-E11</f>
        <v/>
      </c>
      <c r="F12" s="207">
        <f>F10-F11</f>
        <v/>
      </c>
      <c r="G12" s="207">
        <f>G10-G11</f>
        <v/>
      </c>
      <c r="H12" s="207">
        <f>H10-H11</f>
        <v/>
      </c>
      <c r="I12" s="207">
        <f>I10-I11</f>
        <v/>
      </c>
    </row>
    <row r="13" ht="15" customHeight="1" s="68">
      <c r="A13" s="183" t="inlineStr">
        <is>
          <t>Tax</t>
        </is>
      </c>
      <c r="B13" s="208">
        <f>B12-B14</f>
        <v/>
      </c>
      <c r="C13" s="208">
        <f>C12-C14</f>
        <v/>
      </c>
      <c r="D13" s="208">
        <f>D12-D14</f>
        <v/>
      </c>
      <c r="E13" s="208">
        <f>E12-E14</f>
        <v/>
      </c>
      <c r="F13" s="208">
        <f>F12-F14</f>
        <v/>
      </c>
      <c r="G13" s="208">
        <f>G12-G14</f>
        <v/>
      </c>
      <c r="H13" s="208">
        <f>H12-H14</f>
        <v/>
      </c>
      <c r="I13" s="208">
        <f>I12-I14</f>
        <v/>
      </c>
      <c r="J13" s="169" t="n"/>
    </row>
    <row r="14" ht="15" customHeight="1" s="68">
      <c r="A14" s="206" t="inlineStr">
        <is>
          <t>Profit after tax</t>
        </is>
      </c>
      <c r="B14" s="209" t="n">
        <v>5689</v>
      </c>
      <c r="C14" s="209" t="n">
        <v>11225</v>
      </c>
      <c r="D14" s="209" t="n">
        <v>20364</v>
      </c>
      <c r="E14" s="209" t="n">
        <v>26538</v>
      </c>
      <c r="F14" s="209" t="n">
        <v>35461</v>
      </c>
      <c r="G14" s="209" t="n">
        <v>46081</v>
      </c>
      <c r="H14" s="209" t="n">
        <v>54569</v>
      </c>
      <c r="I14" s="209" t="n">
        <v>57936</v>
      </c>
      <c r="J14" s="112" t="n"/>
    </row>
    <row r="15" ht="15" customHeight="1" s="68">
      <c r="A15" s="183" t="inlineStr">
        <is>
          <t>EPS (₹)</t>
        </is>
      </c>
      <c r="B15" s="188" t="n">
        <v>6.6</v>
      </c>
      <c r="C15" s="188" t="n">
        <v>14.78</v>
      </c>
      <c r="D15" s="188" t="n">
        <v>26.58</v>
      </c>
      <c r="E15" s="188" t="n">
        <v>36.14</v>
      </c>
      <c r="F15" s="188" t="n">
        <v>48.74</v>
      </c>
      <c r="G15" s="188" t="n">
        <v>63.02</v>
      </c>
      <c r="H15" s="188" t="n">
        <v>71.65000000000001</v>
      </c>
      <c r="I15" s="188" t="n">
        <v>75.70999999999999</v>
      </c>
      <c r="J15" s="169" t="n"/>
    </row>
    <row r="16" ht="15" customHeight="1" s="68">
      <c r="A16" s="187" t="inlineStr">
        <is>
          <t>Dividend payout (%)</t>
        </is>
      </c>
      <c r="B16" s="210" t="n">
        <v>0.15</v>
      </c>
      <c r="C16" s="210" t="n">
        <v>0</v>
      </c>
      <c r="D16" s="210" t="n">
        <v>0.08</v>
      </c>
      <c r="E16" s="210" t="n">
        <v>0.14</v>
      </c>
      <c r="F16" s="210" t="n">
        <v>0.16</v>
      </c>
      <c r="G16" s="210" t="n">
        <v>0.16</v>
      </c>
      <c r="H16" s="210" t="n">
        <v>0.15</v>
      </c>
      <c r="I16" s="210" t="n">
        <v>0.16</v>
      </c>
    </row>
    <row r="17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</row>
    <row r="18" ht="15" customHeight="1" s="68">
      <c r="A18" s="191" t="inlineStr">
        <is>
          <t>Balance Sheet</t>
        </is>
      </c>
      <c r="B18" s="192" t="n"/>
      <c r="C18" s="192" t="n"/>
      <c r="D18" s="192" t="n"/>
      <c r="E18" s="192" t="n"/>
      <c r="F18" s="192" t="n"/>
      <c r="G18" s="192" t="n"/>
      <c r="H18" s="192" t="n"/>
      <c r="I18" s="192" t="n"/>
      <c r="J18" s="168" t="n"/>
    </row>
    <row r="19" ht="15" customHeight="1" s="68">
      <c r="A19" s="187" t="inlineStr">
        <is>
          <t>Equity share capital</t>
        </is>
      </c>
      <c r="B19" s="203" t="n">
        <v>1289</v>
      </c>
      <c r="C19" s="203" t="n">
        <v>1295</v>
      </c>
      <c r="D19" s="203" t="n">
        <v>1383</v>
      </c>
      <c r="E19" s="203" t="n">
        <v>1390</v>
      </c>
      <c r="F19" s="203" t="n">
        <v>1397</v>
      </c>
      <c r="G19" s="203" t="n">
        <v>1405</v>
      </c>
      <c r="H19" s="203" t="n">
        <v>1425</v>
      </c>
      <c r="I19" s="203" t="n">
        <v>1432</v>
      </c>
    </row>
    <row r="20" ht="15" customHeight="1" s="68">
      <c r="A20" s="183" t="inlineStr">
        <is>
          <t>Reserves &amp; surplus</t>
        </is>
      </c>
      <c r="B20" s="204" t="n">
        <v>112964</v>
      </c>
      <c r="C20" s="204" t="n">
        <v>121665</v>
      </c>
      <c r="D20" s="204" t="n">
        <v>156204</v>
      </c>
      <c r="E20" s="204" t="n">
        <v>180663</v>
      </c>
      <c r="F20" s="204" t="n">
        <v>213101</v>
      </c>
      <c r="G20" s="204" t="n">
        <v>254739</v>
      </c>
      <c r="H20" s="204" t="n">
        <v>312481</v>
      </c>
      <c r="I20" s="204" t="n">
        <v>358946</v>
      </c>
      <c r="J20" s="169" t="n"/>
    </row>
    <row r="21" ht="15" customHeight="1" s="68">
      <c r="A21" s="193" t="inlineStr">
        <is>
          <t>Net worth</t>
        </is>
      </c>
      <c r="B21" s="205">
        <f>B19+B20</f>
        <v/>
      </c>
      <c r="C21" s="205">
        <f>C19+C20</f>
        <v/>
      </c>
      <c r="D21" s="205">
        <f>D19+D20</f>
        <v/>
      </c>
      <c r="E21" s="205">
        <f>E19+E20</f>
        <v/>
      </c>
      <c r="F21" s="205">
        <f>F19+F20</f>
        <v/>
      </c>
      <c r="G21" s="205">
        <f>G19+G20</f>
        <v/>
      </c>
      <c r="H21" s="205">
        <f>H19+H20</f>
        <v/>
      </c>
      <c r="I21" s="205">
        <f>I19+I20</f>
        <v/>
      </c>
    </row>
    <row r="22" ht="15" customHeight="1" s="68">
      <c r="A22" s="183" t="inlineStr">
        <is>
          <t>Deposits</t>
        </is>
      </c>
      <c r="B22" s="204" t="n">
        <v>681317</v>
      </c>
      <c r="C22" s="204" t="n">
        <v>800784</v>
      </c>
      <c r="D22" s="204" t="n">
        <v>959940</v>
      </c>
      <c r="E22" s="204" t="n">
        <v>1091366</v>
      </c>
      <c r="F22" s="204" t="n">
        <v>1210832</v>
      </c>
      <c r="G22" s="204" t="n">
        <v>1443580</v>
      </c>
      <c r="H22" s="204" t="n">
        <v>1641637</v>
      </c>
      <c r="I22" s="204" t="n">
        <v>1830020</v>
      </c>
      <c r="J22" s="169" t="n"/>
    </row>
    <row r="23" ht="15" customHeight="1" s="68">
      <c r="A23" s="187" t="inlineStr">
        <is>
          <t>Borrowings</t>
        </is>
      </c>
      <c r="B23" s="203" t="n">
        <v>210324</v>
      </c>
      <c r="C23" s="203" t="n">
        <v>213852</v>
      </c>
      <c r="D23" s="203" t="n">
        <v>143900</v>
      </c>
      <c r="E23" s="203" t="n">
        <v>161603</v>
      </c>
      <c r="F23" s="203" t="n">
        <v>189062</v>
      </c>
      <c r="G23" s="203" t="n">
        <v>207428</v>
      </c>
      <c r="H23" s="203" t="n">
        <v>218883</v>
      </c>
      <c r="I23" s="203" t="n">
        <v>220264</v>
      </c>
    </row>
    <row r="24" ht="15" customHeight="1" s="68">
      <c r="A24" s="183" t="inlineStr">
        <is>
          <t>Other liabilities</t>
        </is>
      </c>
      <c r="B24" s="204" t="n">
        <v>232899</v>
      </c>
      <c r="C24" s="204" t="n">
        <v>239696</v>
      </c>
      <c r="D24" s="204" t="n">
        <v>312385</v>
      </c>
      <c r="E24" s="204" t="n">
        <v>317616</v>
      </c>
      <c r="F24" s="204" t="n">
        <v>344099</v>
      </c>
      <c r="G24" s="204" t="n">
        <v>456911</v>
      </c>
      <c r="H24" s="204" t="n">
        <v>467815</v>
      </c>
      <c r="I24" s="204" t="n">
        <v>503835</v>
      </c>
      <c r="J24" s="169" t="n"/>
    </row>
    <row r="25" ht="15" customHeight="1" s="68">
      <c r="A25" s="206" t="inlineStr">
        <is>
          <t>Total liabilities &amp; equity</t>
        </is>
      </c>
      <c r="B25" s="207">
        <f>SUM(B21:B24)</f>
        <v/>
      </c>
      <c r="C25" s="207">
        <f>SUM(C21:C24)</f>
        <v/>
      </c>
      <c r="D25" s="207">
        <f>SUM(D21:D24)</f>
        <v/>
      </c>
      <c r="E25" s="207">
        <f>SUM(E21:E24)</f>
        <v/>
      </c>
      <c r="F25" s="207">
        <f>SUM(F21:F24)</f>
        <v/>
      </c>
      <c r="G25" s="207">
        <f>SUM(G21:G24)</f>
        <v/>
      </c>
      <c r="H25" s="207">
        <f>SUM(H21:H24)</f>
        <v/>
      </c>
      <c r="I25" s="207">
        <f>SUM(I21:I24)</f>
        <v/>
      </c>
      <c r="J25" s="112" t="n"/>
    </row>
    <row r="26" ht="15" customHeight="1" s="68">
      <c r="A26" s="183" t="inlineStr">
        <is>
          <t>Fixed assets</t>
        </is>
      </c>
      <c r="B26" s="204" t="n">
        <v>9660</v>
      </c>
      <c r="C26" s="204" t="n">
        <v>10409</v>
      </c>
      <c r="D26" s="204" t="n">
        <v>10809</v>
      </c>
      <c r="E26" s="204" t="n">
        <v>10707</v>
      </c>
      <c r="F26" s="204" t="n">
        <v>11070</v>
      </c>
      <c r="G26" s="204" t="n">
        <v>15714</v>
      </c>
      <c r="H26" s="204" t="n">
        <v>24272</v>
      </c>
      <c r="I26" s="204" t="n">
        <v>17420</v>
      </c>
      <c r="J26" s="169" t="n"/>
    </row>
    <row r="27" ht="15" customHeight="1" s="68">
      <c r="A27" s="187" t="inlineStr">
        <is>
          <t>Investments</t>
        </is>
      </c>
      <c r="B27" s="203" t="n">
        <v>398201</v>
      </c>
      <c r="C27" s="203" t="n">
        <v>443473</v>
      </c>
      <c r="D27" s="203" t="n">
        <v>536579</v>
      </c>
      <c r="E27" s="203" t="n">
        <v>567098</v>
      </c>
      <c r="F27" s="203" t="n">
        <v>639552</v>
      </c>
      <c r="G27" s="203" t="n">
        <v>827163</v>
      </c>
      <c r="H27" s="203" t="n">
        <v>886377</v>
      </c>
      <c r="I27" s="203" t="n">
        <v>870720</v>
      </c>
    </row>
    <row r="28" ht="15" customHeight="1" s="68">
      <c r="A28" s="183" t="inlineStr">
        <is>
          <t>Advances &amp; other assets (incl. cash)</t>
        </is>
      </c>
      <c r="B28" s="204" t="n">
        <v>830933</v>
      </c>
      <c r="C28" s="204" t="n">
        <v>923411</v>
      </c>
      <c r="D28" s="204" t="n">
        <v>1026424</v>
      </c>
      <c r="E28" s="204" t="n">
        <v>1174833</v>
      </c>
      <c r="F28" s="204" t="n">
        <v>1307868</v>
      </c>
      <c r="G28" s="204" t="n">
        <v>1521186</v>
      </c>
      <c r="H28" s="204" t="n">
        <v>1731593</v>
      </c>
      <c r="I28" s="204" t="n">
        <v>2026358</v>
      </c>
      <c r="J28" s="169" t="n"/>
    </row>
    <row r="29" ht="15" customHeight="1" s="68">
      <c r="A29" s="206" t="inlineStr">
        <is>
          <t>Total assets</t>
        </is>
      </c>
      <c r="B29" s="207">
        <f>SUM(B26:B28)</f>
        <v/>
      </c>
      <c r="C29" s="207">
        <f>SUM(C26:C28)</f>
        <v/>
      </c>
      <c r="D29" s="207">
        <f>SUM(D26:D28)</f>
        <v/>
      </c>
      <c r="E29" s="207">
        <f>SUM(E26:E28)</f>
        <v/>
      </c>
      <c r="F29" s="207">
        <f>SUM(F26:F28)</f>
        <v/>
      </c>
      <c r="G29" s="207">
        <f>SUM(G26:G28)</f>
        <v/>
      </c>
      <c r="H29" s="207">
        <f>SUM(H26:H28)</f>
        <v/>
      </c>
      <c r="I29" s="207">
        <f>SUM(I26:I28)</f>
        <v/>
      </c>
      <c r="J29" s="112" t="n"/>
    </row>
    <row r="30" ht="15" customHeight="1" s="68">
      <c r="A30" s="183" t="inlineStr">
        <is>
          <t>Balance check (must be ~0)</t>
        </is>
      </c>
      <c r="B30" s="208">
        <f>B25-B29</f>
        <v/>
      </c>
      <c r="C30" s="208">
        <f>C25-C29</f>
        <v/>
      </c>
      <c r="D30" s="208">
        <f>D25-D29</f>
        <v/>
      </c>
      <c r="E30" s="208">
        <f>E25-E29</f>
        <v/>
      </c>
      <c r="F30" s="208">
        <f>F25-F29</f>
        <v/>
      </c>
      <c r="G30" s="208">
        <f>G25-G29</f>
        <v/>
      </c>
      <c r="H30" s="208">
        <f>H25-H29</f>
        <v/>
      </c>
      <c r="I30" s="208">
        <f>I25-I29</f>
        <v/>
      </c>
      <c r="J30" s="169" t="n"/>
    </row>
    <row r="31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</row>
    <row r="32" ht="15" customHeight="1" s="68">
      <c r="A32" s="191" t="inlineStr">
        <is>
          <t>Key Standalone Metrics, FY2026 (per company release)</t>
        </is>
      </c>
      <c r="B32" s="192" t="n"/>
      <c r="C32" s="192" t="n"/>
      <c r="D32" s="192" t="n"/>
      <c r="E32" s="192" t="n"/>
      <c r="F32" s="192" t="n"/>
      <c r="G32" s="192" t="n"/>
      <c r="H32" s="192" t="n"/>
      <c r="I32" s="192" t="n"/>
      <c r="J32" s="168" t="n"/>
    </row>
    <row r="33" ht="15" customHeight="1" s="68">
      <c r="A33" s="206" t="inlineStr">
        <is>
          <t>Standalone PAT FY26 (₹ Cr)</t>
        </is>
      </c>
      <c r="B33" s="211" t="inlineStr">
        <is>
          <t>50,147 (+6.2% YoY)</t>
        </is>
      </c>
      <c r="C33" s="90" t="n"/>
      <c r="D33" s="90" t="n"/>
      <c r="E33" s="90" t="n"/>
      <c r="F33" s="90" t="n"/>
      <c r="G33" s="90" t="n"/>
      <c r="H33" s="90" t="n"/>
      <c r="I33" s="90" t="n"/>
    </row>
    <row r="34" ht="15" customHeight="1" s="68">
      <c r="A34" s="183" t="inlineStr">
        <is>
          <t>Standalone NII FY26 (₹ Cr)</t>
        </is>
      </c>
      <c r="B34" s="212" t="inlineStr">
        <is>
          <t>88,075 (+8.5% YoY)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69" t="n"/>
    </row>
    <row r="35" ht="15" customHeight="1" s="68">
      <c r="A35" s="187" t="inlineStr">
        <is>
          <t>Net interest margin (Q4 FY26)</t>
        </is>
      </c>
      <c r="B35" s="213" t="inlineStr">
        <is>
          <t>4.32%</t>
        </is>
      </c>
      <c r="C35" s="90" t="n"/>
      <c r="D35" s="90" t="n"/>
      <c r="E35" s="90" t="n"/>
      <c r="F35" s="90" t="n"/>
      <c r="G35" s="90" t="n"/>
      <c r="H35" s="90" t="n"/>
      <c r="I35" s="90" t="n"/>
    </row>
    <row r="36" ht="15" customHeight="1" s="68">
      <c r="A36" s="183" t="inlineStr">
        <is>
          <t>Net NPA</t>
        </is>
      </c>
      <c r="B36" s="212" t="inlineStr">
        <is>
          <t>0.33%</t>
        </is>
      </c>
      <c r="C36" s="183" t="n"/>
      <c r="D36" s="183" t="n"/>
      <c r="E36" s="183" t="n"/>
      <c r="F36" s="183" t="n"/>
      <c r="G36" s="183" t="n"/>
      <c r="H36" s="183" t="n"/>
      <c r="I36" s="183" t="n"/>
      <c r="J36" s="169" t="n"/>
    </row>
    <row r="37" ht="15" customHeight="1" s="68">
      <c r="A37" s="187" t="inlineStr">
        <is>
          <t>Dividend FY26 (₹/share)</t>
        </is>
      </c>
      <c r="B37" s="213" t="inlineStr">
        <is>
          <t>12.0</t>
        </is>
      </c>
      <c r="C37" s="90" t="n"/>
      <c r="D37" s="90" t="n"/>
      <c r="E37" s="90" t="n"/>
      <c r="F37" s="90" t="n"/>
      <c r="G37" s="90" t="n"/>
      <c r="H37" s="90" t="n"/>
      <c r="I37" s="90" t="n"/>
    </row>
    <row r="38" ht="15" customHeight="1" s="68">
      <c r="A38" s="183" t="inlineStr">
        <is>
          <t>Advances growth YoY</t>
        </is>
      </c>
      <c r="B38" s="212" t="inlineStr">
        <is>
          <t>+15.8%</t>
        </is>
      </c>
      <c r="C38" s="183" t="n"/>
      <c r="D38" s="183" t="n"/>
      <c r="E38" s="183" t="n"/>
      <c r="F38" s="183" t="n"/>
      <c r="G38" s="183" t="n"/>
      <c r="H38" s="183" t="n"/>
      <c r="I38" s="183" t="n"/>
      <c r="J38" s="16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9E3039"/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0" customWidth="1" style="67" min="1" max="1"/>
    <col width="13" customWidth="1" style="67" min="2" max="13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</cols>
  <sheetData>
    <row r="1" ht="24" customHeight="1" s="68">
      <c r="A1" s="181" t="inlineStr">
        <is>
          <t>ICICI Bank Ltd — 5-Year Earnings &amp; Book Value Forecast</t>
        </is>
      </c>
      <c r="B1" s="182" t="n"/>
      <c r="C1" s="182" t="n"/>
      <c r="D1" s="182" t="n"/>
      <c r="E1" s="182" t="n"/>
      <c r="F1" s="182" t="n"/>
      <c r="G1" s="182" t="n"/>
      <c r="H1" s="165" t="n"/>
    </row>
    <row r="2" ht="3" customHeight="1" s="68">
      <c r="A2" s="183" t="n"/>
      <c r="B2" s="183" t="n"/>
      <c r="C2" s="183" t="n"/>
      <c r="D2" s="183" t="n"/>
      <c r="E2" s="183" t="n"/>
      <c r="F2" s="183" t="n"/>
      <c r="G2" s="183" t="n"/>
      <c r="H2" s="169" t="n"/>
    </row>
    <row r="3" ht="15" customHeight="1" s="68">
      <c r="A3" s="184" t="inlineStr">
        <is>
          <t>₹ Crore. Drivers feed from Assumptions.</t>
        </is>
      </c>
      <c r="B3" s="185" t="n"/>
      <c r="C3" s="185" t="n"/>
      <c r="D3" s="185" t="n"/>
      <c r="E3" s="185" t="n"/>
      <c r="F3" s="185" t="n"/>
      <c r="G3" s="185" t="n"/>
      <c r="H3" s="186" t="n"/>
    </row>
    <row r="4" ht="15" customHeight="1" s="68">
      <c r="A4" s="184" t="inlineStr">
        <is>
          <t>Fiscal Year (ends March)</t>
        </is>
      </c>
      <c r="B4" s="214" t="inlineStr">
        <is>
          <t>FY2026A</t>
        </is>
      </c>
      <c r="C4" s="214" t="inlineStr">
        <is>
          <t>FY2027E</t>
        </is>
      </c>
      <c r="D4" s="214" t="inlineStr">
        <is>
          <t>FY2028E</t>
        </is>
      </c>
      <c r="E4" s="214" t="inlineStr">
        <is>
          <t>FY2029E</t>
        </is>
      </c>
      <c r="F4" s="214" t="inlineStr">
        <is>
          <t>FY2030E</t>
        </is>
      </c>
      <c r="G4" s="214" t="inlineStr">
        <is>
          <t>FY2031E</t>
        </is>
      </c>
      <c r="H4" s="167" t="n"/>
    </row>
    <row r="5" ht="15" customHeight="1" s="68">
      <c r="A5" s="206" t="inlineStr">
        <is>
          <t>Total assets</t>
        </is>
      </c>
      <c r="B5" s="215">
        <f>Historical!I29</f>
        <v/>
      </c>
      <c r="C5" s="207">
        <f>B5*(1+Assumptions!B11)</f>
        <v/>
      </c>
      <c r="D5" s="207">
        <f>C5*(1+Assumptions!C11)</f>
        <v/>
      </c>
      <c r="E5" s="207">
        <f>D5*(1+Assumptions!D11)</f>
        <v/>
      </c>
      <c r="F5" s="207">
        <f>E5*(1+Assumptions!E11)</f>
        <v/>
      </c>
      <c r="G5" s="207">
        <f>F5*(1+Assumptions!F11)</f>
        <v/>
      </c>
    </row>
    <row r="6" ht="15" customHeight="1" s="68">
      <c r="A6" s="206" t="inlineStr">
        <is>
          <t>Average total assets</t>
        </is>
      </c>
      <c r="B6" s="206" t="n"/>
      <c r="C6" s="207">
        <f>(C5+B5)/2</f>
        <v/>
      </c>
      <c r="D6" s="207">
        <f>(D5+C5)/2</f>
        <v/>
      </c>
      <c r="E6" s="207">
        <f>(E5+D5)/2</f>
        <v/>
      </c>
      <c r="F6" s="207">
        <f>(F5+E5)/2</f>
        <v/>
      </c>
      <c r="G6" s="207">
        <f>(G5+F5)/2</f>
        <v/>
      </c>
      <c r="H6" s="175" t="n"/>
    </row>
    <row r="7" ht="15" customHeight="1" s="68">
      <c r="A7" s="183" t="inlineStr">
        <is>
          <t>Net interest income (NIM × avg assets)</t>
        </is>
      </c>
      <c r="B7" s="189" t="n"/>
      <c r="C7" s="208">
        <f>C6*Assumptions!$B$12</f>
        <v/>
      </c>
      <c r="D7" s="208">
        <f>D6*Assumptions!$B$12</f>
        <v/>
      </c>
      <c r="E7" s="208">
        <f>E6*Assumptions!$B$12</f>
        <v/>
      </c>
      <c r="F7" s="208">
        <f>F6*Assumptions!$B$12</f>
        <v/>
      </c>
      <c r="G7" s="208">
        <f>G6*Assumptions!$B$12</f>
        <v/>
      </c>
    </row>
    <row r="8" ht="15" customHeight="1" s="68">
      <c r="A8" s="183" t="inlineStr">
        <is>
          <t>Other income</t>
        </is>
      </c>
      <c r="B8" s="216">
        <f>Historical!I9</f>
        <v/>
      </c>
      <c r="C8" s="208">
        <f>B8*(1+Assumptions!$B$13)</f>
        <v/>
      </c>
      <c r="D8" s="208">
        <f>C8*(1+Assumptions!$B$13)</f>
        <v/>
      </c>
      <c r="E8" s="208">
        <f>D8*(1+Assumptions!$B$13)</f>
        <v/>
      </c>
      <c r="F8" s="208">
        <f>E8*(1+Assumptions!$B$13)</f>
        <v/>
      </c>
      <c r="G8" s="208">
        <f>F8*(1+Assumptions!$B$13)</f>
        <v/>
      </c>
      <c r="H8" s="169" t="n"/>
    </row>
    <row r="9" ht="15" customHeight="1" s="68">
      <c r="A9" s="206" t="inlineStr">
        <is>
          <t>Total income</t>
        </is>
      </c>
      <c r="B9" s="217" t="n"/>
      <c r="C9" s="207">
        <f>C7+C8</f>
        <v/>
      </c>
      <c r="D9" s="207">
        <f>D7+D8</f>
        <v/>
      </c>
      <c r="E9" s="207">
        <f>E7+E8</f>
        <v/>
      </c>
      <c r="F9" s="207">
        <f>F7+F8</f>
        <v/>
      </c>
      <c r="G9" s="207">
        <f>G7+G8</f>
        <v/>
      </c>
    </row>
    <row r="10" ht="15" customHeight="1" s="68">
      <c r="A10" s="183" t="inlineStr">
        <is>
          <t>Opex + provisions</t>
        </is>
      </c>
      <c r="B10" s="183" t="n"/>
      <c r="C10" s="208">
        <f>C9*Assumptions!B14</f>
        <v/>
      </c>
      <c r="D10" s="208">
        <f>D9*Assumptions!C14</f>
        <v/>
      </c>
      <c r="E10" s="208">
        <f>E9*Assumptions!D14</f>
        <v/>
      </c>
      <c r="F10" s="208">
        <f>F9*Assumptions!E14</f>
        <v/>
      </c>
      <c r="G10" s="208">
        <f>G9*Assumptions!F14</f>
        <v/>
      </c>
      <c r="H10" s="169" t="n"/>
    </row>
    <row r="11" ht="15" customHeight="1" s="68">
      <c r="A11" s="206" t="inlineStr">
        <is>
          <t>Profit before tax</t>
        </is>
      </c>
      <c r="B11" s="217" t="n"/>
      <c r="C11" s="207">
        <f>C9-C10</f>
        <v/>
      </c>
      <c r="D11" s="207">
        <f>D9-D10</f>
        <v/>
      </c>
      <c r="E11" s="207">
        <f>E9-E10</f>
        <v/>
      </c>
      <c r="F11" s="207">
        <f>F9-F10</f>
        <v/>
      </c>
      <c r="G11" s="207">
        <f>G9-G10</f>
        <v/>
      </c>
    </row>
    <row r="12" ht="15" customHeight="1" s="68">
      <c r="A12" s="183" t="inlineStr">
        <is>
          <t>Tax</t>
        </is>
      </c>
      <c r="B12" s="183" t="n"/>
      <c r="C12" s="208">
        <f>C11*Assumptions!$B$15</f>
        <v/>
      </c>
      <c r="D12" s="208">
        <f>D11*Assumptions!$B$15</f>
        <v/>
      </c>
      <c r="E12" s="208">
        <f>E11*Assumptions!$B$15</f>
        <v/>
      </c>
      <c r="F12" s="208">
        <f>F11*Assumptions!$B$15</f>
        <v/>
      </c>
      <c r="G12" s="208">
        <f>G11*Assumptions!$B$15</f>
        <v/>
      </c>
      <c r="H12" s="169" t="n"/>
    </row>
    <row r="13" ht="15" customHeight="1" s="68">
      <c r="A13" s="206" t="inlineStr">
        <is>
          <t>Profit after tax</t>
        </is>
      </c>
      <c r="B13" s="215">
        <f>Historical!I14</f>
        <v/>
      </c>
      <c r="C13" s="207">
        <f>C11-C12</f>
        <v/>
      </c>
      <c r="D13" s="207">
        <f>D11-D12</f>
        <v/>
      </c>
      <c r="E13" s="207">
        <f>E11-E12</f>
        <v/>
      </c>
      <c r="F13" s="207">
        <f>F11-F12</f>
        <v/>
      </c>
      <c r="G13" s="207">
        <f>G11-G12</f>
        <v/>
      </c>
    </row>
    <row r="14" ht="15" customHeight="1" s="68">
      <c r="A14" s="183" t="inlineStr">
        <is>
          <t xml:space="preserve">  PAT growth (%)</t>
        </is>
      </c>
      <c r="B14" s="183" t="n"/>
      <c r="C14" s="218">
        <f>C13/B13-1</f>
        <v/>
      </c>
      <c r="D14" s="218">
        <f>D13/C13-1</f>
        <v/>
      </c>
      <c r="E14" s="218">
        <f>E13/D13-1</f>
        <v/>
      </c>
      <c r="F14" s="218">
        <f>F13/E13-1</f>
        <v/>
      </c>
      <c r="G14" s="218">
        <f>G13/F13-1</f>
        <v/>
      </c>
      <c r="H14" s="169" t="n"/>
    </row>
    <row r="15" ht="15" customHeight="1" s="68">
      <c r="A15" s="183" t="inlineStr">
        <is>
          <t>Dividends paid</t>
        </is>
      </c>
      <c r="B15" s="189" t="n"/>
      <c r="C15" s="208">
        <f>C13*Assumptions!$B$16</f>
        <v/>
      </c>
      <c r="D15" s="208">
        <f>D13*Assumptions!$B$16</f>
        <v/>
      </c>
      <c r="E15" s="208">
        <f>E13*Assumptions!$B$16</f>
        <v/>
      </c>
      <c r="F15" s="208">
        <f>F13*Assumptions!$B$16</f>
        <v/>
      </c>
      <c r="G15" s="208">
        <f>G13*Assumptions!$B$16</f>
        <v/>
      </c>
    </row>
    <row r="16" ht="15" customHeight="1" s="68">
      <c r="A16" s="206" t="inlineStr">
        <is>
          <t>Net worth (BoY + PAT − dividends)</t>
        </is>
      </c>
      <c r="B16" s="215">
        <f>Historical!I21</f>
        <v/>
      </c>
      <c r="C16" s="207">
        <f>B16+C13-C15</f>
        <v/>
      </c>
      <c r="D16" s="207">
        <f>C16+D13-D15</f>
        <v/>
      </c>
      <c r="E16" s="207">
        <f>D16+E13-E15</f>
        <v/>
      </c>
      <c r="F16" s="207">
        <f>E16+F13-F15</f>
        <v/>
      </c>
      <c r="G16" s="207">
        <f>F16+G13-G15</f>
        <v/>
      </c>
      <c r="H16" s="175" t="n"/>
    </row>
    <row r="17" ht="15" customHeight="1" s="68">
      <c r="A17" s="183" t="inlineStr">
        <is>
          <t>Return on equity (PAT / avg net worth)</t>
        </is>
      </c>
      <c r="B17" s="189" t="n"/>
      <c r="C17" s="218">
        <f>C13/((C16+B16)/2)</f>
        <v/>
      </c>
      <c r="D17" s="218">
        <f>D13/((D16+C16)/2)</f>
        <v/>
      </c>
      <c r="E17" s="218">
        <f>E13/((E16+D16)/2)</f>
        <v/>
      </c>
      <c r="F17" s="218">
        <f>F13/((F16+E16)/2)</f>
        <v/>
      </c>
      <c r="G17" s="218">
        <f>G13/((G16+F16)/2)</f>
        <v/>
      </c>
    </row>
    <row r="18" ht="15" customHeight="1" s="68">
      <c r="A18" s="183" t="inlineStr">
        <is>
          <t>Return on assets (PAT / avg assets)</t>
        </is>
      </c>
      <c r="B18" s="183" t="n"/>
      <c r="C18" s="218">
        <f>C13/C6</f>
        <v/>
      </c>
      <c r="D18" s="218">
        <f>D13/D6</f>
        <v/>
      </c>
      <c r="E18" s="218">
        <f>E13/E6</f>
        <v/>
      </c>
      <c r="F18" s="218">
        <f>F13/F6</f>
        <v/>
      </c>
      <c r="G18" s="218">
        <f>G13/G6</f>
        <v/>
      </c>
      <c r="H18" s="169" t="n"/>
    </row>
    <row r="19" ht="15" customHeight="1" s="68">
      <c r="A19" s="183" t="inlineStr">
        <is>
          <t>Book value per share (₹)</t>
        </is>
      </c>
      <c r="B19" s="219">
        <f>B16/Assumptions!$B$6</f>
        <v/>
      </c>
      <c r="C19" s="219">
        <f>C16/Assumptions!$B$6</f>
        <v/>
      </c>
      <c r="D19" s="219">
        <f>D16/Assumptions!$B$6</f>
        <v/>
      </c>
      <c r="E19" s="219">
        <f>E16/Assumptions!$B$6</f>
        <v/>
      </c>
      <c r="F19" s="219">
        <f>F16/Assumptions!$B$6</f>
        <v/>
      </c>
      <c r="G19" s="219">
        <f>G16/Assumptions!$B$6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9E3039"/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7" min="1" max="1"/>
    <col width="13" customWidth="1" style="67" min="2" max="13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</cols>
  <sheetData>
    <row r="1" ht="24" customHeight="1" s="68">
      <c r="A1" s="181" t="inlineStr">
        <is>
          <t>ICICI Bank Ltd — Excess Return (Residual Income) Valuation</t>
        </is>
      </c>
      <c r="B1" s="182" t="n"/>
      <c r="C1" s="182" t="n"/>
      <c r="D1" s="182" t="n"/>
      <c r="E1" s="182" t="n"/>
      <c r="F1" s="182" t="n"/>
      <c r="G1" s="165" t="n"/>
      <c r="H1" s="165" t="n"/>
    </row>
    <row r="2" ht="3" customHeight="1" s="68">
      <c r="A2" s="183" t="n"/>
      <c r="B2" s="183" t="n"/>
      <c r="C2" s="183" t="n"/>
      <c r="D2" s="183" t="n"/>
      <c r="E2" s="183" t="n"/>
      <c r="F2" s="183" t="n"/>
      <c r="G2" s="169" t="n"/>
      <c r="H2" s="169" t="n"/>
    </row>
    <row r="3" ht="15" customHeight="1" s="68">
      <c r="A3" s="184" t="inlineStr">
        <is>
          <t>Standard for banks: value = current book + PV of returns above cost of equity.</t>
        </is>
      </c>
      <c r="B3" s="185" t="n"/>
      <c r="C3" s="185" t="n"/>
      <c r="D3" s="185" t="n"/>
      <c r="E3" s="185" t="n"/>
      <c r="F3" s="185" t="n"/>
      <c r="G3" s="186" t="n"/>
      <c r="H3" s="186" t="n"/>
    </row>
    <row r="4" ht="15" customHeight="1" s="68">
      <c r="A4" s="184" t="inlineStr">
        <is>
          <t>Fiscal Year (ends March)</t>
        </is>
      </c>
      <c r="B4" s="214" t="inlineStr">
        <is>
          <t>FY2027E</t>
        </is>
      </c>
      <c r="C4" s="214" t="inlineStr">
        <is>
          <t>FY2028E</t>
        </is>
      </c>
      <c r="D4" s="214" t="inlineStr">
        <is>
          <t>FY2029E</t>
        </is>
      </c>
      <c r="E4" s="214" t="inlineStr">
        <is>
          <t>FY2030E</t>
        </is>
      </c>
      <c r="F4" s="214" t="inlineStr">
        <is>
          <t>FY2031E</t>
        </is>
      </c>
      <c r="G4" s="167" t="n"/>
      <c r="H4" s="167" t="n"/>
    </row>
    <row r="5" ht="15" customHeight="1" s="68">
      <c r="A5" s="183" t="inlineStr">
        <is>
          <t>Beginning net worth</t>
        </is>
      </c>
      <c r="B5" s="216">
        <f>Forecast!B16</f>
        <v/>
      </c>
      <c r="C5" s="216">
        <f>Forecast!C16</f>
        <v/>
      </c>
      <c r="D5" s="216">
        <f>Forecast!D16</f>
        <v/>
      </c>
      <c r="E5" s="216">
        <f>Forecast!E16</f>
        <v/>
      </c>
      <c r="F5" s="216">
        <f>Forecast!F16</f>
        <v/>
      </c>
    </row>
    <row r="6" ht="15" customHeight="1" s="68">
      <c r="A6" s="206" t="inlineStr">
        <is>
          <t>Profit after tax</t>
        </is>
      </c>
      <c r="B6" s="220">
        <f>Forecast!C13</f>
        <v/>
      </c>
      <c r="C6" s="220">
        <f>Forecast!D13</f>
        <v/>
      </c>
      <c r="D6" s="220">
        <f>Forecast!E13</f>
        <v/>
      </c>
      <c r="E6" s="220">
        <f>Forecast!F13</f>
        <v/>
      </c>
      <c r="F6" s="220">
        <f>Forecast!G13</f>
        <v/>
      </c>
      <c r="G6" s="175" t="n"/>
      <c r="H6" s="175" t="n"/>
    </row>
    <row r="7" ht="15" customHeight="1" s="68">
      <c r="A7" s="183" t="inlineStr">
        <is>
          <t>Equity charge (Ke × beginning net worth)</t>
        </is>
      </c>
      <c r="B7" s="208">
        <f>B5*Assumptions!$B$22</f>
        <v/>
      </c>
      <c r="C7" s="208">
        <f>C5*Assumptions!$B$22</f>
        <v/>
      </c>
      <c r="D7" s="208">
        <f>D5*Assumptions!$B$22</f>
        <v/>
      </c>
      <c r="E7" s="208">
        <f>E5*Assumptions!$B$22</f>
        <v/>
      </c>
      <c r="F7" s="208">
        <f>F5*Assumptions!$B$22</f>
        <v/>
      </c>
    </row>
    <row r="8" ht="15" customHeight="1" s="68">
      <c r="A8" s="195" t="inlineStr">
        <is>
          <t>Excess return</t>
        </is>
      </c>
      <c r="B8" s="221">
        <f>B6-B7</f>
        <v/>
      </c>
      <c r="C8" s="221">
        <f>C6-C7</f>
        <v/>
      </c>
      <c r="D8" s="221">
        <f>D6-D7</f>
        <v/>
      </c>
      <c r="E8" s="221">
        <f>E6-E7</f>
        <v/>
      </c>
      <c r="F8" s="221">
        <f>F6-F7</f>
        <v/>
      </c>
      <c r="G8" s="169" t="n"/>
      <c r="H8" s="169" t="n"/>
    </row>
    <row r="9" ht="15" customHeight="1" s="68">
      <c r="A9" s="183" t="inlineStr">
        <is>
          <t>Discount factor @ Ke</t>
        </is>
      </c>
      <c r="B9" s="222">
        <f>1/(1+Assumptions!$B$22)^1</f>
        <v/>
      </c>
      <c r="C9" s="222">
        <f>1/(1+Assumptions!$B$22)^2</f>
        <v/>
      </c>
      <c r="D9" s="222">
        <f>1/(1+Assumptions!$B$22)^3</f>
        <v/>
      </c>
      <c r="E9" s="222">
        <f>1/(1+Assumptions!$B$22)^4</f>
        <v/>
      </c>
      <c r="F9" s="222">
        <f>1/(1+Assumptions!$B$22)^5</f>
        <v/>
      </c>
    </row>
    <row r="10" ht="15" customHeight="1" s="68">
      <c r="A10" s="183" t="inlineStr">
        <is>
          <t>PV of excess return</t>
        </is>
      </c>
      <c r="B10" s="208">
        <f>B8*B9</f>
        <v/>
      </c>
      <c r="C10" s="208">
        <f>C8*C9</f>
        <v/>
      </c>
      <c r="D10" s="208">
        <f>D8*D9</f>
        <v/>
      </c>
      <c r="E10" s="208">
        <f>E8*E9</f>
        <v/>
      </c>
      <c r="F10" s="208">
        <f>F8*F9</f>
        <v/>
      </c>
      <c r="G10" s="169" t="n"/>
      <c r="H10" s="169" t="n"/>
    </row>
    <row r="11">
      <c r="A11" s="90" t="n"/>
      <c r="B11" s="90" t="n"/>
      <c r="C11" s="90" t="n"/>
      <c r="D11" s="90" t="n"/>
      <c r="E11" s="90" t="n"/>
      <c r="F11" s="90" t="n"/>
    </row>
    <row r="12" ht="15" customHeight="1" s="68">
      <c r="A12" s="191" t="inlineStr">
        <is>
          <t>Valuation Bridge</t>
        </is>
      </c>
      <c r="B12" s="192" t="n"/>
      <c r="C12" s="192" t="n"/>
      <c r="D12" s="192" t="n"/>
      <c r="E12" s="192" t="n"/>
      <c r="F12" s="192" t="n"/>
      <c r="G12" s="168" t="n"/>
      <c r="H12" s="168" t="n"/>
    </row>
    <row r="13" ht="15" customHeight="1" s="68">
      <c r="A13" s="187" t="inlineStr">
        <is>
          <t>Current net worth (FY2026)</t>
        </is>
      </c>
      <c r="B13" s="223">
        <f>Forecast!B16</f>
        <v/>
      </c>
      <c r="C13" s="90" t="n"/>
      <c r="D13" s="90" t="n"/>
      <c r="E13" s="90" t="n"/>
      <c r="F13" s="90" t="n"/>
    </row>
    <row r="14" ht="15" customHeight="1" s="68">
      <c r="A14" s="183" t="inlineStr">
        <is>
          <t>Sum of PV of excess returns</t>
        </is>
      </c>
      <c r="B14" s="208">
        <f>SUM(B10:F10)</f>
        <v/>
      </c>
      <c r="C14" s="189" t="n"/>
      <c r="D14" s="189" t="n"/>
      <c r="E14" s="189" t="n"/>
      <c r="F14" s="189" t="n"/>
    </row>
    <row r="15" ht="15" customHeight="1" s="68">
      <c r="A15" s="187" t="inlineStr">
        <is>
          <t>Terminal excess return value</t>
        </is>
      </c>
      <c r="B15" s="190">
        <f>F8*(1+Assumptions!B23)/(Assumptions!B22-Assumptions!B23)</f>
        <v/>
      </c>
      <c r="C15" s="90" t="n"/>
      <c r="D15" s="90" t="n"/>
      <c r="E15" s="90" t="n"/>
      <c r="F15" s="90" t="n"/>
    </row>
    <row r="16" ht="15" customHeight="1" s="68">
      <c r="A16" s="183" t="inlineStr">
        <is>
          <t>PV of terminal value</t>
        </is>
      </c>
      <c r="B16" s="208">
        <f>B15*F9</f>
        <v/>
      </c>
      <c r="C16" s="189" t="n"/>
      <c r="D16" s="189" t="n"/>
      <c r="E16" s="189" t="n"/>
      <c r="F16" s="189" t="n"/>
    </row>
    <row r="17" ht="15" customHeight="1" s="68">
      <c r="A17" s="206" t="inlineStr">
        <is>
          <t>Equity value</t>
        </is>
      </c>
      <c r="B17" s="207">
        <f>B13+B14+B16</f>
        <v/>
      </c>
      <c r="C17" s="133" t="n"/>
      <c r="D17" s="133" t="n"/>
      <c r="E17" s="133" t="n"/>
      <c r="F17" s="133" t="n"/>
      <c r="G17" s="112" t="n"/>
      <c r="H17" s="112" t="n"/>
    </row>
    <row r="18" ht="15" customHeight="1" s="68">
      <c r="A18" s="183" t="inlineStr">
        <is>
          <t>Shares outstanding (Cr)</t>
        </is>
      </c>
      <c r="B18" s="224">
        <f>Assumptions!B6</f>
        <v/>
      </c>
      <c r="C18" s="189" t="n"/>
      <c r="D18" s="189" t="n"/>
      <c r="E18" s="189" t="n"/>
      <c r="F18" s="189" t="n"/>
    </row>
    <row r="19" ht="15" customHeight="1" s="68">
      <c r="A19" s="193" t="inlineStr">
        <is>
          <t>Intrinsic value per share (₹)</t>
        </is>
      </c>
      <c r="B19" s="225">
        <f>B17/B18</f>
        <v/>
      </c>
      <c r="C19" s="90" t="n"/>
      <c r="D19" s="90" t="n"/>
      <c r="E19" s="90" t="n"/>
      <c r="F19" s="90" t="n"/>
    </row>
    <row r="20" ht="15" customHeight="1" s="68">
      <c r="A20" s="183" t="inlineStr">
        <is>
          <t>Current market price (₹)</t>
        </is>
      </c>
      <c r="B20" s="224">
        <f>Assumptions!B5</f>
        <v/>
      </c>
      <c r="C20" s="189" t="n"/>
      <c r="D20" s="189" t="n"/>
      <c r="E20" s="189" t="n"/>
      <c r="F20" s="189" t="n"/>
    </row>
    <row r="21" ht="15" customHeight="1" s="68">
      <c r="A21" s="193" t="inlineStr">
        <is>
          <t>Upside / (downside)</t>
        </is>
      </c>
      <c r="B21" s="196">
        <f>B19/B20-1</f>
        <v/>
      </c>
      <c r="C21" s="90" t="n"/>
      <c r="D21" s="90" t="n"/>
      <c r="E21" s="90" t="n"/>
      <c r="F21" s="90" t="n"/>
    </row>
    <row r="22" ht="15" customHeight="1" s="68">
      <c r="A22" s="206" t="inlineStr">
        <is>
          <t>Implied rating</t>
        </is>
      </c>
      <c r="B22" s="226">
        <f>IF(B21&gt;0.15,"BUY",IF(B21&gt;-0.10,"HOLD","REDUCE"))</f>
        <v/>
      </c>
      <c r="C22" s="217" t="n"/>
      <c r="D22" s="217" t="n"/>
      <c r="E22" s="217" t="n"/>
      <c r="F22" s="217" t="n"/>
    </row>
    <row r="23" ht="15" customHeight="1" s="68">
      <c r="A23" s="187" t="inlineStr">
        <is>
          <t>Implied P/B (FY26)</t>
        </is>
      </c>
      <c r="B23" s="227">
        <f>B19/(Forecast!B16/Assumptions!B6)</f>
        <v/>
      </c>
      <c r="C23" s="90" t="n"/>
      <c r="D23" s="90" t="n"/>
      <c r="E23" s="90" t="n"/>
      <c r="F23" s="90" t="n"/>
    </row>
    <row r="24">
      <c r="A24" s="90" t="n"/>
      <c r="B24" s="90" t="n"/>
      <c r="C24" s="90" t="n"/>
      <c r="D24" s="90" t="n"/>
      <c r="E24" s="90" t="n"/>
      <c r="F24" s="90" t="n"/>
    </row>
    <row r="25" ht="15" customHeight="1" s="68">
      <c r="A25" s="191" t="inlineStr">
        <is>
          <t>Sensitivity: Intrinsic Value per Share (₹) — Cost of Equity vs Terminal Growth</t>
        </is>
      </c>
      <c r="B25" s="192" t="n"/>
      <c r="C25" s="192" t="n"/>
      <c r="D25" s="192" t="n"/>
      <c r="E25" s="192" t="n"/>
      <c r="F25" s="192" t="n"/>
      <c r="G25" s="168" t="n"/>
      <c r="H25" s="168" t="n"/>
    </row>
    <row r="26" ht="15" customHeight="1" s="68">
      <c r="A26" s="193" t="inlineStr">
        <is>
          <t>Ke ↓ / Terminal g →</t>
        </is>
      </c>
      <c r="B26" s="228" t="n">
        <v>0.045</v>
      </c>
      <c r="C26" s="228" t="n">
        <v>0.05</v>
      </c>
      <c r="D26" s="228" t="n">
        <v>0.055</v>
      </c>
      <c r="E26" s="228" t="n">
        <v>0.06</v>
      </c>
      <c r="F26" s="228" t="n">
        <v>0.065</v>
      </c>
    </row>
    <row r="27" ht="15" customHeight="1" s="68">
      <c r="A27" s="228" t="n">
        <v>0.09825</v>
      </c>
      <c r="B27" s="229">
        <f>(Forecast!B16+(Forecast!C13-$A27*Forecast!B16)/(1+$A27)^1+(Forecast!D13-$A27*Forecast!C16)/(1+$A27)^2+(Forecast!E13-$A27*Forecast!D16)/(1+$A27)^3+(Forecast!F13-$A27*Forecast!E16)/(1+$A27)^4+(Forecast!G13-$A27*Forecast!F16)/(1+$A27)^5+(Forecast!G13-$A27*Forecast!F16)*(1+B$26)/($A27-B$26)/(1+$A27)^5)/Assumptions!$B$6</f>
        <v/>
      </c>
      <c r="C27" s="229">
        <f>(Forecast!B16+(Forecast!C13-$A27*Forecast!B16)/(1+$A27)^1+(Forecast!D13-$A27*Forecast!C16)/(1+$A27)^2+(Forecast!E13-$A27*Forecast!D16)/(1+$A27)^3+(Forecast!F13-$A27*Forecast!E16)/(1+$A27)^4+(Forecast!G13-$A27*Forecast!F16)/(1+$A27)^5+(Forecast!G13-$A27*Forecast!F16)*(1+C$26)/($A27-C$26)/(1+$A27)^5)/Assumptions!$B$6</f>
        <v/>
      </c>
      <c r="D27" s="229">
        <f>(Forecast!B16+(Forecast!C13-$A27*Forecast!B16)/(1+$A27)^1+(Forecast!D13-$A27*Forecast!C16)/(1+$A27)^2+(Forecast!E13-$A27*Forecast!D16)/(1+$A27)^3+(Forecast!F13-$A27*Forecast!E16)/(1+$A27)^4+(Forecast!G13-$A27*Forecast!F16)/(1+$A27)^5+(Forecast!G13-$A27*Forecast!F16)*(1+D$26)/($A27-D$26)/(1+$A27)^5)/Assumptions!$B$6</f>
        <v/>
      </c>
      <c r="E27" s="229">
        <f>(Forecast!B16+(Forecast!C13-$A27*Forecast!B16)/(1+$A27)^1+(Forecast!D13-$A27*Forecast!C16)/(1+$A27)^2+(Forecast!E13-$A27*Forecast!D16)/(1+$A27)^3+(Forecast!F13-$A27*Forecast!E16)/(1+$A27)^4+(Forecast!G13-$A27*Forecast!F16)/(1+$A27)^5+(Forecast!G13-$A27*Forecast!F16)*(1+E$26)/($A27-E$26)/(1+$A27)^5)/Assumptions!$B$6</f>
        <v/>
      </c>
      <c r="F27" s="229">
        <f>(Forecast!B16+(Forecast!C13-$A27*Forecast!B16)/(1+$A27)^1+(Forecast!D13-$A27*Forecast!C16)/(1+$A27)^2+(Forecast!E13-$A27*Forecast!D16)/(1+$A27)^3+(Forecast!F13-$A27*Forecast!E16)/(1+$A27)^4+(Forecast!G13-$A27*Forecast!F16)/(1+$A27)^5+(Forecast!G13-$A27*Forecast!F16)*(1+F$26)/($A27-F$26)/(1+$A27)^5)/Assumptions!$B$6</f>
        <v/>
      </c>
    </row>
    <row r="28" ht="15" customHeight="1" s="68">
      <c r="A28" s="228" t="n">
        <v>0.10325</v>
      </c>
      <c r="B28" s="230">
        <f>(Forecast!B16+(Forecast!C13-$A28*Forecast!B16)/(1+$A28)^1+(Forecast!D13-$A28*Forecast!C16)/(1+$A28)^2+(Forecast!E13-$A28*Forecast!D16)/(1+$A28)^3+(Forecast!F13-$A28*Forecast!E16)/(1+$A28)^4+(Forecast!G13-$A28*Forecast!F16)/(1+$A28)^5+(Forecast!G13-$A28*Forecast!F16)*(1+B$26)/($A28-B$26)/(1+$A28)^5)/Assumptions!$B$6</f>
        <v/>
      </c>
      <c r="C28" s="230">
        <f>(Forecast!B16+(Forecast!C13-$A28*Forecast!B16)/(1+$A28)^1+(Forecast!D13-$A28*Forecast!C16)/(1+$A28)^2+(Forecast!E13-$A28*Forecast!D16)/(1+$A28)^3+(Forecast!F13-$A28*Forecast!E16)/(1+$A28)^4+(Forecast!G13-$A28*Forecast!F16)/(1+$A28)^5+(Forecast!G13-$A28*Forecast!F16)*(1+C$26)/($A28-C$26)/(1+$A28)^5)/Assumptions!$B$6</f>
        <v/>
      </c>
      <c r="D28" s="230">
        <f>(Forecast!B16+(Forecast!C13-$A28*Forecast!B16)/(1+$A28)^1+(Forecast!D13-$A28*Forecast!C16)/(1+$A28)^2+(Forecast!E13-$A28*Forecast!D16)/(1+$A28)^3+(Forecast!F13-$A28*Forecast!E16)/(1+$A28)^4+(Forecast!G13-$A28*Forecast!F16)/(1+$A28)^5+(Forecast!G13-$A28*Forecast!F16)*(1+D$26)/($A28-D$26)/(1+$A28)^5)/Assumptions!$B$6</f>
        <v/>
      </c>
      <c r="E28" s="230">
        <f>(Forecast!B16+(Forecast!C13-$A28*Forecast!B16)/(1+$A28)^1+(Forecast!D13-$A28*Forecast!C16)/(1+$A28)^2+(Forecast!E13-$A28*Forecast!D16)/(1+$A28)^3+(Forecast!F13-$A28*Forecast!E16)/(1+$A28)^4+(Forecast!G13-$A28*Forecast!F16)/(1+$A28)^5+(Forecast!G13-$A28*Forecast!F16)*(1+E$26)/($A28-E$26)/(1+$A28)^5)/Assumptions!$B$6</f>
        <v/>
      </c>
      <c r="F28" s="230">
        <f>(Forecast!B16+(Forecast!C13-$A28*Forecast!B16)/(1+$A28)^1+(Forecast!D13-$A28*Forecast!C16)/(1+$A28)^2+(Forecast!E13-$A28*Forecast!D16)/(1+$A28)^3+(Forecast!F13-$A28*Forecast!E16)/(1+$A28)^4+(Forecast!G13-$A28*Forecast!F16)/(1+$A28)^5+(Forecast!G13-$A28*Forecast!F16)*(1+F$26)/($A28-F$26)/(1+$A28)^5)/Assumptions!$B$6</f>
        <v/>
      </c>
    </row>
    <row r="29" ht="15" customHeight="1" s="68">
      <c r="A29" s="228" t="n">
        <v>0.10825</v>
      </c>
      <c r="B29" s="229">
        <f>(Forecast!B16+(Forecast!C13-$A29*Forecast!B16)/(1+$A29)^1+(Forecast!D13-$A29*Forecast!C16)/(1+$A29)^2+(Forecast!E13-$A29*Forecast!D16)/(1+$A29)^3+(Forecast!F13-$A29*Forecast!E16)/(1+$A29)^4+(Forecast!G13-$A29*Forecast!F16)/(1+$A29)^5+(Forecast!G13-$A29*Forecast!F16)*(1+B$26)/($A29-B$26)/(1+$A29)^5)/Assumptions!$B$6</f>
        <v/>
      </c>
      <c r="C29" s="229">
        <f>(Forecast!B16+(Forecast!C13-$A29*Forecast!B16)/(1+$A29)^1+(Forecast!D13-$A29*Forecast!C16)/(1+$A29)^2+(Forecast!E13-$A29*Forecast!D16)/(1+$A29)^3+(Forecast!F13-$A29*Forecast!E16)/(1+$A29)^4+(Forecast!G13-$A29*Forecast!F16)/(1+$A29)^5+(Forecast!G13-$A29*Forecast!F16)*(1+C$26)/($A29-C$26)/(1+$A29)^5)/Assumptions!$B$6</f>
        <v/>
      </c>
      <c r="D29" s="229">
        <f>(Forecast!B16+(Forecast!C13-$A29*Forecast!B16)/(1+$A29)^1+(Forecast!D13-$A29*Forecast!C16)/(1+$A29)^2+(Forecast!E13-$A29*Forecast!D16)/(1+$A29)^3+(Forecast!F13-$A29*Forecast!E16)/(1+$A29)^4+(Forecast!G13-$A29*Forecast!F16)/(1+$A29)^5+(Forecast!G13-$A29*Forecast!F16)*(1+D$26)/($A29-D$26)/(1+$A29)^5)/Assumptions!$B$6</f>
        <v/>
      </c>
      <c r="E29" s="229">
        <f>(Forecast!B16+(Forecast!C13-$A29*Forecast!B16)/(1+$A29)^1+(Forecast!D13-$A29*Forecast!C16)/(1+$A29)^2+(Forecast!E13-$A29*Forecast!D16)/(1+$A29)^3+(Forecast!F13-$A29*Forecast!E16)/(1+$A29)^4+(Forecast!G13-$A29*Forecast!F16)/(1+$A29)^5+(Forecast!G13-$A29*Forecast!F16)*(1+E$26)/($A29-E$26)/(1+$A29)^5)/Assumptions!$B$6</f>
        <v/>
      </c>
      <c r="F29" s="229">
        <f>(Forecast!B16+(Forecast!C13-$A29*Forecast!B16)/(1+$A29)^1+(Forecast!D13-$A29*Forecast!C16)/(1+$A29)^2+(Forecast!E13-$A29*Forecast!D16)/(1+$A29)^3+(Forecast!F13-$A29*Forecast!E16)/(1+$A29)^4+(Forecast!G13-$A29*Forecast!F16)/(1+$A29)^5+(Forecast!G13-$A29*Forecast!F16)*(1+F$26)/($A29-F$26)/(1+$A29)^5)/Assumptions!$B$6</f>
        <v/>
      </c>
    </row>
    <row r="30" ht="15" customHeight="1" s="68">
      <c r="A30" s="228" t="n">
        <v>0.11325</v>
      </c>
      <c r="B30" s="230">
        <f>(Forecast!B16+(Forecast!C13-$A30*Forecast!B16)/(1+$A30)^1+(Forecast!D13-$A30*Forecast!C16)/(1+$A30)^2+(Forecast!E13-$A30*Forecast!D16)/(1+$A30)^3+(Forecast!F13-$A30*Forecast!E16)/(1+$A30)^4+(Forecast!G13-$A30*Forecast!F16)/(1+$A30)^5+(Forecast!G13-$A30*Forecast!F16)*(1+B$26)/($A30-B$26)/(1+$A30)^5)/Assumptions!$B$6</f>
        <v/>
      </c>
      <c r="C30" s="230">
        <f>(Forecast!B16+(Forecast!C13-$A30*Forecast!B16)/(1+$A30)^1+(Forecast!D13-$A30*Forecast!C16)/(1+$A30)^2+(Forecast!E13-$A30*Forecast!D16)/(1+$A30)^3+(Forecast!F13-$A30*Forecast!E16)/(1+$A30)^4+(Forecast!G13-$A30*Forecast!F16)/(1+$A30)^5+(Forecast!G13-$A30*Forecast!F16)*(1+C$26)/($A30-C$26)/(1+$A30)^5)/Assumptions!$B$6</f>
        <v/>
      </c>
      <c r="D30" s="230">
        <f>(Forecast!B16+(Forecast!C13-$A30*Forecast!B16)/(1+$A30)^1+(Forecast!D13-$A30*Forecast!C16)/(1+$A30)^2+(Forecast!E13-$A30*Forecast!D16)/(1+$A30)^3+(Forecast!F13-$A30*Forecast!E16)/(1+$A30)^4+(Forecast!G13-$A30*Forecast!F16)/(1+$A30)^5+(Forecast!G13-$A30*Forecast!F16)*(1+D$26)/($A30-D$26)/(1+$A30)^5)/Assumptions!$B$6</f>
        <v/>
      </c>
      <c r="E30" s="230">
        <f>(Forecast!B16+(Forecast!C13-$A30*Forecast!B16)/(1+$A30)^1+(Forecast!D13-$A30*Forecast!C16)/(1+$A30)^2+(Forecast!E13-$A30*Forecast!D16)/(1+$A30)^3+(Forecast!F13-$A30*Forecast!E16)/(1+$A30)^4+(Forecast!G13-$A30*Forecast!F16)/(1+$A30)^5+(Forecast!G13-$A30*Forecast!F16)*(1+E$26)/($A30-E$26)/(1+$A30)^5)/Assumptions!$B$6</f>
        <v/>
      </c>
      <c r="F30" s="230">
        <f>(Forecast!B16+(Forecast!C13-$A30*Forecast!B16)/(1+$A30)^1+(Forecast!D13-$A30*Forecast!C16)/(1+$A30)^2+(Forecast!E13-$A30*Forecast!D16)/(1+$A30)^3+(Forecast!F13-$A30*Forecast!E16)/(1+$A30)^4+(Forecast!G13-$A30*Forecast!F16)/(1+$A30)^5+(Forecast!G13-$A30*Forecast!F16)*(1+F$26)/($A30-F$26)/(1+$A30)^5)/Assumptions!$B$6</f>
        <v/>
      </c>
    </row>
    <row r="31" ht="15" customHeight="1" s="68">
      <c r="A31" s="228" t="n">
        <v>0.11825</v>
      </c>
      <c r="B31" s="229">
        <f>(Forecast!B16+(Forecast!C13-$A31*Forecast!B16)/(1+$A31)^1+(Forecast!D13-$A31*Forecast!C16)/(1+$A31)^2+(Forecast!E13-$A31*Forecast!D16)/(1+$A31)^3+(Forecast!F13-$A31*Forecast!E16)/(1+$A31)^4+(Forecast!G13-$A31*Forecast!F16)/(1+$A31)^5+(Forecast!G13-$A31*Forecast!F16)*(1+B$26)/($A31-B$26)/(1+$A31)^5)/Assumptions!$B$6</f>
        <v/>
      </c>
      <c r="C31" s="229">
        <f>(Forecast!B16+(Forecast!C13-$A31*Forecast!B16)/(1+$A31)^1+(Forecast!D13-$A31*Forecast!C16)/(1+$A31)^2+(Forecast!E13-$A31*Forecast!D16)/(1+$A31)^3+(Forecast!F13-$A31*Forecast!E16)/(1+$A31)^4+(Forecast!G13-$A31*Forecast!F16)/(1+$A31)^5+(Forecast!G13-$A31*Forecast!F16)*(1+C$26)/($A31-C$26)/(1+$A31)^5)/Assumptions!$B$6</f>
        <v/>
      </c>
      <c r="D31" s="229">
        <f>(Forecast!B16+(Forecast!C13-$A31*Forecast!B16)/(1+$A31)^1+(Forecast!D13-$A31*Forecast!C16)/(1+$A31)^2+(Forecast!E13-$A31*Forecast!D16)/(1+$A31)^3+(Forecast!F13-$A31*Forecast!E16)/(1+$A31)^4+(Forecast!G13-$A31*Forecast!F16)/(1+$A31)^5+(Forecast!G13-$A31*Forecast!F16)*(1+D$26)/($A31-D$26)/(1+$A31)^5)/Assumptions!$B$6</f>
        <v/>
      </c>
      <c r="E31" s="229">
        <f>(Forecast!B16+(Forecast!C13-$A31*Forecast!B16)/(1+$A31)^1+(Forecast!D13-$A31*Forecast!C16)/(1+$A31)^2+(Forecast!E13-$A31*Forecast!D16)/(1+$A31)^3+(Forecast!F13-$A31*Forecast!E16)/(1+$A31)^4+(Forecast!G13-$A31*Forecast!F16)/(1+$A31)^5+(Forecast!G13-$A31*Forecast!F16)*(1+E$26)/($A31-E$26)/(1+$A31)^5)/Assumptions!$B$6</f>
        <v/>
      </c>
      <c r="F31" s="229">
        <f>(Forecast!B16+(Forecast!C13-$A31*Forecast!B16)/(1+$A31)^1+(Forecast!D13-$A31*Forecast!C16)/(1+$A31)^2+(Forecast!E13-$A31*Forecast!D16)/(1+$A31)^3+(Forecast!F13-$A31*Forecast!E16)/(1+$A31)^4+(Forecast!G13-$A31*Forecast!F16)/(1+$A31)^5+(Forecast!G13-$A31*Forecast!F16)*(1+F$26)/($A31-F$26)/(1+$A31)^5)/Assumptions!$B$6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9E3039"/>
    <outlinePr summaryBelow="1" summaryRight="1"/>
    <pageSetUpPr fitToPage="0"/>
  </sheetPr>
  <dimension ref="A1:J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0" customWidth="1" style="67" min="1" max="1"/>
    <col width="13" customWidth="1" style="67" min="2" max="13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24" customHeight="1" s="68">
      <c r="A1" s="181" t="inlineStr">
        <is>
          <t>ICICI Bank Ltd — Ratio &amp; Trend Analysis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65" t="n"/>
    </row>
    <row r="2" ht="3" customHeight="1" s="68">
      <c r="A2" s="183" t="n"/>
      <c r="B2" s="183" t="n"/>
      <c r="C2" s="183" t="n"/>
      <c r="D2" s="183" t="n"/>
      <c r="E2" s="183" t="n"/>
      <c r="F2" s="183" t="n"/>
      <c r="G2" s="183" t="n"/>
      <c r="H2" s="183" t="n"/>
      <c r="I2" s="183" t="n"/>
      <c r="J2" s="169" t="n"/>
    </row>
    <row r="3" ht="15" customHeight="1" s="68">
      <c r="A3" s="184" t="inlineStr">
        <is>
          <t>Computed from Historical sheet.</t>
        </is>
      </c>
      <c r="B3" s="185" t="n"/>
      <c r="C3" s="185" t="n"/>
      <c r="D3" s="185" t="n"/>
      <c r="E3" s="185" t="n"/>
      <c r="F3" s="185" t="n"/>
      <c r="G3" s="185" t="n"/>
      <c r="H3" s="185" t="n"/>
      <c r="I3" s="185" t="n"/>
      <c r="J3" s="186" t="n"/>
    </row>
    <row r="4" ht="18" customHeight="1" s="68">
      <c r="A4" s="201" t="inlineStr">
        <is>
          <t>Fiscal Year (ends March)</t>
        </is>
      </c>
      <c r="B4" s="202" t="inlineStr">
        <is>
          <t>FY2019</t>
        </is>
      </c>
      <c r="C4" s="202" t="inlineStr">
        <is>
          <t>FY2020</t>
        </is>
      </c>
      <c r="D4" s="202" t="inlineStr">
        <is>
          <t>FY2021</t>
        </is>
      </c>
      <c r="E4" s="202" t="inlineStr">
        <is>
          <t>FY2022</t>
        </is>
      </c>
      <c r="F4" s="202" t="inlineStr">
        <is>
          <t>FY2023</t>
        </is>
      </c>
      <c r="G4" s="202" t="inlineStr">
        <is>
          <t>FY2024</t>
        </is>
      </c>
      <c r="H4" s="202" t="inlineStr">
        <is>
          <t>FY2025</t>
        </is>
      </c>
      <c r="I4" s="202" t="inlineStr">
        <is>
          <t>FY2026</t>
        </is>
      </c>
      <c r="J4" s="167" t="n"/>
    </row>
    <row r="5" ht="15" customHeight="1" s="68">
      <c r="A5" s="187" t="inlineStr">
        <is>
          <t>NII growth (%)</t>
        </is>
      </c>
      <c r="B5" s="231" t="inlineStr">
        <is>
          <t>—</t>
        </is>
      </c>
      <c r="C5" s="232">
        <f>Historical!C8/Historical!B8-1</f>
        <v/>
      </c>
      <c r="D5" s="232">
        <f>Historical!D8/Historical!C8-1</f>
        <v/>
      </c>
      <c r="E5" s="232">
        <f>Historical!E8/Historical!D8-1</f>
        <v/>
      </c>
      <c r="F5" s="232">
        <f>Historical!F8/Historical!E8-1</f>
        <v/>
      </c>
      <c r="G5" s="232">
        <f>Historical!G8/Historical!F8-1</f>
        <v/>
      </c>
      <c r="H5" s="232">
        <f>Historical!H8/Historical!G8-1</f>
        <v/>
      </c>
      <c r="I5" s="232">
        <f>Historical!I8/Historical!H8-1</f>
        <v/>
      </c>
    </row>
    <row r="6" ht="15" customHeight="1" s="68">
      <c r="A6" s="183" t="inlineStr">
        <is>
          <t>PAT growth (%)</t>
        </is>
      </c>
      <c r="B6" s="218" t="inlineStr">
        <is>
          <t>—</t>
        </is>
      </c>
      <c r="C6" s="233">
        <f>Historical!C14/Historical!B14-1</f>
        <v/>
      </c>
      <c r="D6" s="233">
        <f>Historical!D14/Historical!C14-1</f>
        <v/>
      </c>
      <c r="E6" s="233">
        <f>Historical!E14/Historical!D14-1</f>
        <v/>
      </c>
      <c r="F6" s="233">
        <f>Historical!F14/Historical!E14-1</f>
        <v/>
      </c>
      <c r="G6" s="233">
        <f>Historical!G14/Historical!F14-1</f>
        <v/>
      </c>
      <c r="H6" s="233">
        <f>Historical!H14/Historical!G14-1</f>
        <v/>
      </c>
      <c r="I6" s="233">
        <f>Historical!I14/Historical!H14-1</f>
        <v/>
      </c>
      <c r="J6" s="169" t="n"/>
    </row>
    <row r="7" ht="15" customHeight="1" s="68">
      <c r="A7" s="187" t="inlineStr">
        <is>
          <t>NIM proxy (NII / avg total assets)</t>
        </is>
      </c>
      <c r="B7" s="232">
        <f>Historical!B8/Historical!B29</f>
        <v/>
      </c>
      <c r="C7" s="232">
        <f>Historical!C8/((Historical!C29+Historical!B29)/2)</f>
        <v/>
      </c>
      <c r="D7" s="232">
        <f>Historical!D8/((Historical!D29+Historical!C29)/2)</f>
        <v/>
      </c>
      <c r="E7" s="232">
        <f>Historical!E8/((Historical!E29+Historical!D29)/2)</f>
        <v/>
      </c>
      <c r="F7" s="232">
        <f>Historical!F8/((Historical!F29+Historical!E29)/2)</f>
        <v/>
      </c>
      <c r="G7" s="232">
        <f>Historical!G8/((Historical!G29+Historical!F29)/2)</f>
        <v/>
      </c>
      <c r="H7" s="232">
        <f>Historical!H8/((Historical!H29+Historical!G29)/2)</f>
        <v/>
      </c>
      <c r="I7" s="232">
        <f>Historical!I8/((Historical!I29+Historical!H29)/2)</f>
        <v/>
      </c>
    </row>
    <row r="8" ht="15" customHeight="1" s="68">
      <c r="A8" s="183" t="inlineStr">
        <is>
          <t>Other income / total income</t>
        </is>
      </c>
      <c r="B8" s="233">
        <f>Historical!B9/Historical!B10</f>
        <v/>
      </c>
      <c r="C8" s="233">
        <f>Historical!C9/Historical!C10</f>
        <v/>
      </c>
      <c r="D8" s="233">
        <f>Historical!D9/Historical!D10</f>
        <v/>
      </c>
      <c r="E8" s="233">
        <f>Historical!E9/Historical!E10</f>
        <v/>
      </c>
      <c r="F8" s="233">
        <f>Historical!F9/Historical!F10</f>
        <v/>
      </c>
      <c r="G8" s="233">
        <f>Historical!G9/Historical!G10</f>
        <v/>
      </c>
      <c r="H8" s="233">
        <f>Historical!H9/Historical!H10</f>
        <v/>
      </c>
      <c r="I8" s="233">
        <f>Historical!I9/Historical!I10</f>
        <v/>
      </c>
      <c r="J8" s="169" t="n"/>
    </row>
    <row r="9" ht="15" customHeight="1" s="68">
      <c r="A9" s="187" t="inlineStr">
        <is>
          <t>Cost ratio (opex+prov / total income)</t>
        </is>
      </c>
      <c r="B9" s="232">
        <f>Historical!B11/Historical!B10</f>
        <v/>
      </c>
      <c r="C9" s="232">
        <f>Historical!C11/Historical!C10</f>
        <v/>
      </c>
      <c r="D9" s="232">
        <f>Historical!D11/Historical!D10</f>
        <v/>
      </c>
      <c r="E9" s="232">
        <f>Historical!E11/Historical!E10</f>
        <v/>
      </c>
      <c r="F9" s="232">
        <f>Historical!F11/Historical!F10</f>
        <v/>
      </c>
      <c r="G9" s="232">
        <f>Historical!G11/Historical!G10</f>
        <v/>
      </c>
      <c r="H9" s="232">
        <f>Historical!H11/Historical!H10</f>
        <v/>
      </c>
      <c r="I9" s="232">
        <f>Historical!I11/Historical!I10</f>
        <v/>
      </c>
    </row>
    <row r="10" ht="15" customHeight="1" s="68">
      <c r="A10" s="183" t="inlineStr">
        <is>
          <t>Return on assets (PAT / avg assets)</t>
        </is>
      </c>
      <c r="B10" s="233">
        <f>Historical!B14/Historical!B29</f>
        <v/>
      </c>
      <c r="C10" s="233">
        <f>Historical!C14/((Historical!C29+Historical!B29)/2)</f>
        <v/>
      </c>
      <c r="D10" s="233">
        <f>Historical!D14/((Historical!D29+Historical!C29)/2)</f>
        <v/>
      </c>
      <c r="E10" s="233">
        <f>Historical!E14/((Historical!E29+Historical!D29)/2)</f>
        <v/>
      </c>
      <c r="F10" s="233">
        <f>Historical!F14/((Historical!F29+Historical!E29)/2)</f>
        <v/>
      </c>
      <c r="G10" s="233">
        <f>Historical!G14/((Historical!G29+Historical!F29)/2)</f>
        <v/>
      </c>
      <c r="H10" s="233">
        <f>Historical!H14/((Historical!H29+Historical!G29)/2)</f>
        <v/>
      </c>
      <c r="I10" s="233">
        <f>Historical!I14/((Historical!I29+Historical!H29)/2)</f>
        <v/>
      </c>
      <c r="J10" s="169" t="n"/>
    </row>
    <row r="11" ht="15" customHeight="1" s="68">
      <c r="A11" s="187" t="inlineStr">
        <is>
          <t>Return on equity (PAT / avg net worth)</t>
        </is>
      </c>
      <c r="B11" s="232">
        <f>Historical!B14/Historical!B21</f>
        <v/>
      </c>
      <c r="C11" s="232">
        <f>Historical!C14/((Historical!C21+Historical!B21)/2)</f>
        <v/>
      </c>
      <c r="D11" s="232">
        <f>Historical!D14/((Historical!D21+Historical!C21)/2)</f>
        <v/>
      </c>
      <c r="E11" s="232">
        <f>Historical!E14/((Historical!E21+Historical!D21)/2)</f>
        <v/>
      </c>
      <c r="F11" s="232">
        <f>Historical!F14/((Historical!F21+Historical!E21)/2)</f>
        <v/>
      </c>
      <c r="G11" s="232">
        <f>Historical!G14/((Historical!G21+Historical!F21)/2)</f>
        <v/>
      </c>
      <c r="H11" s="232">
        <f>Historical!H14/((Historical!H21+Historical!G21)/2)</f>
        <v/>
      </c>
      <c r="I11" s="232">
        <f>Historical!I14/((Historical!I21+Historical!H21)/2)</f>
        <v/>
      </c>
    </row>
    <row r="12" ht="15" customHeight="1" s="68">
      <c r="A12" s="183" t="inlineStr">
        <is>
          <t>Deposit growth (%)</t>
        </is>
      </c>
      <c r="B12" s="218" t="inlineStr">
        <is>
          <t>—</t>
        </is>
      </c>
      <c r="C12" s="233">
        <f>Historical!C22/Historical!B22-1</f>
        <v/>
      </c>
      <c r="D12" s="233">
        <f>Historical!D22/Historical!C22-1</f>
        <v/>
      </c>
      <c r="E12" s="233">
        <f>Historical!E22/Historical!D22-1</f>
        <v/>
      </c>
      <c r="F12" s="233">
        <f>Historical!F22/Historical!E22-1</f>
        <v/>
      </c>
      <c r="G12" s="233">
        <f>Historical!G22/Historical!F22-1</f>
        <v/>
      </c>
      <c r="H12" s="233">
        <f>Historical!H22/Historical!G22-1</f>
        <v/>
      </c>
      <c r="I12" s="233">
        <f>Historical!I22/Historical!H22-1</f>
        <v/>
      </c>
      <c r="J12" s="169" t="n"/>
    </row>
    <row r="13" ht="15" customHeight="1" s="68">
      <c r="A13" s="187" t="inlineStr">
        <is>
          <t>Asset growth (%)</t>
        </is>
      </c>
      <c r="B13" s="231" t="inlineStr">
        <is>
          <t>—</t>
        </is>
      </c>
      <c r="C13" s="232">
        <f>Historical!C29/Historical!B29-1</f>
        <v/>
      </c>
      <c r="D13" s="232">
        <f>Historical!D29/Historical!C29-1</f>
        <v/>
      </c>
      <c r="E13" s="232">
        <f>Historical!E29/Historical!D29-1</f>
        <v/>
      </c>
      <c r="F13" s="232">
        <f>Historical!F29/Historical!E29-1</f>
        <v/>
      </c>
      <c r="G13" s="232">
        <f>Historical!G29/Historical!F29-1</f>
        <v/>
      </c>
      <c r="H13" s="232">
        <f>Historical!H29/Historical!G29-1</f>
        <v/>
      </c>
      <c r="I13" s="232">
        <f>Historical!I29/Historical!H29-1</f>
        <v/>
      </c>
    </row>
    <row r="14" ht="15" customHeight="1" s="68">
      <c r="A14" s="183" t="inlineStr">
        <is>
          <t>Book value per share (₹)</t>
        </is>
      </c>
      <c r="B14" s="224">
        <f>Historical!B21/Assumptions!$B$6</f>
        <v/>
      </c>
      <c r="C14" s="224">
        <f>Historical!C21/Assumptions!$B$6</f>
        <v/>
      </c>
      <c r="D14" s="224">
        <f>Historical!D21/Assumptions!$B$6</f>
        <v/>
      </c>
      <c r="E14" s="224">
        <f>Historical!E21/Assumptions!$B$6</f>
        <v/>
      </c>
      <c r="F14" s="224">
        <f>Historical!F21/Assumptions!$B$6</f>
        <v/>
      </c>
      <c r="G14" s="224">
        <f>Historical!G21/Assumptions!$B$6</f>
        <v/>
      </c>
      <c r="H14" s="224">
        <f>Historical!H21/Assumptions!$B$6</f>
        <v/>
      </c>
      <c r="I14" s="224">
        <f>Historical!I21/Assumptions!$B$6</f>
        <v/>
      </c>
      <c r="J14" s="169" t="n"/>
    </row>
    <row r="15" ht="15" customHeight="1" s="68">
      <c r="A15" s="187" t="inlineStr">
        <is>
          <t>Leverage (assets / net worth, x)</t>
        </is>
      </c>
      <c r="B15" s="234">
        <f>Historical!B29/Historical!B21</f>
        <v/>
      </c>
      <c r="C15" s="234">
        <f>Historical!C29/Historical!C21</f>
        <v/>
      </c>
      <c r="D15" s="234">
        <f>Historical!D29/Historical!D21</f>
        <v/>
      </c>
      <c r="E15" s="234">
        <f>Historical!E29/Historical!E21</f>
        <v/>
      </c>
      <c r="F15" s="234">
        <f>Historical!F29/Historical!F21</f>
        <v/>
      </c>
      <c r="G15" s="234">
        <f>Historical!G29/Historical!G21</f>
        <v/>
      </c>
      <c r="H15" s="234">
        <f>Historical!H29/Historical!H21</f>
        <v/>
      </c>
      <c r="I15" s="234">
        <f>Historical!I29/Historical!I21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9E3039"/>
    <outlinePr summaryBelow="1" summaryRight="1"/>
    <pageSetUpPr fitToPage="0"/>
  </sheetPr>
  <dimension ref="A1:G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7" min="1" max="1"/>
    <col width="14" customWidth="1" style="67" min="2" max="8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</cols>
  <sheetData>
    <row r="1" ht="24" customHeight="1" s="68">
      <c r="A1" s="181" t="inlineStr">
        <is>
          <t>ICICI Bank Ltd — Peer Comparison (Indian Banks)</t>
        </is>
      </c>
      <c r="B1" s="182" t="n"/>
      <c r="C1" s="182" t="n"/>
      <c r="D1" s="182" t="n"/>
      <c r="E1" s="182" t="n"/>
      <c r="F1" s="182" t="n"/>
      <c r="G1" s="182" t="n"/>
    </row>
    <row r="2" ht="3" customHeight="1" s="68">
      <c r="A2" s="183" t="n"/>
      <c r="B2" s="183" t="n"/>
      <c r="C2" s="183" t="n"/>
      <c r="D2" s="183" t="n"/>
      <c r="E2" s="183" t="n"/>
      <c r="F2" s="183" t="n"/>
      <c r="G2" s="183" t="n"/>
    </row>
    <row r="3" ht="15" customHeight="1" s="68">
      <c r="A3" s="184" t="inlineStr">
        <is>
          <t>Blue = inputs (as researched, Jun 2026). Yellow = update with live data.</t>
        </is>
      </c>
      <c r="B3" s="185" t="n"/>
      <c r="C3" s="185" t="n"/>
      <c r="D3" s="185" t="n"/>
      <c r="E3" s="185" t="n"/>
      <c r="F3" s="185" t="n"/>
      <c r="G3" s="185" t="n"/>
    </row>
    <row r="4" ht="15" customHeight="1" s="68">
      <c r="A4" s="184" t="inlineStr">
        <is>
          <t>Bank</t>
        </is>
      </c>
      <c r="B4" s="214" t="inlineStr">
        <is>
          <t>Price (₹)</t>
        </is>
      </c>
      <c r="C4" s="214" t="inlineStr">
        <is>
          <t>EPS FY26 (₹)</t>
        </is>
      </c>
      <c r="D4" s="214" t="inlineStr">
        <is>
          <t>BVPS (₹)</t>
        </is>
      </c>
      <c r="E4" s="214" t="inlineStr">
        <is>
          <t>PAT FY26 (₹ Cr)</t>
        </is>
      </c>
      <c r="F4" s="214" t="inlineStr">
        <is>
          <t>P/E (x)</t>
        </is>
      </c>
      <c r="G4" s="214" t="inlineStr">
        <is>
          <t>P/B (x)</t>
        </is>
      </c>
    </row>
    <row r="5" ht="15" customHeight="1" s="68">
      <c r="A5" s="183" t="inlineStr">
        <is>
          <t>ICICI Bank</t>
        </is>
      </c>
      <c r="B5" s="188" t="n">
        <v>1280</v>
      </c>
      <c r="C5" s="188" t="n">
        <v>75.70999999999999</v>
      </c>
      <c r="D5" s="188" t="n">
        <v>503</v>
      </c>
      <c r="E5" s="204" t="n">
        <v>57936</v>
      </c>
      <c r="F5" s="235">
        <f>IF(C5&gt;0,B5/C5,"n/a")</f>
        <v/>
      </c>
      <c r="G5" s="235">
        <f>IF(D5&gt;0,B5/D5,"n/a")</f>
        <v/>
      </c>
    </row>
    <row r="6" ht="15" customHeight="1" s="68">
      <c r="A6" s="183" t="inlineStr">
        <is>
          <t>HDFC Bank</t>
        </is>
      </c>
      <c r="B6" s="188" t="n">
        <v>747.05</v>
      </c>
      <c r="C6" s="188" t="n">
        <v>49.39</v>
      </c>
      <c r="D6" s="188" t="n">
        <v>378</v>
      </c>
      <c r="E6" s="204" t="n">
        <v>79219</v>
      </c>
      <c r="F6" s="235">
        <f>IF(C6&gt;0,B6/C6,"n/a")</f>
        <v/>
      </c>
      <c r="G6" s="235">
        <f>IF(D6&gt;0,B6/D6,"n/a")</f>
        <v/>
      </c>
    </row>
    <row r="7" ht="15" customHeight="1" s="68">
      <c r="A7" s="183" t="inlineStr">
        <is>
          <t>Kotak Mahindra Bank</t>
        </is>
      </c>
      <c r="B7" s="188" t="n">
        <v>2000</v>
      </c>
      <c r="C7" s="188" t="n">
        <v>95</v>
      </c>
      <c r="D7" s="188" t="n">
        <v>784</v>
      </c>
      <c r="E7" s="204" t="n"/>
      <c r="F7" s="235">
        <f>IF(C7&gt;0,B7/C7,"n/a")</f>
        <v/>
      </c>
      <c r="G7" s="235">
        <f>IF(D7&gt;0,B7/D7,"n/a")</f>
        <v/>
      </c>
    </row>
    <row r="8" ht="15" customHeight="1" s="68">
      <c r="A8" s="183" t="inlineStr">
        <is>
          <t>Axis Bank</t>
        </is>
      </c>
      <c r="B8" s="188" t="n">
        <v>1352.9</v>
      </c>
      <c r="C8" s="188" t="n">
        <v>96</v>
      </c>
      <c r="D8" s="188" t="n">
        <v>680</v>
      </c>
      <c r="E8" s="204" t="n"/>
      <c r="F8" s="235">
        <f>IF(C8&gt;0,B8/C8,"n/a")</f>
        <v/>
      </c>
      <c r="G8" s="235">
        <f>IF(D8&gt;0,B8/D8,"n/a")</f>
        <v/>
      </c>
    </row>
    <row r="9" ht="15" customHeight="1" s="68">
      <c r="A9" s="183" t="inlineStr">
        <is>
          <t>State Bank of India</t>
        </is>
      </c>
      <c r="B9" s="188" t="n">
        <v>1004.1</v>
      </c>
      <c r="C9" s="188" t="n">
        <v>92</v>
      </c>
      <c r="D9" s="188" t="n">
        <v>702</v>
      </c>
      <c r="E9" s="204" t="n"/>
      <c r="F9" s="235">
        <f>IF(C9&gt;0,B9/C9,"n/a")</f>
        <v/>
      </c>
      <c r="G9" s="235">
        <f>IF(D9&gt;0,B9/D9,"n/a")</f>
        <v/>
      </c>
    </row>
    <row r="10"/>
    <row r="11"/>
    <row r="12">
      <c r="A12" s="236" t="inlineStr">
        <is>
          <t>MARKET APPROACH — COMPARABLE COMPANY ANALYSIS</t>
        </is>
      </c>
      <c r="B12" s="237" t="n"/>
      <c r="C12" s="237" t="n"/>
      <c r="D12" s="237" t="n"/>
      <c r="E12" s="237" t="n"/>
      <c r="F12" s="237" t="n"/>
      <c r="G12" s="238" t="n"/>
    </row>
    <row r="13">
      <c r="A13" s="239" t="inlineStr">
        <is>
          <t>Peer median P/E (x)</t>
        </is>
      </c>
      <c r="B13" s="240">
        <f>MEDIAN(F6:F9)</f>
        <v/>
      </c>
    </row>
    <row r="14">
      <c r="A14" s="239" t="inlineStr">
        <is>
          <t>Peer median P/B (x)</t>
        </is>
      </c>
      <c r="B14" s="241">
        <f>MEDIAN(G6:G9)</f>
        <v/>
      </c>
    </row>
    <row r="15">
      <c r="A15" s="239" t="inlineStr">
        <is>
          <t>Implied value — median P/B × FY26 BVPS (₹)</t>
        </is>
      </c>
      <c r="B15" s="242">
        <f>B14*D5</f>
        <v/>
      </c>
    </row>
    <row r="16"/>
    <row r="17">
      <c r="A17" s="236" t="inlineStr">
        <is>
          <t>VALUATION TRIANGULATION — FOOTBALL FIELD</t>
        </is>
      </c>
      <c r="B17" s="237" t="n"/>
      <c r="C17" s="237" t="n"/>
      <c r="D17" s="237" t="n"/>
      <c r="E17" s="237" t="n"/>
      <c r="F17" s="237" t="n"/>
      <c r="G17" s="238" t="n"/>
    </row>
    <row r="18">
      <c r="A18" s="243" t="inlineStr">
        <is>
          <t>Method</t>
        </is>
      </c>
      <c r="B18" s="243" t="inlineStr">
        <is>
          <t>Low (₹)</t>
        </is>
      </c>
      <c r="C18" s="243" t="inlineStr">
        <is>
          <t>Base (₹)</t>
        </is>
      </c>
      <c r="D18" s="243" t="inlineStr">
        <is>
          <t>High (₹)</t>
        </is>
      </c>
    </row>
    <row r="19">
      <c r="A19" s="244" t="inlineStr">
        <is>
          <t>Excess-return / RI</t>
        </is>
      </c>
      <c r="B19" s="242">
        <f>Valuation!B19*0.9</f>
        <v/>
      </c>
      <c r="C19" s="242">
        <f>Valuation!B19</f>
        <v/>
      </c>
      <c r="D19" s="242">
        <f>Valuation!B19*1.1</f>
        <v/>
      </c>
    </row>
    <row r="20">
      <c r="A20" s="244" t="inlineStr">
        <is>
          <t>Comparable companies</t>
        </is>
      </c>
      <c r="B20" s="242">
        <f>B15*0.9</f>
        <v/>
      </c>
      <c r="C20" s="242">
        <f>B15</f>
        <v/>
      </c>
      <c r="D20" s="242">
        <f>B15*1.1</f>
        <v/>
      </c>
    </row>
    <row r="21">
      <c r="A21" s="239" t="inlineStr">
        <is>
          <t>Blended target (70% intrinsic / 30% comps)</t>
        </is>
      </c>
      <c r="C21" s="245">
        <f>0.7*Valuation!B19+0.3*B15</f>
        <v/>
      </c>
    </row>
    <row r="22">
      <c r="A22" s="244" t="inlineStr">
        <is>
          <t>Current market price (₹)</t>
        </is>
      </c>
      <c r="C22" s="242">
        <f>B5</f>
        <v/>
      </c>
    </row>
    <row r="23">
      <c r="A23" s="239" t="inlineStr">
        <is>
          <t>Implied upside / (downside)</t>
        </is>
      </c>
      <c r="C23" s="246">
        <f>C21/B5-1</f>
        <v/>
      </c>
    </row>
    <row r="24"/>
    <row r="25">
      <c r="A25" s="247" t="inlineStr">
        <is>
          <t>Peer multiples researched as of Jun 2026 (Kotak price to be verified). Refresh peer inputs before publication.</t>
        </is>
      </c>
    </row>
  </sheetData>
  <mergeCells count="2">
    <mergeCell ref="A12:G12"/>
    <mergeCell ref="A17:G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2026-06-11T15:17:33Z</dcterms:created>
  <dcterms:modified xmlns:dcterms="http://purl.org/dc/terms/" xmlns:xsi="http://www.w3.org/2001/XMLSchema-instance" xsi:type="dcterms:W3CDTF">2026-07-04T15:24:59Z</dcterms:modified>
  <cp:revision>0</cp:revision>
</cp:coreProperties>
</file>