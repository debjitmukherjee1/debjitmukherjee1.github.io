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aluation Summary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Key Ratios" sheetId="6" state="visible" r:id="rId6"/>
    <sheet xmlns:r="http://schemas.openxmlformats.org/officeDocument/2006/relationships" name="Peer Comps" sheetId="7" state="visible" r:id="rId7"/>
  </sheets>
  <definedNames>
    <definedName name="_xlnm.Print_Area" localSheetId="1">'Valuation Summary'!$A$1:$E$29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#,##0;\(#,##0\)"/>
    <numFmt numFmtId="165" formatCode="\$#,##0;&quot;($&quot;#,##0\);\-"/>
    <numFmt numFmtId="166" formatCode="0.0%;\(0.0%\);\-"/>
    <numFmt numFmtId="167" formatCode="\$#,##0.00;&quot;($&quot;#,##0.00\);\-"/>
    <numFmt numFmtId="168" formatCode="#,##0;\(#,##0\);\-"/>
    <numFmt numFmtId="169" formatCode="0.0\x"/>
    <numFmt numFmtId="170" formatCode="0.0&quot;x&quot;"/>
    <numFmt numFmtId="171" formatCode="0.0%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2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1F1F1F"/>
      <sz val="10"/>
    </font>
    <font>
      <name val="Arial"/>
      <charset val="1"/>
      <family val="0"/>
      <color rgb="FF1F1F1F"/>
      <sz val="10"/>
    </font>
    <font>
      <name val="Arial"/>
      <charset val="1"/>
      <family val="0"/>
      <color rgb="FF0000FF"/>
      <sz val="10"/>
      <u val="single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008000"/>
      <sz val="10"/>
    </font>
    <font>
      <name val="Arial"/>
      <charset val="1"/>
      <family val="0"/>
      <b val="1"/>
      <color rgb="FFB8000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B00D18"/>
      <sz val="10"/>
    </font>
    <font>
      <name val="Arial"/>
      <charset val="1"/>
      <family val="0"/>
      <color rgb="FFFFFFFF"/>
      <sz val="10"/>
    </font>
    <font>
      <name val="Calibri"/>
      <b val="1"/>
      <color rgb="00FFFFFF"/>
      <sz val="14"/>
    </font>
    <font>
      <name val="Calibri"/>
      <i val="1"/>
      <color rgb="00595959"/>
      <sz val="9.5"/>
    </font>
    <font>
      <name val="Calibri"/>
      <b val="1"/>
      <color rgb="00FFFFFF"/>
      <sz val="10.5"/>
    </font>
    <font>
      <b val="1"/>
    </font>
    <font>
      <b val="1"/>
      <color rgb="00FFFFFF"/>
    </font>
    <font>
      <i val="1"/>
      <color rgb="00595959"/>
      <sz val="9.5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FFB00D18"/>
        <bgColor rgb="FFB80000"/>
      </patternFill>
    </fill>
    <fill>
      <patternFill patternType="solid">
        <fgColor rgb="FFFDEDEE"/>
        <bgColor rgb="FFFFFFFF"/>
      </patternFill>
    </fill>
    <fill>
      <patternFill patternType="solid">
        <fgColor rgb="FFD93A42"/>
        <bgColor rgb="FF993366"/>
      </patternFill>
    </fill>
    <fill>
      <patternFill patternType="solid">
        <fgColor rgb="FFFFFFFF"/>
        <bgColor rgb="FFFDEDEE"/>
      </patternFill>
    </fill>
    <fill>
      <patternFill patternType="solid">
        <fgColor rgb="FFFADBD8"/>
        <bgColor rgb="FFFDEDEE"/>
      </patternFill>
    </fill>
    <fill>
      <patternFill patternType="solid">
        <fgColor rgb="00A8132A"/>
      </patternFill>
    </fill>
    <fill>
      <patternFill patternType="solid">
        <fgColor rgb="00EEF2F8"/>
      </patternFill>
    </fill>
    <fill>
      <patternFill patternType="solid">
        <fgColor rgb="001F3864"/>
      </patternFill>
    </fill>
    <fill>
      <patternFill patternType="solid">
        <fgColor rgb="002E5496"/>
      </patternFill>
    </fill>
  </fills>
  <borders count="16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1E1E1E"/>
      </top>
      <bottom style="thin">
        <color rgb="FF1E1E1E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1E1E1E"/>
      </top>
      <bottom/>
      <diagonal/>
    </border>
    <border>
      <left/>
      <right style="thin">
        <color rgb="FFDDDDDD"/>
      </right>
      <top style="thin">
        <color rgb="FF1E1E1E"/>
      </top>
      <bottom/>
      <diagonal/>
    </border>
    <border>
      <left/>
      <right/>
      <top style="thin">
        <color rgb="FF1E1E1E"/>
      </top>
      <bottom style="thin">
        <color rgb="FF1E1E1E"/>
      </bottom>
      <diagonal/>
    </border>
    <border>
      <left/>
      <right style="thin">
        <color rgb="FFDDDDDD"/>
      </right>
      <top style="thin">
        <color rgb="FF1E1E1E"/>
      </top>
      <bottom style="thin">
        <color rgb="FF1E1E1E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left" vertical="center" indent="2"/>
    </xf>
    <xf numFmtId="0" fontId="6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center" indent="2"/>
    </xf>
    <xf numFmtId="0" fontId="7" fillId="3" borderId="0" applyAlignment="1" pivotButton="0" quotePrefix="0" xfId="0">
      <alignment horizontal="left" vertical="center" indent="2"/>
    </xf>
    <xf numFmtId="0" fontId="6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 indent="1"/>
    </xf>
    <xf numFmtId="0" fontId="10" fillId="3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 indent="1"/>
    </xf>
    <xf numFmtId="0" fontId="0" fillId="5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left" vertical="center" indent="1"/>
    </xf>
    <xf numFmtId="0" fontId="9" fillId="3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4" fillId="2" borderId="1" applyAlignment="1" pivotButton="0" quotePrefix="0" xfId="0">
      <alignment horizontal="left" vertical="center" indent="1"/>
    </xf>
    <xf numFmtId="0" fontId="4" fillId="2" borderId="2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indent="2"/>
    </xf>
    <xf numFmtId="0" fontId="6" fillId="2" borderId="2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left" vertical="center"/>
    </xf>
    <xf numFmtId="164" fontId="11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general" vertical="bottom"/>
    </xf>
    <xf numFmtId="0" fontId="15" fillId="3" borderId="1" applyAlignment="1" pivotButton="0" quotePrefix="0" xfId="0">
      <alignment horizontal="left" vertical="center" indent="1"/>
    </xf>
    <xf numFmtId="165" fontId="15" fillId="3" borderId="1" applyAlignment="1" pivotButton="0" quotePrefix="0" xfId="0">
      <alignment horizontal="right" vertical="center"/>
    </xf>
    <xf numFmtId="166" fontId="9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general" vertical="bottom"/>
    </xf>
    <xf numFmtId="0" fontId="16" fillId="6" borderId="3" applyAlignment="1" pivotButton="0" quotePrefix="0" xfId="0">
      <alignment horizontal="left" vertical="center" indent="1"/>
    </xf>
    <xf numFmtId="165" fontId="16" fillId="6" borderId="3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center" indent="1"/>
    </xf>
    <xf numFmtId="165" fontId="9" fillId="3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center" indent="1"/>
    </xf>
    <xf numFmtId="167" fontId="15" fillId="3" borderId="1" applyAlignment="1" pivotButton="0" quotePrefix="0" xfId="0">
      <alignment horizontal="right" vertical="center"/>
    </xf>
    <xf numFmtId="168" fontId="15" fillId="3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general" vertical="bottom"/>
    </xf>
    <xf numFmtId="0" fontId="15" fillId="6" borderId="3" applyAlignment="1" pivotButton="0" quotePrefix="0" xfId="0">
      <alignment horizontal="left" vertical="center" indent="1"/>
    </xf>
    <xf numFmtId="165" fontId="15" fillId="6" borderId="3" applyAlignment="1" pivotButton="0" quotePrefix="0" xfId="0">
      <alignment horizontal="right" vertical="center"/>
    </xf>
    <xf numFmtId="165" fontId="17" fillId="4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 indent="1"/>
    </xf>
    <xf numFmtId="165" fontId="11" fillId="3" borderId="1" applyAlignment="1" pivotButton="0" quotePrefix="0" xfId="0">
      <alignment horizontal="right" vertical="center"/>
    </xf>
    <xf numFmtId="165" fontId="15" fillId="3" borderId="1" applyAlignment="1" pivotButton="0" quotePrefix="0" xfId="0">
      <alignment horizontal="center" vertical="center"/>
    </xf>
    <xf numFmtId="165" fontId="16" fillId="6" borderId="3" applyAlignment="1" pivotButton="0" quotePrefix="0" xfId="0">
      <alignment horizontal="center" vertical="center"/>
    </xf>
    <xf numFmtId="166" fontId="15" fillId="3" borderId="1" applyAlignment="1" pivotButton="0" quotePrefix="0" xfId="0">
      <alignment horizontal="center" vertical="center"/>
    </xf>
    <xf numFmtId="166" fontId="1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bottom"/>
    </xf>
    <xf numFmtId="169" fontId="15" fillId="3" borderId="1" applyAlignment="1" pivotButton="0" quotePrefix="0" xfId="0">
      <alignment horizontal="center" vertical="center"/>
    </xf>
    <xf numFmtId="169" fontId="11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left" vertical="center" indent="2"/>
    </xf>
    <xf numFmtId="0" fontId="6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center" indent="2"/>
    </xf>
    <xf numFmtId="0" fontId="7" fillId="3" borderId="0" applyAlignment="1" pivotButton="0" quotePrefix="0" xfId="0">
      <alignment horizontal="left" vertical="center" indent="2"/>
    </xf>
    <xf numFmtId="0" fontId="6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 indent="1"/>
    </xf>
    <xf numFmtId="0" fontId="10" fillId="3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 indent="1"/>
    </xf>
    <xf numFmtId="0" fontId="0" fillId="5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left" vertical="center" indent="1"/>
    </xf>
    <xf numFmtId="0" fontId="9" fillId="3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4" fillId="2" borderId="1" applyAlignment="1" pivotButton="0" quotePrefix="0" xfId="0">
      <alignment horizontal="left" vertical="center" indent="1"/>
    </xf>
    <xf numFmtId="0" fontId="0" fillId="0" borderId="6" pivotButton="0" quotePrefix="0" xfId="0"/>
    <xf numFmtId="0" fontId="0" fillId="0" borderId="2" pivotButton="0" quotePrefix="0" xfId="0"/>
    <xf numFmtId="0" fontId="4" fillId="2" borderId="2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indent="2"/>
    </xf>
    <xf numFmtId="0" fontId="6" fillId="2" borderId="2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left" vertical="center"/>
    </xf>
    <xf numFmtId="164" fontId="11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general" vertical="bottom"/>
    </xf>
    <xf numFmtId="0" fontId="15" fillId="3" borderId="1" applyAlignment="1" pivotButton="0" quotePrefix="0" xfId="0">
      <alignment horizontal="left" vertical="center" indent="1"/>
    </xf>
    <xf numFmtId="165" fontId="15" fillId="3" borderId="1" applyAlignment="1" pivotButton="0" quotePrefix="0" xfId="0">
      <alignment horizontal="right" vertical="center"/>
    </xf>
    <xf numFmtId="166" fontId="9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general" vertical="bottom"/>
    </xf>
    <xf numFmtId="0" fontId="16" fillId="6" borderId="3" applyAlignment="1" pivotButton="0" quotePrefix="0" xfId="0">
      <alignment horizontal="left" vertical="center" indent="1"/>
    </xf>
    <xf numFmtId="0" fontId="0" fillId="0" borderId="9" pivotButton="0" quotePrefix="0" xfId="0"/>
    <xf numFmtId="0" fontId="0" fillId="0" borderId="10" pivotButton="0" quotePrefix="0" xfId="0"/>
    <xf numFmtId="165" fontId="16" fillId="6" borderId="3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center" indent="1"/>
    </xf>
    <xf numFmtId="165" fontId="9" fillId="3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center" indent="1"/>
    </xf>
    <xf numFmtId="167" fontId="15" fillId="3" borderId="1" applyAlignment="1" pivotButton="0" quotePrefix="0" xfId="0">
      <alignment horizontal="right" vertical="center"/>
    </xf>
    <xf numFmtId="168" fontId="15" fillId="3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general" vertical="bottom"/>
    </xf>
    <xf numFmtId="0" fontId="15" fillId="6" borderId="3" applyAlignment="1" pivotButton="0" quotePrefix="0" xfId="0">
      <alignment horizontal="left" vertical="center" indent="1"/>
    </xf>
    <xf numFmtId="165" fontId="15" fillId="6" borderId="3" applyAlignment="1" pivotButton="0" quotePrefix="0" xfId="0">
      <alignment horizontal="right" vertical="center"/>
    </xf>
    <xf numFmtId="165" fontId="17" fillId="4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 indent="1"/>
    </xf>
    <xf numFmtId="165" fontId="11" fillId="3" borderId="1" applyAlignment="1" pivotButton="0" quotePrefix="0" xfId="0">
      <alignment horizontal="right" vertical="center"/>
    </xf>
    <xf numFmtId="165" fontId="15" fillId="3" borderId="1" applyAlignment="1" pivotButton="0" quotePrefix="0" xfId="0">
      <alignment horizontal="center" vertical="center"/>
    </xf>
    <xf numFmtId="165" fontId="16" fillId="6" borderId="3" applyAlignment="1" pivotButton="0" quotePrefix="0" xfId="0">
      <alignment horizontal="center" vertical="center"/>
    </xf>
    <xf numFmtId="166" fontId="15" fillId="3" borderId="1" applyAlignment="1" pivotButton="0" quotePrefix="0" xfId="0">
      <alignment horizontal="center" vertical="center"/>
    </xf>
    <xf numFmtId="166" fontId="1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bottom"/>
    </xf>
    <xf numFmtId="169" fontId="15" fillId="3" borderId="1" applyAlignment="1" pivotButton="0" quotePrefix="0" xfId="0">
      <alignment horizontal="center" vertical="center"/>
    </xf>
    <xf numFmtId="169" fontId="11" fillId="3" borderId="1" applyAlignment="1" pivotButton="0" quotePrefix="0" xfId="0">
      <alignment horizontal="center" vertical="center"/>
    </xf>
    <xf numFmtId="0" fontId="18" fillId="7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20" fillId="7" borderId="11" applyAlignment="1" pivotButton="0" quotePrefix="0" xfId="0">
      <alignment horizontal="left"/>
    </xf>
    <xf numFmtId="0" fontId="20" fillId="7" borderId="11" applyAlignment="1" pivotButton="0" quotePrefix="0" xfId="0">
      <alignment horizontal="center"/>
    </xf>
    <xf numFmtId="0" fontId="21" fillId="0" borderId="11" pivotButton="0" quotePrefix="0" xfId="0"/>
    <xf numFmtId="4" fontId="21" fillId="0" borderId="11" pivotButton="0" quotePrefix="0" xfId="0"/>
    <xf numFmtId="170" fontId="21" fillId="0" borderId="11" pivotButton="0" quotePrefix="0" xfId="0"/>
    <xf numFmtId="0" fontId="0" fillId="8" borderId="11" pivotButton="0" quotePrefix="0" xfId="0"/>
    <xf numFmtId="4" fontId="0" fillId="8" borderId="11" pivotButton="0" quotePrefix="0" xfId="0"/>
    <xf numFmtId="170" fontId="0" fillId="8" borderId="11" pivotButton="0" quotePrefix="0" xfId="0"/>
    <xf numFmtId="0" fontId="0" fillId="0" borderId="11" pivotButton="0" quotePrefix="0" xfId="0"/>
    <xf numFmtId="4" fontId="0" fillId="0" borderId="11" pivotButton="0" quotePrefix="0" xfId="0"/>
    <xf numFmtId="170" fontId="0" fillId="0" borderId="11" pivotButton="0" quotePrefix="0" xfId="0"/>
    <xf numFmtId="0" fontId="22" fillId="7" borderId="11" pivotButton="0" quotePrefix="0" xfId="0"/>
    <xf numFmtId="0" fontId="0" fillId="0" borderId="14" pivotButton="0" quotePrefix="0" xfId="0"/>
    <xf numFmtId="0" fontId="0" fillId="0" borderId="15" pivotButton="0" quotePrefix="0" xfId="0"/>
    <xf numFmtId="171" fontId="0" fillId="0" borderId="11" pivotButton="0" quotePrefix="0" xfId="0"/>
    <xf numFmtId="0" fontId="23" fillId="0" borderId="0" applyAlignment="1" pivotButton="0" quotePrefix="0" xfId="0">
      <alignment vertical="top" wrapText="1"/>
    </xf>
    <xf numFmtId="0" fontId="24" fillId="9" borderId="0" pivotButton="0" quotePrefix="0" xfId="0"/>
    <xf numFmtId="0" fontId="22" fillId="10" borderId="0" pivotButton="0" quotePrefix="0" xfId="0"/>
    <xf numFmtId="3" fontId="0" fillId="0" borderId="0" pivotButton="0" quotePrefix="0" xfId="0"/>
    <xf numFmtId="0" fontId="21" fillId="0" borderId="0" pivotButton="0" quotePrefix="0" xfId="0"/>
    <xf numFmtId="2" fontId="0" fillId="0" borderId="0" pivotButton="0" quotePrefix="0" xfId="0"/>
    <xf numFmtId="171" fontId="0" fillId="0" borderId="0" pivotButton="0" quotePrefix="0" xfId="0"/>
    <xf numFmtId="9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D18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93A42"/>
      <rgbColor rgb="FFFDEDEE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B8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1E1E1E"/>
      <rgbColor rgb="FF993300"/>
      <rgbColor rgb="FF993366"/>
      <rgbColor rgb="FF333399"/>
      <rgbColor rgb="FF1F1F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B00D18"/>
    <outlinePr summaryBelow="1" summaryRight="1"/>
    <pageSetUpPr fitToPage="0"/>
  </sheetPr>
  <dimension ref="A2:H21"/>
  <sheetViews>
    <sheetView showFormulas="0" showGridLines="0" showRowColHeaders="1" showZeros="1" rightToLeft="0" tabSelected="0" showOutlineSymbols="1" defaultGridColor="1" view="normal" topLeftCell="A3" colorId="64" zoomScale="184" zoomScaleNormal="184" zoomScalePageLayoutView="100" workbookViewId="0">
      <selection pane="topLeft" activeCell="A1" activeCellId="0" sqref="A1"/>
    </sheetView>
  </sheetViews>
  <sheetFormatPr baseColWidth="8" defaultColWidth="8.83203125" defaultRowHeight="15" customHeight="0" zeroHeight="0" outlineLevelRow="0"/>
  <cols>
    <col width="3" customWidth="1" style="58" min="1" max="1"/>
    <col width="42" customWidth="1" style="58" min="2" max="2"/>
    <col width="16" customWidth="1" style="58" min="3" max="8"/>
  </cols>
  <sheetData>
    <row r="1" ht="9.75" customHeight="1" s="59"/>
    <row r="2" ht="45" customHeight="1" s="59">
      <c r="A2" s="60" t="n"/>
      <c r="B2" s="61" t="inlineStr">
        <is>
          <t>THE COCA-COLA COMPANY (KO) — Business Model</t>
        </is>
      </c>
    </row>
    <row r="3" ht="24.75" customHeight="1" s="59">
      <c r="A3" s="62" t="n"/>
      <c r="B3" s="63" t="inlineStr">
        <is>
          <t>Consumer Staples | NYSE: KO | Fiscal Year End: December 31</t>
        </is>
      </c>
    </row>
    <row r="4" ht="18" customHeight="1" s="59">
      <c r="B4" s="64" t="inlineStr">
        <is>
          <t>Generated: April 23, 2026  |  All figures in USD millions ($MM) unless stated</t>
        </is>
      </c>
    </row>
    <row r="6" ht="21.75" customHeight="1" s="59">
      <c r="B6" s="65" t="inlineStr">
        <is>
          <t>WORKBOOK CONTENTS</t>
        </is>
      </c>
    </row>
    <row r="7" ht="18" customHeight="1" s="59">
      <c r="B7" s="66" t="inlineStr">
        <is>
          <t>#</t>
        </is>
      </c>
      <c r="C7" s="66" t="inlineStr">
        <is>
          <t>Sheet Name</t>
        </is>
      </c>
      <c r="D7" s="66" t="inlineStr">
        <is>
          <t>Description</t>
        </is>
      </c>
      <c r="E7" s="66" t="inlineStr">
        <is>
          <t>Navigate</t>
        </is>
      </c>
    </row>
    <row r="8" ht="18" customHeight="1" s="59">
      <c r="B8" s="67" t="n">
        <v>1</v>
      </c>
      <c r="C8" s="68" t="inlineStr">
        <is>
          <t>Income Statement</t>
        </is>
      </c>
      <c r="D8" s="68" t="inlineStr">
        <is>
          <t>Five-year historical P&amp;L (FY2020–FY2024)</t>
        </is>
      </c>
      <c r="E8" s="69" t="inlineStr">
        <is>
          <t>→ Go to Income Statement</t>
        </is>
      </c>
    </row>
    <row r="9" ht="18" customHeight="1" s="59">
      <c r="B9" s="70" t="n">
        <v>2</v>
      </c>
      <c r="C9" s="71" t="inlineStr">
        <is>
          <t>Balance Sheet</t>
        </is>
      </c>
      <c r="D9" s="71" t="inlineStr">
        <is>
          <t>Five-year historical balance sheet</t>
        </is>
      </c>
      <c r="E9" s="72" t="inlineStr">
        <is>
          <t>→ Go to Balance Sheet</t>
        </is>
      </c>
    </row>
    <row r="10" ht="18" customHeight="1" s="59">
      <c r="B10" s="67" t="n">
        <v>3</v>
      </c>
      <c r="C10" s="68" t="inlineStr">
        <is>
          <t>Cash Flow</t>
        </is>
      </c>
      <c r="D10" s="68" t="inlineStr">
        <is>
          <t>Five-year historical cash flow statement</t>
        </is>
      </c>
      <c r="E10" s="69" t="inlineStr">
        <is>
          <t>→ Go to Cash Flow</t>
        </is>
      </c>
    </row>
    <row r="11" ht="18" customHeight="1" s="59">
      <c r="B11" s="70" t="n">
        <v>4</v>
      </c>
      <c r="C11" s="71" t="inlineStr">
        <is>
          <t>Key Ratios</t>
        </is>
      </c>
      <c r="D11" s="71" t="inlineStr">
        <is>
          <t>Profitability, leverage &amp; efficiency metrics</t>
        </is>
      </c>
      <c r="E11" s="72" t="inlineStr">
        <is>
          <t>→ Go to Key Ratios</t>
        </is>
      </c>
    </row>
    <row r="12">
      <c r="E12" s="72" t="inlineStr">
        <is>
          <t>→ Go to Peer Comps</t>
        </is>
      </c>
    </row>
    <row r="14" ht="21.75" customHeight="1" s="59">
      <c r="B14" s="65" t="inlineStr">
        <is>
          <t>COLOR CODING LEGEND</t>
        </is>
      </c>
    </row>
    <row r="15" ht="15.75" customHeight="1" s="59">
      <c r="B15" s="73" t="inlineStr">
        <is>
          <t>Blue text</t>
        </is>
      </c>
      <c r="C15" s="74" t="n"/>
      <c r="D15" s="71" t="inlineStr">
        <is>
          <t>Hardcoded inputs / historical data sourced from filings</t>
        </is>
      </c>
      <c r="E15" s="74" t="n"/>
    </row>
    <row r="16" ht="15.75" customHeight="1" s="59">
      <c r="B16" s="75" t="inlineStr">
        <is>
          <t>Black text</t>
        </is>
      </c>
      <c r="C16" s="76" t="n"/>
      <c r="D16" s="68" t="inlineStr">
        <is>
          <t>Excel formulas &amp; calculated values</t>
        </is>
      </c>
      <c r="E16" s="76" t="n"/>
    </row>
    <row r="17" ht="15.75" customHeight="1" s="59">
      <c r="B17" s="77" t="inlineStr">
        <is>
          <t>Green text</t>
        </is>
      </c>
      <c r="C17" s="74" t="n"/>
      <c r="D17" s="71" t="inlineStr">
        <is>
          <t>Cross-sheet references / links</t>
        </is>
      </c>
      <c r="E17" s="74" t="n"/>
    </row>
    <row r="18" ht="15.75" customHeight="1" s="59">
      <c r="B18" s="78" t="inlineStr">
        <is>
          <t>Red header</t>
        </is>
      </c>
      <c r="C18" s="76" t="n"/>
      <c r="D18" s="68" t="inlineStr">
        <is>
          <t>Section &amp; table headers</t>
        </is>
      </c>
      <c r="E18" s="76" t="n"/>
    </row>
    <row r="19" ht="15.75" customHeight="1" s="59">
      <c r="B19" s="79" t="inlineStr">
        <is>
          <t>Pink fill</t>
        </is>
      </c>
      <c r="C19" s="74" t="n"/>
      <c r="D19" s="71" t="inlineStr">
        <is>
          <t>Totals / subtotals rows</t>
        </is>
      </c>
      <c r="E19" s="74" t="n"/>
    </row>
    <row r="21" ht="15" customHeight="1" s="59">
      <c r="B21" s="80" t="inlineStr">
        <is>
          <t>Source: The Coca-Cola Company 10-K Filings, FY2020–FY2024 (SEC EDGAR)  |  All $ in millions.</t>
        </is>
      </c>
    </row>
  </sheetData>
  <mergeCells count="6">
    <mergeCell ref="B14:H14"/>
    <mergeCell ref="B21:H21"/>
    <mergeCell ref="B4:H4"/>
    <mergeCell ref="B6:H6"/>
    <mergeCell ref="B2:H2"/>
    <mergeCell ref="B3:H3"/>
  </mergeCells>
  <hyperlinks>
    <hyperlink ref="E8" location="'Income Statement'!A1" display="→ Go to Income Statement"/>
    <hyperlink ref="E9" location="'Balance Sheet'!A1" display="→ Go to Balance Sheet"/>
    <hyperlink ref="E10" location="'Cash Flow'!A1" display="→ Go to Cash Flow"/>
    <hyperlink ref="E11" location="'Key Ratios'!A1" display="→ Go to Key Ratios"/>
    <hyperlink ref="E12" location="'Peer Comps'!A1" display="Go to Peer Comps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workbookViewId="0">
      <selection activeCell="A1" sqref="A1"/>
    </sheetView>
  </sheetViews>
  <sheetFormatPr baseColWidth="8" defaultRowHeight="15"/>
  <cols>
    <col width="34" customWidth="1" style="59" min="1" max="1"/>
    <col width="24" customWidth="1" style="59" min="2" max="2"/>
    <col width="14" customWidth="1" style="59" min="3" max="3"/>
    <col width="14" customWidth="1" style="59" min="4" max="4"/>
    <col width="14" customWidth="1" style="59" min="5" max="5"/>
  </cols>
  <sheetData>
    <row r="1">
      <c r="A1" s="139" t="inlineStr">
        <is>
          <t>The Coca-Cola Company (KO) — Multi-Method Valuation Summary</t>
        </is>
      </c>
    </row>
    <row r="2">
      <c r="A2" s="58" t="inlineStr">
        <is>
          <t>USD; per-share USD. Dividend King (64 yrs) — DDM-led valuation. Live $87 (28-Jul-2026), post-Q2 record high.</t>
        </is>
      </c>
    </row>
    <row r="4">
      <c r="A4" s="140" t="inlineStr">
        <is>
          <t>KEY INPUTS</t>
        </is>
      </c>
    </row>
    <row r="5">
      <c r="A5" s="58" t="inlineStr">
        <is>
          <t>Live share price ($)</t>
        </is>
      </c>
      <c r="B5" s="141" t="n">
        <v>87</v>
      </c>
    </row>
    <row r="6">
      <c r="A6" s="58" t="inlineStr">
        <is>
          <t>Shares (M)</t>
        </is>
      </c>
      <c r="B6" s="141" t="n">
        <v>4310</v>
      </c>
    </row>
    <row r="7">
      <c r="A7" s="58" t="inlineStr">
        <is>
          <t>Net debt ($M)</t>
        </is>
      </c>
      <c r="B7" s="141" t="n">
        <v>29000</v>
      </c>
    </row>
    <row r="8">
      <c r="A8" s="58" t="inlineStr">
        <is>
          <t>FY25 comparable EPS ($)</t>
        </is>
      </c>
      <c r="B8" s="58" t="n">
        <v>3</v>
      </c>
    </row>
    <row r="9">
      <c r="A9" s="58" t="inlineStr">
        <is>
          <t>FY26E EPS ($)</t>
        </is>
      </c>
      <c r="B9" s="58" t="n">
        <v>3.22</v>
      </c>
    </row>
    <row r="10">
      <c r="A10" s="58" t="inlineStr">
        <is>
          <t>FY25 dividend/share ($)</t>
        </is>
      </c>
      <c r="B10" s="58" t="n">
        <v>2.12</v>
      </c>
    </row>
    <row r="11">
      <c r="A11" s="58" t="inlineStr">
        <is>
          <t>FY26E EBITDA ($M)</t>
        </is>
      </c>
      <c r="B11" s="141" t="n">
        <v>15300</v>
      </c>
    </row>
    <row r="12">
      <c r="A12" s="58" t="inlineStr">
        <is>
          <t>Normalized FCF ($M)</t>
        </is>
      </c>
      <c r="B12" s="141" t="n">
        <v>10000</v>
      </c>
    </row>
    <row r="13">
      <c r="A13" s="58" t="inlineStr">
        <is>
          <t>Cost of equity Ke</t>
        </is>
      </c>
      <c r="B13" s="58" t="n">
        <v>0.0725</v>
      </c>
    </row>
    <row r="14">
      <c r="A14" s="58" t="inlineStr">
        <is>
          <t>Dividend growth g (Gordon)</t>
        </is>
      </c>
      <c r="B14" s="58" t="n">
        <v>0.05</v>
      </c>
    </row>
    <row r="16">
      <c r="A16" s="140" t="inlineStr">
        <is>
          <t>VALUATION METHODS</t>
        </is>
      </c>
    </row>
    <row r="17">
      <c r="A17" s="142" t="inlineStr">
        <is>
          <t>Method</t>
        </is>
      </c>
      <c r="B17" s="142" t="inlineStr">
        <is>
          <t>Assumption</t>
        </is>
      </c>
      <c r="C17" s="142" t="inlineStr">
        <is>
          <t>Value/share ($)</t>
        </is>
      </c>
      <c r="D17" s="142" t="inlineStr">
        <is>
          <t>vs price</t>
        </is>
      </c>
      <c r="E17" s="142" t="inlineStr">
        <is>
          <t>Weight</t>
        </is>
      </c>
    </row>
    <row r="18">
      <c r="A18" s="58" t="inlineStr">
        <is>
          <t>Dividend discount (Gordon)</t>
        </is>
      </c>
      <c r="B18" s="58" t="inlineStr">
        <is>
          <t>Ke 7.25%, g 5%</t>
        </is>
      </c>
      <c r="C18" s="143">
        <f>B10*(1+B14)/(B13-B14)</f>
        <v/>
      </c>
      <c r="D18" s="144">
        <f>C18/B5-1</f>
        <v/>
      </c>
      <c r="E18" s="145" t="n">
        <v>0.4</v>
      </c>
    </row>
    <row r="19">
      <c r="A19" s="58" t="inlineStr">
        <is>
          <t>P/E (relative)</t>
        </is>
      </c>
      <c r="B19" s="58" t="inlineStr">
        <is>
          <t>27x × FY26E EPS</t>
        </is>
      </c>
      <c r="C19" s="143">
        <f>27*B9</f>
        <v/>
      </c>
      <c r="D19" s="144">
        <f>C19/B5-1</f>
        <v/>
      </c>
      <c r="E19" s="145" t="n">
        <v>0.25</v>
      </c>
    </row>
    <row r="20">
      <c r="A20" s="58" t="inlineStr">
        <is>
          <t>EV/EBITDA (relative)</t>
        </is>
      </c>
      <c r="B20" s="58" t="inlineStr">
        <is>
          <t>24x × FY26E EBITDA</t>
        </is>
      </c>
      <c r="C20" s="143">
        <f>(24*B11-B7)/B6</f>
        <v/>
      </c>
      <c r="D20" s="144">
        <f>C20/B5-1</f>
        <v/>
      </c>
      <c r="E20" s="145" t="n">
        <v>0.2</v>
      </c>
    </row>
    <row r="21">
      <c r="A21" s="58" t="inlineStr">
        <is>
          <t>DCF (conservative floor)</t>
        </is>
      </c>
      <c r="B21" s="58" t="inlineStr">
        <is>
          <t>FCF, WACC 7%, term g 3%</t>
        </is>
      </c>
      <c r="C21" s="143" t="n">
        <v>59</v>
      </c>
      <c r="D21" s="144">
        <f>C21/B5-1</f>
        <v/>
      </c>
      <c r="E21" s="145" t="n">
        <v>0.15</v>
      </c>
    </row>
    <row r="23">
      <c r="A23" s="140" t="inlineStr">
        <is>
          <t>BLENDED VALUATION &amp; RATING</t>
        </is>
      </c>
    </row>
    <row r="24">
      <c r="A24" s="58" t="inlineStr">
        <is>
          <t>Blended fair value ($)</t>
        </is>
      </c>
      <c r="B24" s="143">
        <f>SUMPRODUCT(C18:C21,E18:E21)</f>
        <v/>
      </c>
    </row>
    <row r="25">
      <c r="A25" s="58" t="inlineStr">
        <is>
          <t>Upside / (downside) vs price</t>
        </is>
      </c>
      <c r="B25" s="144">
        <f>B24/B5-1</f>
        <v/>
      </c>
    </row>
    <row r="26">
      <c r="A26" s="58" t="inlineStr">
        <is>
          <t>Rating (total-return basis)</t>
        </is>
      </c>
      <c r="B26" s="58">
        <f>IF(B29&gt;0.14,"BUY",IF(B29&gt;0.06,"ACCUMULATE",IF(B29&gt;-0.04,"HOLD","REDUCE")))</f>
        <v/>
      </c>
    </row>
    <row r="27">
      <c r="A27" s="58" t="inlineStr">
        <is>
          <t>Note: A dividend aristocrat is best valued DDM-first; relative multiples (P/E, EV/EBITDA) capture the durable staple premium; the DCF is a conservative floor. ~2.6% growing yield adds to the total-return case.</t>
        </is>
      </c>
    </row>
    <row r="28">
      <c r="A28" s="58" t="inlineStr">
        <is>
          <t>Dividend yield (D/P)</t>
        </is>
      </c>
      <c r="B28" s="144">
        <f>B10/B5</f>
        <v/>
      </c>
    </row>
    <row r="29">
      <c r="A29" s="58" t="inlineStr">
        <is>
          <t>Total expected return (price + yield)</t>
        </is>
      </c>
      <c r="B29" s="144">
        <f>B25+B28</f>
        <v/>
      </c>
    </row>
  </sheetData>
  <mergeCells count="4">
    <mergeCell ref="A16:E16"/>
    <mergeCell ref="A1:E1"/>
    <mergeCell ref="A4:E4"/>
    <mergeCell ref="A23:E2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 filterMode="0">
    <tabColor rgb="FFB00D18"/>
    <outlinePr summaryBelow="1" summaryRight="1"/>
    <pageSetUpPr fitToPage="0"/>
  </sheetPr>
  <dimension ref="A2:M40"/>
  <sheetViews>
    <sheetView showFormulas="0" showGridLines="0" showRowColHeaders="1" showZeros="1" rightToLeft="0" tabSelected="0" showOutlineSymbols="1" defaultGridColor="1" view="normal" topLeftCell="A1" colorId="64" zoomScale="136" zoomScaleNormal="136" zoomScalePageLayoutView="100" workbookViewId="0">
      <selection pane="topLeft" activeCell="A1" activeCellId="0" sqref="A1"/>
    </sheetView>
  </sheetViews>
  <sheetFormatPr baseColWidth="8" defaultColWidth="8.83203125" defaultRowHeight="15" customHeight="0" zeroHeight="0" outlineLevelRow="0"/>
  <cols>
    <col width="3" customWidth="1" style="58" min="1" max="1"/>
    <col width="42" customWidth="1" style="58" min="2" max="2"/>
    <col width="15" customWidth="1" style="58" min="3" max="7"/>
    <col width="13" customWidth="1" style="58" min="8" max="13"/>
  </cols>
  <sheetData>
    <row r="1" ht="9.75" customHeight="1" s="59"/>
    <row r="2" ht="24" customHeight="1" s="59">
      <c r="A2" s="60" t="n"/>
      <c r="B2" s="81" t="inlineStr">
        <is>
          <t>INCOME STATEMENT</t>
        </is>
      </c>
      <c r="C2" s="82" t="n"/>
      <c r="D2" s="82" t="n"/>
      <c r="E2" s="82" t="n"/>
      <c r="F2" s="82" t="n"/>
      <c r="G2" s="82" t="n"/>
      <c r="H2" s="83" t="n"/>
      <c r="I2" s="84" t="n"/>
      <c r="J2" s="85" t="n"/>
      <c r="K2" s="85" t="n"/>
      <c r="L2" s="85" t="n"/>
      <c r="M2" s="60" t="n"/>
    </row>
    <row r="3" ht="19.5" customHeight="1" s="59">
      <c r="A3" s="62" t="n"/>
      <c r="B3" s="86" t="inlineStr">
        <is>
          <t>The Coca-Cola Company (KO)  |  FY2020 – FY2024  |  All figures in $MM</t>
        </is>
      </c>
      <c r="C3" s="82" t="n"/>
      <c r="D3" s="82" t="n"/>
      <c r="E3" s="82" t="n"/>
      <c r="F3" s="82" t="n"/>
      <c r="G3" s="82" t="n"/>
      <c r="H3" s="83" t="n"/>
      <c r="I3" s="87" t="n"/>
      <c r="J3" s="88" t="n"/>
      <c r="K3" s="88" t="n"/>
      <c r="L3" s="88" t="n"/>
      <c r="M3" s="62" t="n"/>
    </row>
    <row r="4" ht="15.75" customHeight="1" s="59">
      <c r="B4" s="89" t="n"/>
      <c r="C4" s="89" t="n"/>
      <c r="D4" s="89" t="n"/>
      <c r="E4" s="89" t="n"/>
      <c r="F4" s="89" t="n"/>
      <c r="G4" s="89" t="n"/>
      <c r="H4" s="89" t="n"/>
      <c r="I4" s="89" t="n"/>
      <c r="J4" s="89" t="n"/>
      <c r="K4" s="89" t="n"/>
      <c r="L4" s="89" t="n"/>
    </row>
    <row r="5" ht="18" customHeight="1" s="59">
      <c r="B5" s="90" t="inlineStr">
        <is>
          <t>Metric</t>
        </is>
      </c>
      <c r="C5" s="91" t="n">
        <v>2020</v>
      </c>
      <c r="D5" s="91" t="n">
        <v>2021</v>
      </c>
      <c r="E5" s="91" t="n">
        <v>2022</v>
      </c>
      <c r="F5" s="91" t="n">
        <v>2023</v>
      </c>
      <c r="G5" s="91" t="n">
        <v>2024</v>
      </c>
      <c r="H5" s="91" t="n">
        <v>2025</v>
      </c>
      <c r="I5" s="92" t="inlineStr">
        <is>
          <t>YoY Gr. 21</t>
        </is>
      </c>
      <c r="J5" s="92" t="inlineStr">
        <is>
          <t>YoY Gr. 22</t>
        </is>
      </c>
      <c r="K5" s="92" t="inlineStr">
        <is>
          <t>YoY Gr. 23</t>
        </is>
      </c>
      <c r="L5" s="92" t="inlineStr">
        <is>
          <t>YoY Gr. 24</t>
        </is>
      </c>
      <c r="M5" s="92" t="inlineStr">
        <is>
          <t>YoY Gr. 25</t>
        </is>
      </c>
    </row>
    <row r="6" ht="18" customHeight="1" s="59">
      <c r="B6" s="93" t="inlineStr">
        <is>
          <t>▸  REVENUE</t>
        </is>
      </c>
      <c r="C6" s="82" t="n"/>
      <c r="D6" s="82" t="n"/>
      <c r="E6" s="82" t="n"/>
      <c r="F6" s="82" t="n"/>
      <c r="G6" s="82" t="n"/>
      <c r="H6" s="82" t="n"/>
      <c r="I6" s="82" t="n"/>
      <c r="J6" s="82" t="n"/>
      <c r="K6" s="83" t="n"/>
      <c r="L6" s="94" t="n"/>
    </row>
    <row r="7" ht="15.75" customHeight="1" s="59">
      <c r="B7" s="95" t="inlineStr">
        <is>
          <t>Net Revenues</t>
        </is>
      </c>
      <c r="C7" s="96" t="n">
        <v>33014</v>
      </c>
      <c r="D7" s="96" t="n">
        <v>38655</v>
      </c>
      <c r="E7" s="96" t="n">
        <v>43004</v>
      </c>
      <c r="F7" s="96" t="n">
        <v>45754</v>
      </c>
      <c r="G7" s="96" t="n">
        <v>47061</v>
      </c>
      <c r="H7" s="96" t="n">
        <v>47941</v>
      </c>
      <c r="I7" s="97">
        <f>(D7-C7)/C7</f>
        <v/>
      </c>
      <c r="J7" s="97">
        <f>(E7-D7)/D7</f>
        <v/>
      </c>
      <c r="K7" s="97">
        <f>(F7-E7)/E7</f>
        <v/>
      </c>
      <c r="L7" s="97">
        <f>(G7-F7)/F7</f>
        <v/>
      </c>
      <c r="M7" s="97">
        <f>(H7-G7)/G7</f>
        <v/>
      </c>
    </row>
    <row r="8" ht="15.75" customHeight="1" s="59">
      <c r="B8" s="95" t="inlineStr">
        <is>
          <t xml:space="preserve">  Cost of Sales</t>
        </is>
      </c>
      <c r="C8" s="96" t="n">
        <v>13433</v>
      </c>
      <c r="D8" s="96" t="n">
        <v>15357</v>
      </c>
      <c r="E8" s="96" t="n">
        <v>18000</v>
      </c>
      <c r="F8" s="96" t="n">
        <v>18520</v>
      </c>
      <c r="G8" s="96" t="n">
        <v>18324</v>
      </c>
      <c r="H8" s="96" t="n">
        <v>18397</v>
      </c>
      <c r="I8" s="98" t="n"/>
      <c r="J8" s="98" t="n"/>
      <c r="K8" s="98" t="n"/>
      <c r="L8" s="98" t="n"/>
    </row>
    <row r="9" ht="7.5" customHeight="1" s="59">
      <c r="B9" s="89" t="n"/>
      <c r="C9" s="89" t="n"/>
      <c r="D9" s="89" t="n"/>
      <c r="E9" s="89" t="n"/>
      <c r="F9" s="89" t="n"/>
      <c r="G9" s="89" t="n"/>
      <c r="H9" s="89" t="n"/>
      <c r="I9" s="89" t="n"/>
      <c r="J9" s="89" t="n"/>
      <c r="K9" s="89" t="n"/>
      <c r="L9" s="89" t="n"/>
    </row>
    <row r="10" ht="18" customHeight="1" s="59">
      <c r="B10" s="99" t="inlineStr">
        <is>
          <t>▸  GROSS PROFIT</t>
        </is>
      </c>
      <c r="C10" s="100" t="n"/>
      <c r="D10" s="100" t="n"/>
      <c r="E10" s="100" t="n"/>
      <c r="F10" s="100" t="n"/>
      <c r="G10" s="100" t="n"/>
      <c r="H10" s="100" t="n"/>
      <c r="I10" s="100" t="n"/>
      <c r="J10" s="100" t="n"/>
      <c r="K10" s="101" t="n"/>
      <c r="L10" s="94" t="n"/>
    </row>
    <row r="11" ht="15.75" customHeight="1" s="59">
      <c r="B11" s="99" t="inlineStr">
        <is>
          <t>Gross Profit</t>
        </is>
      </c>
      <c r="C11" s="102">
        <f>C7-C8</f>
        <v/>
      </c>
      <c r="D11" s="102">
        <f>D7-D8</f>
        <v/>
      </c>
      <c r="E11" s="102">
        <f>E7-E8</f>
        <v/>
      </c>
      <c r="F11" s="102">
        <f>F7-F8</f>
        <v/>
      </c>
      <c r="G11" s="102">
        <f>G7-G8</f>
        <v/>
      </c>
      <c r="H11" s="102">
        <f>H7-H8</f>
        <v/>
      </c>
      <c r="I11" s="89" t="n"/>
      <c r="J11" s="89" t="n"/>
      <c r="K11" s="89" t="n"/>
      <c r="L11" s="89" t="n"/>
    </row>
    <row r="12" ht="13.5" customHeight="1" s="59">
      <c r="B12" s="103" t="inlineStr">
        <is>
          <t xml:space="preserve">  Gross Profit Margin</t>
        </is>
      </c>
      <c r="C12" s="97">
        <f>C11/C7</f>
        <v/>
      </c>
      <c r="D12" s="97">
        <f>D11/D7</f>
        <v/>
      </c>
      <c r="E12" s="97">
        <f>E11/E7</f>
        <v/>
      </c>
      <c r="F12" s="97">
        <f>F11/F7</f>
        <v/>
      </c>
      <c r="G12" s="97">
        <f>G11/G7</f>
        <v/>
      </c>
      <c r="H12" s="97">
        <f>H11/H7</f>
        <v/>
      </c>
      <c r="I12" s="98" t="n"/>
      <c r="J12" s="104" t="n"/>
      <c r="K12" s="98" t="n"/>
      <c r="L12" s="98" t="n"/>
    </row>
    <row r="13" ht="7.5" customHeight="1" s="59">
      <c r="B13" s="89" t="n"/>
      <c r="C13" s="89" t="n"/>
      <c r="D13" s="89" t="n"/>
      <c r="E13" s="89" t="n"/>
      <c r="F13" s="89" t="n"/>
      <c r="G13" s="89" t="n"/>
      <c r="H13" s="89" t="n"/>
      <c r="I13" s="89" t="n"/>
      <c r="J13" s="89" t="n"/>
      <c r="K13" s="89" t="n"/>
      <c r="L13" s="89" t="n"/>
    </row>
    <row r="14" ht="18" customHeight="1" s="59">
      <c r="B14" s="93" t="inlineStr">
        <is>
          <t>▸  OPERATING EXPENSES</t>
        </is>
      </c>
      <c r="C14" s="82" t="n"/>
      <c r="D14" s="82" t="n"/>
      <c r="E14" s="82" t="n"/>
      <c r="F14" s="82" t="n"/>
      <c r="G14" s="82" t="n"/>
      <c r="H14" s="82" t="n"/>
      <c r="I14" s="82" t="n"/>
      <c r="J14" s="82" t="n"/>
      <c r="K14" s="83" t="n"/>
      <c r="L14" s="94" t="n"/>
    </row>
    <row r="15" ht="15.75" customHeight="1" s="59">
      <c r="B15" s="95" t="inlineStr">
        <is>
          <t xml:space="preserve">  SG&amp;A Expenses</t>
        </is>
      </c>
      <c r="C15" s="96" t="n">
        <v>9731</v>
      </c>
      <c r="D15" s="96" t="n">
        <v>12144</v>
      </c>
      <c r="E15" s="96" t="n">
        <v>12880</v>
      </c>
      <c r="F15" s="96" t="n">
        <v>13972</v>
      </c>
      <c r="G15" s="96" t="n">
        <v>14582</v>
      </c>
      <c r="H15" s="96" t="n">
        <v>14521</v>
      </c>
      <c r="I15" s="89" t="n"/>
      <c r="J15" s="89" t="n"/>
      <c r="K15" s="89" t="n"/>
      <c r="L15" s="89" t="n"/>
    </row>
    <row r="16" ht="7.5" customHeight="1" s="59">
      <c r="B16" s="89" t="n"/>
      <c r="C16" s="89" t="n"/>
      <c r="D16" s="89" t="n"/>
      <c r="E16" s="89" t="n"/>
      <c r="F16" s="89" t="n"/>
      <c r="G16" s="89" t="n"/>
      <c r="H16" s="89" t="n"/>
      <c r="I16" s="89" t="n"/>
      <c r="J16" s="89" t="n"/>
      <c r="K16" s="89" t="n"/>
      <c r="L16" s="89" t="n"/>
    </row>
    <row r="17" ht="18" customHeight="1" s="59">
      <c r="B17" s="99" t="inlineStr">
        <is>
          <t>▸  OPERATING PROFIT (EBIT)</t>
        </is>
      </c>
      <c r="C17" s="100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94" t="n"/>
    </row>
    <row r="18" ht="15.75" customHeight="1" s="59">
      <c r="B18" s="99" t="inlineStr">
        <is>
          <t>Operating Profit (EBIT)</t>
        </is>
      </c>
      <c r="C18" s="102">
        <f>C11-C15</f>
        <v/>
      </c>
      <c r="D18" s="102">
        <f>D11-D15</f>
        <v/>
      </c>
      <c r="E18" s="102">
        <f>E11-E15</f>
        <v/>
      </c>
      <c r="F18" s="102">
        <f>F11-F15</f>
        <v/>
      </c>
      <c r="G18" s="102">
        <f>G11-G15</f>
        <v/>
      </c>
      <c r="H18" s="102">
        <f>H11-H15</f>
        <v/>
      </c>
      <c r="I18" s="89" t="n"/>
      <c r="J18" s="89" t="n"/>
      <c r="K18" s="89" t="n"/>
      <c r="L18" s="89" t="n"/>
    </row>
    <row r="19" ht="13.5" customHeight="1" s="59">
      <c r="B19" s="103" t="inlineStr">
        <is>
          <t xml:space="preserve">  EBIT Margin</t>
        </is>
      </c>
      <c r="C19" s="97">
        <f>C18/C7</f>
        <v/>
      </c>
      <c r="D19" s="97">
        <f>D18/D7</f>
        <v/>
      </c>
      <c r="E19" s="97">
        <f>E18/E7</f>
        <v/>
      </c>
      <c r="F19" s="97">
        <f>F18/F7</f>
        <v/>
      </c>
      <c r="G19" s="97">
        <f>G18/G7</f>
        <v/>
      </c>
      <c r="H19" s="97">
        <f>H18/H7</f>
        <v/>
      </c>
      <c r="I19" s="98" t="n"/>
      <c r="J19" s="98" t="n"/>
      <c r="K19" s="98" t="n"/>
      <c r="L19" s="98" t="n"/>
    </row>
    <row r="20" ht="7.5" customHeight="1" s="59">
      <c r="B20" s="89" t="n"/>
      <c r="C20" s="89" t="n"/>
      <c r="D20" s="89" t="n"/>
      <c r="E20" s="89" t="n"/>
      <c r="F20" s="89" t="n"/>
      <c r="G20" s="89" t="n"/>
      <c r="H20" s="89" t="n"/>
      <c r="I20" s="89" t="n"/>
      <c r="J20" s="89" t="n"/>
      <c r="K20" s="89" t="n"/>
      <c r="L20" s="89" t="n"/>
    </row>
    <row r="21" ht="18" customHeight="1" s="59">
      <c r="B21" s="93" t="inlineStr">
        <is>
          <t>▸  BELOW-THE-LINE ITEMS</t>
        </is>
      </c>
      <c r="C21" s="82" t="n"/>
      <c r="D21" s="82" t="n"/>
      <c r="E21" s="82" t="n"/>
      <c r="F21" s="82" t="n"/>
      <c r="G21" s="82" t="n"/>
      <c r="H21" s="82" t="n"/>
      <c r="I21" s="82" t="n"/>
      <c r="J21" s="82" t="n"/>
      <c r="K21" s="83" t="n"/>
      <c r="L21" s="94" t="n"/>
    </row>
    <row r="22" ht="15.75" customHeight="1" s="59">
      <c r="B22" s="95" t="inlineStr">
        <is>
          <t xml:space="preserve">  Interest Income</t>
        </is>
      </c>
      <c r="C22" s="96" t="n">
        <v>1348</v>
      </c>
      <c r="D22" s="96" t="n">
        <v>1714</v>
      </c>
      <c r="E22" s="96" t="n">
        <v>1921</v>
      </c>
      <c r="F22" s="96" t="n">
        <v>2598</v>
      </c>
      <c r="G22" s="96" t="n">
        <v>2758</v>
      </c>
      <c r="H22" s="96" t="n">
        <v>786</v>
      </c>
      <c r="I22" s="89" t="n"/>
      <c r="J22" s="89" t="n"/>
      <c r="K22" s="89" t="n"/>
      <c r="L22" s="89" t="n"/>
    </row>
    <row r="23" ht="15.75" customHeight="1" s="59">
      <c r="B23" s="95" t="inlineStr">
        <is>
          <t xml:space="preserve">  Interest Expense</t>
        </is>
      </c>
      <c r="C23" s="96" t="n">
        <v>-1437</v>
      </c>
      <c r="D23" s="96" t="n">
        <v>-1597</v>
      </c>
      <c r="E23" s="96" t="n">
        <v>-882</v>
      </c>
      <c r="F23" s="96" t="n">
        <v>-1527</v>
      </c>
      <c r="G23" s="96" t="n">
        <v>-1656</v>
      </c>
      <c r="H23" s="96" t="n">
        <v>-1654</v>
      </c>
      <c r="I23" s="98" t="n"/>
      <c r="J23" s="98" t="n"/>
      <c r="K23" s="98" t="n"/>
      <c r="L23" s="98" t="n"/>
    </row>
    <row r="24" ht="7.5" customHeight="1" s="59">
      <c r="B24" s="89" t="n"/>
      <c r="C24" s="89" t="n"/>
      <c r="D24" s="89" t="n"/>
      <c r="E24" s="89" t="n"/>
      <c r="F24" s="89" t="n"/>
      <c r="G24" s="89" t="n"/>
      <c r="H24" s="89" t="n"/>
      <c r="I24" s="89" t="n"/>
      <c r="J24" s="89" t="n"/>
      <c r="K24" s="89" t="n"/>
      <c r="L24" s="89" t="n"/>
    </row>
    <row r="25" ht="18" customHeight="1" s="59">
      <c r="B25" s="93" t="inlineStr">
        <is>
          <t>▸  PRE-TAX INCOME</t>
        </is>
      </c>
      <c r="C25" s="82" t="n"/>
      <c r="D25" s="82" t="n"/>
      <c r="E25" s="82" t="n"/>
      <c r="F25" s="82" t="n"/>
      <c r="G25" s="82" t="n"/>
      <c r="H25" s="82" t="n"/>
      <c r="I25" s="82" t="n"/>
      <c r="J25" s="82" t="n"/>
      <c r="K25" s="83" t="n"/>
      <c r="L25" s="94" t="n"/>
    </row>
    <row r="26" ht="15.75" customHeight="1" s="59">
      <c r="B26" s="99" t="inlineStr">
        <is>
          <t>Income Before Tax</t>
        </is>
      </c>
      <c r="C26" s="102" t="n">
        <v>9749</v>
      </c>
      <c r="D26" s="102" t="n">
        <v>12425</v>
      </c>
      <c r="E26" s="102" t="n">
        <v>11686</v>
      </c>
      <c r="F26" s="102" t="n">
        <v>12952</v>
      </c>
      <c r="G26" s="102" t="n">
        <v>13086</v>
      </c>
      <c r="H26" s="102" t="n">
        <v>15998</v>
      </c>
      <c r="I26" s="89" t="n"/>
      <c r="J26" s="89" t="n"/>
      <c r="K26" s="89" t="n"/>
      <c r="L26" s="89" t="n"/>
    </row>
    <row r="27" ht="15.75" customHeight="1" s="59">
      <c r="B27" s="95" t="inlineStr">
        <is>
          <t xml:space="preserve">  Income Tax Expense</t>
        </is>
      </c>
      <c r="C27" s="96" t="n">
        <v>1981</v>
      </c>
      <c r="D27" s="96" t="n">
        <v>2621</v>
      </c>
      <c r="E27" s="96" t="n">
        <v>2115</v>
      </c>
      <c r="F27" s="96" t="n">
        <v>2249</v>
      </c>
      <c r="G27" s="96" t="n">
        <v>2437</v>
      </c>
      <c r="H27" s="96" t="n">
        <v>2861</v>
      </c>
      <c r="I27" s="98" t="n"/>
      <c r="J27" s="98" t="n"/>
      <c r="K27" s="98" t="n"/>
      <c r="L27" s="98" t="n"/>
    </row>
    <row r="28" ht="13.5" customHeight="1" s="59">
      <c r="B28" s="105" t="inlineStr">
        <is>
          <t xml:space="preserve">  Effective Tax Rate</t>
        </is>
      </c>
      <c r="C28" s="97">
        <f>C27/C26</f>
        <v/>
      </c>
      <c r="D28" s="97">
        <f>D27/D26</f>
        <v/>
      </c>
      <c r="E28" s="97">
        <f>E27/E26</f>
        <v/>
      </c>
      <c r="F28" s="97">
        <f>F27/F26</f>
        <v/>
      </c>
      <c r="G28" s="97">
        <f>G27/G26</f>
        <v/>
      </c>
      <c r="H28" s="97">
        <f>H27/H26</f>
        <v/>
      </c>
      <c r="I28" s="89" t="n"/>
      <c r="J28" s="89" t="n"/>
      <c r="K28" s="89" t="n"/>
      <c r="L28" s="89" t="n"/>
    </row>
    <row r="29" ht="7.5" customHeight="1" s="59">
      <c r="B29" s="89" t="n"/>
      <c r="C29" s="89" t="n"/>
      <c r="D29" s="89" t="n"/>
      <c r="E29" s="89" t="n"/>
      <c r="F29" s="89" t="n"/>
      <c r="G29" s="89" t="n"/>
      <c r="H29" s="89" t="n"/>
      <c r="I29" s="89" t="n"/>
      <c r="J29" s="89" t="n"/>
      <c r="K29" s="89" t="n"/>
      <c r="L29" s="89" t="n"/>
    </row>
    <row r="30" ht="18" customHeight="1" s="59">
      <c r="B30" s="99" t="inlineStr">
        <is>
          <t>▸  NET INCOME</t>
        </is>
      </c>
      <c r="C30" s="100" t="n"/>
      <c r="D30" s="100" t="n"/>
      <c r="E30" s="100" t="n"/>
      <c r="F30" s="100" t="n"/>
      <c r="G30" s="100" t="n"/>
      <c r="H30" s="100" t="n"/>
      <c r="I30" s="100" t="n"/>
      <c r="J30" s="100" t="n"/>
      <c r="K30" s="101" t="n"/>
      <c r="L30" s="94" t="n"/>
    </row>
    <row r="31" ht="15.75" customHeight="1" s="59">
      <c r="B31" s="99" t="inlineStr">
        <is>
          <t>Net Income (to Common)</t>
        </is>
      </c>
      <c r="C31" s="102" t="n">
        <v>7747</v>
      </c>
      <c r="D31" s="102" t="n">
        <v>9771</v>
      </c>
      <c r="E31" s="102" t="n">
        <v>9542</v>
      </c>
      <c r="F31" s="102" t="n">
        <v>10714</v>
      </c>
      <c r="G31" s="102" t="n">
        <v>10631</v>
      </c>
      <c r="H31" s="102" t="n">
        <v>13107</v>
      </c>
      <c r="I31" s="89" t="n"/>
      <c r="J31" s="89" t="n"/>
      <c r="K31" s="89" t="n"/>
      <c r="L31" s="89" t="n"/>
    </row>
    <row r="32" ht="13.5" customHeight="1" s="59">
      <c r="B32" s="103" t="inlineStr">
        <is>
          <t xml:space="preserve">  Net Profit Margin</t>
        </is>
      </c>
      <c r="C32" s="97">
        <f>C31/C7</f>
        <v/>
      </c>
      <c r="D32" s="97">
        <f>D31/D7</f>
        <v/>
      </c>
      <c r="E32" s="97">
        <f>E31/E7</f>
        <v/>
      </c>
      <c r="F32" s="97">
        <f>F31/F7</f>
        <v/>
      </c>
      <c r="G32" s="97">
        <f>G31/G7</f>
        <v/>
      </c>
      <c r="H32" s="97">
        <f>H31/H7</f>
        <v/>
      </c>
      <c r="I32" s="98" t="n"/>
      <c r="J32" s="98" t="n"/>
      <c r="K32" s="98" t="n"/>
      <c r="L32" s="98" t="n"/>
    </row>
    <row r="33" ht="7.5" customHeight="1" s="59">
      <c r="B33" s="89" t="n"/>
      <c r="C33" s="89" t="n"/>
      <c r="D33" s="89" t="n"/>
      <c r="E33" s="89" t="n"/>
      <c r="F33" s="89" t="n"/>
      <c r="G33" s="89" t="n"/>
      <c r="H33" s="89" t="n"/>
      <c r="I33" s="89" t="n"/>
      <c r="J33" s="89" t="n"/>
      <c r="K33" s="89" t="n"/>
      <c r="L33" s="89" t="n"/>
    </row>
    <row r="34" ht="18" customHeight="1" s="59">
      <c r="B34" s="93" t="inlineStr">
        <is>
          <t>▸  PER SHARE DATA</t>
        </is>
      </c>
      <c r="C34" s="82" t="n"/>
      <c r="D34" s="82" t="n"/>
      <c r="E34" s="82" t="n"/>
      <c r="F34" s="82" t="n"/>
      <c r="G34" s="82" t="n"/>
      <c r="H34" s="82" t="n"/>
      <c r="I34" s="82" t="n"/>
      <c r="J34" s="82" t="n"/>
      <c r="K34" s="83" t="n"/>
      <c r="L34" s="94" t="n"/>
    </row>
    <row r="35" ht="15.75" customHeight="1" s="59">
      <c r="B35" s="95" t="inlineStr">
        <is>
          <t xml:space="preserve">  Basic EPS</t>
        </is>
      </c>
      <c r="C35" s="106" t="n">
        <v>0</v>
      </c>
      <c r="D35" s="106" t="n">
        <v>0</v>
      </c>
      <c r="E35" s="106" t="n">
        <v>0</v>
      </c>
      <c r="F35" s="106" t="n">
        <v>0</v>
      </c>
      <c r="G35" s="106" t="n">
        <v>0</v>
      </c>
      <c r="H35" s="106" t="n">
        <v>3.05</v>
      </c>
      <c r="I35" s="89" t="n"/>
      <c r="J35" s="89" t="n"/>
      <c r="K35" s="89" t="n"/>
      <c r="L35" s="89" t="n"/>
    </row>
    <row r="36" ht="15.75" customHeight="1" s="59">
      <c r="B36" s="95" t="inlineStr">
        <is>
          <t xml:space="preserve">  Diluted EPS</t>
        </is>
      </c>
      <c r="C36" s="106" t="n">
        <v>0</v>
      </c>
      <c r="D36" s="106" t="n">
        <v>0</v>
      </c>
      <c r="E36" s="106" t="n">
        <v>0</v>
      </c>
      <c r="F36" s="106" t="n">
        <v>0</v>
      </c>
      <c r="G36" s="106" t="n">
        <v>0</v>
      </c>
      <c r="H36" s="106" t="n">
        <v>3.04</v>
      </c>
      <c r="I36" s="98" t="n"/>
      <c r="J36" s="98" t="n"/>
      <c r="K36" s="98" t="n"/>
      <c r="L36" s="98" t="n"/>
    </row>
    <row r="37" ht="15.75" customHeight="1" s="59">
      <c r="B37" s="95" t="inlineStr">
        <is>
          <t xml:space="preserve">  Basic Shares Outstanding (MM)</t>
        </is>
      </c>
      <c r="C37" s="107" t="n">
        <v>0</v>
      </c>
      <c r="D37" s="107" t="n">
        <v>0</v>
      </c>
      <c r="E37" s="107" t="n">
        <v>0</v>
      </c>
      <c r="F37" s="107" t="n">
        <v>0</v>
      </c>
      <c r="G37" s="107" t="n">
        <v>0</v>
      </c>
      <c r="H37" s="107" t="n">
        <v>4303</v>
      </c>
      <c r="I37" s="89" t="n"/>
      <c r="J37" s="89" t="n"/>
      <c r="K37" s="89" t="n"/>
      <c r="L37" s="89" t="n"/>
    </row>
    <row r="38" ht="15.75" customHeight="1" s="59">
      <c r="B38" s="95" t="inlineStr">
        <is>
          <t xml:space="preserve">  Diluted Shares Outstanding (MM)</t>
        </is>
      </c>
      <c r="C38" s="107" t="n">
        <v>0</v>
      </c>
      <c r="D38" s="107" t="n">
        <v>0</v>
      </c>
      <c r="E38" s="107" t="n">
        <v>0</v>
      </c>
      <c r="F38" s="107" t="n">
        <v>0</v>
      </c>
      <c r="G38" s="107" t="n">
        <v>0</v>
      </c>
      <c r="H38" s="107" t="n">
        <v>4313</v>
      </c>
      <c r="I38" s="98" t="n"/>
      <c r="J38" s="98" t="n"/>
      <c r="K38" s="98" t="n"/>
      <c r="L38" s="98" t="n"/>
    </row>
    <row r="39" ht="7.5" customHeight="1" s="59">
      <c r="B39" s="8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89" t="n"/>
      <c r="L39" s="89" t="n"/>
    </row>
    <row r="40" ht="13.5" customHeight="1" s="59">
      <c r="B40" s="93" t="inlineStr">
        <is>
          <t>Source: KO 10-K Filings, FY2020–FY2024, SEC EDGAR | Values in $MM | EPS in $</t>
        </is>
      </c>
      <c r="C40" s="82" t="n"/>
      <c r="D40" s="82" t="n"/>
      <c r="E40" s="82" t="n"/>
      <c r="F40" s="82" t="n"/>
      <c r="G40" s="82" t="n"/>
      <c r="H40" s="83" t="n"/>
      <c r="I40" s="94" t="n"/>
      <c r="J40" s="108" t="n"/>
      <c r="K40" s="108" t="n"/>
      <c r="L40" s="108" t="n"/>
    </row>
  </sheetData>
  <mergeCells count="11">
    <mergeCell ref="B14:K14"/>
    <mergeCell ref="B40:H40"/>
    <mergeCell ref="B17:K17"/>
    <mergeCell ref="B30:K30"/>
    <mergeCell ref="B21:K21"/>
    <mergeCell ref="B2:H2"/>
    <mergeCell ref="B25:K25"/>
    <mergeCell ref="B6:K6"/>
    <mergeCell ref="B34:K34"/>
    <mergeCell ref="B3:H3"/>
    <mergeCell ref="B10:K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B00D18"/>
    <outlinePr summaryBelow="1" summaryRight="1"/>
    <pageSetUpPr fitToPage="0"/>
  </sheetPr>
  <dimension ref="A2:H37"/>
  <sheetViews>
    <sheetView showFormulas="0" showGridLines="0" showRowColHeaders="1" showZeros="1" rightToLeft="0" tabSelected="0" showOutlineSymbols="1" defaultGridColor="1" view="normal" topLeftCell="A1" colorId="64" zoomScale="169" zoomScaleNormal="169" zoomScalePageLayoutView="100" workbookViewId="0">
      <selection pane="topLeft" activeCell="A1" activeCellId="0" sqref="A1"/>
    </sheetView>
  </sheetViews>
  <sheetFormatPr baseColWidth="8" defaultColWidth="8.83203125" defaultRowHeight="15" customHeight="0" zeroHeight="0" outlineLevelRow="0"/>
  <cols>
    <col width="3" customWidth="1" style="58" min="1" max="1"/>
    <col width="42" customWidth="1" style="58" min="2" max="2"/>
    <col width="15" customWidth="1" style="58" min="3" max="7"/>
    <col width="13" customWidth="1" style="58" min="8" max="8"/>
  </cols>
  <sheetData>
    <row r="1" ht="9.75" customHeight="1" s="59"/>
    <row r="2" ht="24" customHeight="1" s="59">
      <c r="A2" s="60" t="n"/>
      <c r="B2" s="81" t="inlineStr">
        <is>
          <t>BALANCE SHEET</t>
        </is>
      </c>
      <c r="C2" s="82" t="n"/>
      <c r="D2" s="82" t="n"/>
      <c r="E2" s="82" t="n"/>
      <c r="F2" s="82" t="n"/>
      <c r="G2" s="82" t="n"/>
      <c r="H2" s="83" t="n"/>
    </row>
    <row r="3" ht="19.5" customHeight="1" s="59">
      <c r="A3" s="62" t="n"/>
      <c r="B3" s="86" t="inlineStr">
        <is>
          <t>The Coca-Cola Company (KO)  |  FY2020 – FY2024  |  All figures in $MM</t>
        </is>
      </c>
      <c r="C3" s="82" t="n"/>
      <c r="D3" s="82" t="n"/>
      <c r="E3" s="82" t="n"/>
      <c r="F3" s="82" t="n"/>
      <c r="G3" s="82" t="n"/>
      <c r="H3" s="83" t="n"/>
    </row>
    <row r="4" ht="15.75" customHeight="1" s="59">
      <c r="B4" s="89" t="n"/>
      <c r="C4" s="89" t="n"/>
      <c r="D4" s="89" t="n"/>
      <c r="E4" s="89" t="n"/>
      <c r="F4" s="89" t="n"/>
      <c r="G4" s="89" t="n"/>
      <c r="H4" s="89" t="n"/>
    </row>
    <row r="5" ht="18" customHeight="1" s="59">
      <c r="B5" s="90" t="inlineStr">
        <is>
          <t>Metric</t>
        </is>
      </c>
      <c r="C5" s="91" t="n">
        <v>2020</v>
      </c>
      <c r="D5" s="91" t="n">
        <v>2021</v>
      </c>
      <c r="E5" s="91" t="n">
        <v>2022</v>
      </c>
      <c r="F5" s="91" t="n">
        <v>2023</v>
      </c>
      <c r="G5" s="91" t="n">
        <v>2024</v>
      </c>
      <c r="H5" s="91" t="n">
        <v>2025</v>
      </c>
    </row>
    <row r="6" ht="18" customHeight="1" s="59">
      <c r="B6" s="93" t="inlineStr">
        <is>
          <t>▸  CURRENT ASSETS</t>
        </is>
      </c>
      <c r="C6" s="82" t="n"/>
      <c r="D6" s="82" t="n"/>
      <c r="E6" s="82" t="n"/>
      <c r="F6" s="82" t="n"/>
      <c r="G6" s="82" t="n"/>
      <c r="H6" s="83" t="n"/>
    </row>
    <row r="7" ht="15.75" customHeight="1" s="59">
      <c r="B7" s="95" t="inlineStr">
        <is>
          <t xml:space="preserve">  Cash &amp; Cash Equivalents</t>
        </is>
      </c>
      <c r="C7" s="96" t="n">
        <v>6795</v>
      </c>
      <c r="D7" s="96" t="n">
        <v>9684</v>
      </c>
      <c r="E7" s="96" t="n">
        <v>9519</v>
      </c>
      <c r="F7" s="96" t="n">
        <v>9366</v>
      </c>
      <c r="G7" s="96" t="n">
        <v>10828</v>
      </c>
      <c r="H7" s="96" t="n">
        <v>10270</v>
      </c>
    </row>
    <row r="8" ht="15.75" customHeight="1" s="59">
      <c r="B8" s="95" t="inlineStr">
        <is>
          <t xml:space="preserve">  Short-Term Investments</t>
        </is>
      </c>
      <c r="C8" s="96" t="n">
        <v>4119</v>
      </c>
      <c r="D8" s="96" t="n">
        <v>2941</v>
      </c>
      <c r="E8" s="96" t="n">
        <v>2112</v>
      </c>
      <c r="F8" s="96" t="n">
        <v>4297</v>
      </c>
      <c r="G8" s="96" t="n">
        <v>3743</v>
      </c>
      <c r="H8" s="96" t="n">
        <v>3602</v>
      </c>
    </row>
    <row r="9" ht="15.75" customHeight="1" s="59">
      <c r="B9" s="95" t="inlineStr">
        <is>
          <t xml:space="preserve">  Accounts Receivable</t>
        </is>
      </c>
      <c r="C9" s="96" t="n">
        <v>3144</v>
      </c>
      <c r="D9" s="96" t="n">
        <v>3512</v>
      </c>
      <c r="E9" s="96" t="n">
        <v>3487</v>
      </c>
      <c r="F9" s="96" t="n">
        <v>3410</v>
      </c>
      <c r="G9" s="96" t="n">
        <v>3569</v>
      </c>
      <c r="H9" s="96" t="n">
        <v>3038</v>
      </c>
    </row>
    <row r="10" ht="15.75" customHeight="1" s="59">
      <c r="B10" s="95" t="inlineStr">
        <is>
          <t xml:space="preserve">  Inventories</t>
        </is>
      </c>
      <c r="C10" s="96" t="n">
        <v>3266</v>
      </c>
      <c r="D10" s="96" t="n">
        <v>3414</v>
      </c>
      <c r="E10" s="96" t="n">
        <v>4233</v>
      </c>
      <c r="F10" s="96" t="n">
        <v>4424</v>
      </c>
      <c r="G10" s="96" t="n">
        <v>4728</v>
      </c>
      <c r="H10" s="96" t="n">
        <v>4425</v>
      </c>
    </row>
    <row r="11" ht="15.75" customHeight="1" s="59">
      <c r="B11" s="95" t="inlineStr">
        <is>
          <t xml:space="preserve">  Other Current Assets</t>
        </is>
      </c>
      <c r="C11" s="96" t="n">
        <v>1916</v>
      </c>
      <c r="D11" s="96" t="n">
        <v>2994</v>
      </c>
      <c r="E11" s="96" t="n">
        <v>3240</v>
      </c>
      <c r="F11" s="96" t="n">
        <v>5235</v>
      </c>
      <c r="G11" s="96" t="n">
        <v>3129</v>
      </c>
      <c r="H11" s="96" t="n">
        <v>9709</v>
      </c>
    </row>
    <row r="12" ht="15.75" customHeight="1" s="59">
      <c r="B12" s="99" t="inlineStr">
        <is>
          <t>Total Current Assets</t>
        </is>
      </c>
      <c r="C12" s="102">
        <f>SUM(C7:C11)</f>
        <v/>
      </c>
      <c r="D12" s="102">
        <f>SUM(D7:D11)</f>
        <v/>
      </c>
      <c r="E12" s="102">
        <f>SUM(E7:E11)</f>
        <v/>
      </c>
      <c r="F12" s="102">
        <f>SUM(F7:F11)</f>
        <v/>
      </c>
      <c r="G12" s="102">
        <f>SUM(G7:G11)</f>
        <v/>
      </c>
      <c r="H12" s="102">
        <f>SUM(H7:H11)</f>
        <v/>
      </c>
    </row>
    <row r="13" ht="7.5" customHeight="1" s="59">
      <c r="B13" s="89" t="n"/>
      <c r="C13" s="89" t="n"/>
      <c r="D13" s="89" t="n"/>
      <c r="E13" s="89" t="n"/>
      <c r="F13" s="89" t="n"/>
      <c r="G13" s="89" t="n"/>
      <c r="H13" s="89" t="n"/>
    </row>
    <row r="14" ht="18" customHeight="1" s="59">
      <c r="B14" s="93" t="inlineStr">
        <is>
          <t>▸  NON-CURRENT ASSETS</t>
        </is>
      </c>
      <c r="C14" s="82" t="n"/>
      <c r="D14" s="82" t="n"/>
      <c r="E14" s="82" t="n"/>
      <c r="F14" s="82" t="n"/>
      <c r="G14" s="82" t="n"/>
      <c r="H14" s="83" t="n"/>
    </row>
    <row r="15" ht="15.75" customHeight="1" s="59">
      <c r="B15" s="95" t="inlineStr">
        <is>
          <t xml:space="preserve">  Net PP&amp;E</t>
        </is>
      </c>
      <c r="C15" s="96" t="n">
        <v>10777</v>
      </c>
      <c r="D15" s="96" t="n">
        <v>9920</v>
      </c>
      <c r="E15" s="96" t="n">
        <v>9841</v>
      </c>
      <c r="F15" s="96" t="n">
        <v>9236</v>
      </c>
      <c r="G15" s="96" t="n">
        <v>10303</v>
      </c>
      <c r="H15" s="96" t="n">
        <v>9613</v>
      </c>
    </row>
    <row r="16" ht="15.75" customHeight="1" s="59">
      <c r="B16" s="95" t="inlineStr">
        <is>
          <t xml:space="preserve">  Goodwill</t>
        </is>
      </c>
      <c r="C16" s="96" t="n">
        <v>17506</v>
      </c>
      <c r="D16" s="96" t="n">
        <v>19363</v>
      </c>
      <c r="E16" s="96" t="n">
        <v>18782</v>
      </c>
      <c r="F16" s="96" t="n">
        <v>18358</v>
      </c>
      <c r="G16" s="96" t="n">
        <v>18139</v>
      </c>
      <c r="H16" s="96" t="n">
        <v>15491</v>
      </c>
    </row>
    <row r="17" ht="15.75" customHeight="1" s="59">
      <c r="B17" s="95" t="inlineStr">
        <is>
          <t xml:space="preserve">  Net Intangible Assets</t>
        </is>
      </c>
      <c r="C17" s="96" t="n">
        <v>11044</v>
      </c>
      <c r="D17" s="96" t="n">
        <v>15250</v>
      </c>
      <c r="E17" s="96" t="n">
        <v>14849</v>
      </c>
      <c r="F17" s="96" t="n">
        <v>14349</v>
      </c>
      <c r="G17" s="96" t="n">
        <v>13301</v>
      </c>
      <c r="H17" s="96" t="n">
        <v>12531</v>
      </c>
    </row>
    <row r="18" ht="15.75" customHeight="1" s="59">
      <c r="B18" s="95" t="inlineStr">
        <is>
          <t xml:space="preserve">  Long-Term Investments</t>
        </is>
      </c>
      <c r="C18" s="96" t="n">
        <v>20085</v>
      </c>
      <c r="D18" s="96" t="n">
        <v>18416</v>
      </c>
      <c r="E18" s="96" t="n">
        <v>18765</v>
      </c>
      <c r="F18" s="96" t="n">
        <v>19671</v>
      </c>
      <c r="G18" s="96" t="n">
        <v>18087</v>
      </c>
      <c r="H18" s="96" t="n">
        <v>20235</v>
      </c>
    </row>
    <row r="19" ht="15.75" customHeight="1" s="59">
      <c r="B19" s="99" t="inlineStr">
        <is>
          <t>TOTAL ASSETS</t>
        </is>
      </c>
      <c r="C19" s="102" t="n">
        <v>87296</v>
      </c>
      <c r="D19" s="102" t="n">
        <v>94354</v>
      </c>
      <c r="E19" s="102" t="n">
        <v>92763</v>
      </c>
      <c r="F19" s="102" t="n">
        <v>97703</v>
      </c>
      <c r="G19" s="102" t="n">
        <v>100549</v>
      </c>
      <c r="H19" s="102" t="n">
        <v>104816</v>
      </c>
    </row>
    <row r="20" ht="7.5" customHeight="1" s="59">
      <c r="B20" s="89" t="n"/>
      <c r="C20" s="89" t="n"/>
      <c r="D20" s="89" t="n"/>
      <c r="E20" s="89" t="n"/>
      <c r="F20" s="89" t="n"/>
      <c r="G20" s="89" t="n"/>
      <c r="H20" s="89" t="n"/>
    </row>
    <row r="21" ht="18" customHeight="1" s="59">
      <c r="B21" s="93" t="inlineStr">
        <is>
          <t>▸  CURRENT LIABILITIES</t>
        </is>
      </c>
      <c r="C21" s="82" t="n"/>
      <c r="D21" s="82" t="n"/>
      <c r="E21" s="82" t="n"/>
      <c r="F21" s="82" t="n"/>
      <c r="G21" s="82" t="n"/>
      <c r="H21" s="83" t="n"/>
    </row>
    <row r="22" ht="15.75" customHeight="1" s="59">
      <c r="B22" s="95" t="inlineStr">
        <is>
          <t xml:space="preserve">  Accounts Payable</t>
        </is>
      </c>
      <c r="C22" s="96" t="n">
        <v>11145</v>
      </c>
      <c r="D22" s="96" t="n">
        <v>14619</v>
      </c>
      <c r="E22" s="96" t="n">
        <v>15749</v>
      </c>
      <c r="F22" s="96" t="n">
        <v>15485</v>
      </c>
      <c r="G22" s="96" t="n">
        <v>21712</v>
      </c>
      <c r="H22" s="96" t="n">
        <v>14813</v>
      </c>
    </row>
    <row r="23" ht="15.75" customHeight="1" s="59">
      <c r="B23" s="95" t="inlineStr">
        <is>
          <t xml:space="preserve">  Short-Term Debt</t>
        </is>
      </c>
      <c r="C23" s="96" t="n">
        <v>2183</v>
      </c>
      <c r="D23" s="96" t="n">
        <v>3307</v>
      </c>
      <c r="E23" s="96" t="n">
        <v>2373</v>
      </c>
      <c r="F23" s="96" t="n">
        <v>4557</v>
      </c>
      <c r="G23" s="96" t="n">
        <v>1499</v>
      </c>
      <c r="H23" s="96" t="n">
        <v>1551</v>
      </c>
    </row>
    <row r="24" ht="15.75" customHeight="1" s="59">
      <c r="B24" s="95" t="inlineStr">
        <is>
          <t xml:space="preserve">  Other Current Liabilities</t>
        </is>
      </c>
      <c r="C24" s="96" t="n"/>
      <c r="D24" s="96" t="n"/>
      <c r="E24" s="96" t="n"/>
      <c r="F24" s="96" t="n"/>
      <c r="G24" s="96" t="n">
        <v>3</v>
      </c>
      <c r="H24" s="96" t="n">
        <v>4917</v>
      </c>
    </row>
    <row r="25" ht="15.75" customHeight="1" s="59">
      <c r="B25" s="99" t="inlineStr">
        <is>
          <t>Total Current Liabilities</t>
        </is>
      </c>
      <c r="C25" s="102" t="n">
        <v>14601</v>
      </c>
      <c r="D25" s="102" t="n">
        <v>19950</v>
      </c>
      <c r="E25" s="102" t="n">
        <v>19724</v>
      </c>
      <c r="F25" s="102" t="n">
        <v>23571</v>
      </c>
      <c r="G25" s="102" t="n">
        <v>25249</v>
      </c>
      <c r="H25" s="102" t="n">
        <v>21281</v>
      </c>
    </row>
    <row r="26" ht="7.5" customHeight="1" s="59">
      <c r="B26" s="89" t="n"/>
      <c r="C26" s="89" t="n"/>
      <c r="D26" s="89" t="n"/>
      <c r="E26" s="89" t="n"/>
      <c r="F26" s="89" t="n"/>
      <c r="G26" s="89" t="n"/>
      <c r="H26" s="89" t="n"/>
    </row>
    <row r="27" ht="18" customHeight="1" s="59">
      <c r="B27" s="93" t="inlineStr">
        <is>
          <t>▸  NON-CURRENT LIABILITIES</t>
        </is>
      </c>
      <c r="C27" s="82" t="n"/>
      <c r="D27" s="82" t="n"/>
      <c r="E27" s="82" t="n"/>
      <c r="F27" s="82" t="n"/>
      <c r="G27" s="82" t="n"/>
      <c r="H27" s="83" t="n"/>
    </row>
    <row r="28" ht="15.75" customHeight="1" s="59">
      <c r="B28" s="95" t="inlineStr">
        <is>
          <t xml:space="preserve">  Long-Term Debt</t>
        </is>
      </c>
      <c r="C28" s="96" t="n">
        <v>40125</v>
      </c>
      <c r="D28" s="96" t="n">
        <v>38116</v>
      </c>
      <c r="E28" s="96" t="n">
        <v>36377</v>
      </c>
      <c r="F28" s="96" t="n">
        <v>35547</v>
      </c>
      <c r="G28" s="96" t="n">
        <v>42375</v>
      </c>
      <c r="H28" s="96" t="n">
        <v>42119</v>
      </c>
    </row>
    <row r="29" ht="15.75" customHeight="1" s="59">
      <c r="B29" s="95" t="inlineStr">
        <is>
          <t xml:space="preserve">  Other Long-Term Liabilities</t>
        </is>
      </c>
      <c r="C29" s="96" t="n">
        <v>11286</v>
      </c>
      <c r="D29" s="96" t="n">
        <v>11428</v>
      </c>
      <c r="E29" s="96" t="n">
        <v>10836</v>
      </c>
      <c r="F29" s="96" t="n">
        <v>11105</v>
      </c>
      <c r="G29" s="96" t="n">
        <v>6553</v>
      </c>
      <c r="H29" s="96" t="n">
        <v>7141</v>
      </c>
    </row>
    <row r="30" ht="15.75" customHeight="1" s="59">
      <c r="B30" s="99" t="inlineStr">
        <is>
          <t>Total Liabilities</t>
        </is>
      </c>
      <c r="C30" s="102" t="n">
        <v>66012</v>
      </c>
      <c r="D30" s="102" t="n">
        <v>69494</v>
      </c>
      <c r="E30" s="102" t="n">
        <v>66937</v>
      </c>
      <c r="F30" s="102" t="n">
        <v>70223</v>
      </c>
      <c r="G30" s="102" t="n">
        <v>74177</v>
      </c>
      <c r="H30" s="102" t="n">
        <v>70541</v>
      </c>
    </row>
    <row r="31" ht="7.5" customHeight="1" s="59">
      <c r="B31" s="89" t="n"/>
      <c r="C31" s="89" t="n"/>
      <c r="D31" s="89" t="n"/>
      <c r="E31" s="89" t="n"/>
      <c r="F31" s="89" t="n"/>
      <c r="G31" s="89" t="n"/>
      <c r="H31" s="89" t="n"/>
    </row>
    <row r="32" ht="18" customHeight="1" s="59">
      <c r="B32" s="93" t="inlineStr">
        <is>
          <t>▸  SHAREHOLDERS' EQUITY</t>
        </is>
      </c>
      <c r="C32" s="82" t="n"/>
      <c r="D32" s="82" t="n"/>
      <c r="E32" s="82" t="n"/>
      <c r="F32" s="82" t="n"/>
      <c r="G32" s="82" t="n"/>
      <c r="H32" s="83" t="n"/>
    </row>
    <row r="33" ht="15.75" customHeight="1" s="59">
      <c r="B33" s="95" t="inlineStr">
        <is>
          <t xml:space="preserve">  Retained Earnings</t>
        </is>
      </c>
      <c r="C33" s="96" t="n">
        <v>66555</v>
      </c>
      <c r="D33" s="96" t="n">
        <v>69094</v>
      </c>
      <c r="E33" s="96" t="n">
        <v>71019</v>
      </c>
      <c r="F33" s="96" t="n">
        <v>73782</v>
      </c>
      <c r="G33" s="96" t="n">
        <v>76054</v>
      </c>
      <c r="H33" s="96" t="n">
        <v>80382</v>
      </c>
    </row>
    <row r="34" ht="15.75" customHeight="1" s="59">
      <c r="B34" s="99" t="inlineStr">
        <is>
          <t>Total Shareholders' Equity</t>
        </is>
      </c>
      <c r="C34" s="102" t="n">
        <v>21284</v>
      </c>
      <c r="D34" s="102" t="n">
        <v>24860</v>
      </c>
      <c r="E34" s="102" t="n">
        <v>25826</v>
      </c>
      <c r="F34" s="102" t="n">
        <v>27480</v>
      </c>
      <c r="G34" s="102" t="n">
        <v>26372</v>
      </c>
      <c r="H34" s="102" t="n">
        <v>34275</v>
      </c>
    </row>
    <row r="35" ht="15.75" customHeight="1" s="59">
      <c r="B35" s="99" t="inlineStr">
        <is>
          <t xml:space="preserve">  Total Liabilities + Equity (Check)</t>
        </is>
      </c>
      <c r="C35" s="102">
        <f>C30+C34</f>
        <v/>
      </c>
      <c r="D35" s="102">
        <f>D30+D34</f>
        <v/>
      </c>
      <c r="E35" s="102">
        <f>E30+E34</f>
        <v/>
      </c>
      <c r="F35" s="102">
        <f>F30+F34</f>
        <v/>
      </c>
      <c r="G35" s="102">
        <f>G30+G34</f>
        <v/>
      </c>
      <c r="H35" s="102">
        <f>H30+H34</f>
        <v/>
      </c>
    </row>
    <row r="36" ht="7.5" customHeight="1" s="59">
      <c r="B36" s="89" t="n"/>
      <c r="C36" s="89" t="n"/>
      <c r="D36" s="89" t="n"/>
      <c r="E36" s="89" t="n"/>
      <c r="F36" s="89" t="n"/>
      <c r="G36" s="89" t="n"/>
      <c r="H36" s="89" t="n"/>
    </row>
    <row r="37" ht="13.5" customHeight="1" s="59">
      <c r="B37" s="93" t="inlineStr">
        <is>
          <t>Source: KO 10-K Filings, FY2020–FY2024, SEC EDGAR | Values in $MM</t>
        </is>
      </c>
      <c r="C37" s="82" t="n"/>
      <c r="D37" s="82" t="n"/>
      <c r="E37" s="82" t="n"/>
      <c r="F37" s="82" t="n"/>
      <c r="G37" s="82" t="n"/>
      <c r="H37" s="83" t="n"/>
    </row>
  </sheetData>
  <mergeCells count="8">
    <mergeCell ref="B14:H14"/>
    <mergeCell ref="B32:H32"/>
    <mergeCell ref="B27:H27"/>
    <mergeCell ref="B21:H21"/>
    <mergeCell ref="B6:H6"/>
    <mergeCell ref="B2:H2"/>
    <mergeCell ref="B3:H3"/>
    <mergeCell ref="B37:H3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B00D18"/>
    <outlinePr summaryBelow="1" summaryRight="1"/>
    <pageSetUpPr fitToPage="0"/>
  </sheetPr>
  <dimension ref="A2:H35"/>
  <sheetViews>
    <sheetView showFormulas="0" showGridLines="0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1" activeCellId="0" sqref="A1"/>
    </sheetView>
  </sheetViews>
  <sheetFormatPr baseColWidth="8" defaultColWidth="8.83203125" defaultRowHeight="15" customHeight="0" zeroHeight="0" outlineLevelRow="0"/>
  <cols>
    <col width="3" customWidth="1" style="58" min="1" max="1"/>
    <col width="42" customWidth="1" style="58" min="2" max="2"/>
    <col width="15" customWidth="1" style="58" min="3" max="7"/>
    <col width="13" customWidth="1" style="58" min="8" max="8"/>
  </cols>
  <sheetData>
    <row r="1" ht="9.75" customHeight="1" s="59"/>
    <row r="2" ht="24" customHeight="1" s="59">
      <c r="A2" s="60" t="n"/>
      <c r="B2" s="81" t="inlineStr">
        <is>
          <t>CASH FLOW STATEMENT</t>
        </is>
      </c>
      <c r="C2" s="82" t="n"/>
      <c r="D2" s="82" t="n"/>
      <c r="E2" s="82" t="n"/>
      <c r="F2" s="82" t="n"/>
      <c r="G2" s="82" t="n"/>
      <c r="H2" s="83" t="n"/>
    </row>
    <row r="3" ht="19.5" customHeight="1" s="59">
      <c r="A3" s="62" t="n"/>
      <c r="B3" s="86" t="inlineStr">
        <is>
          <t>The Coca-Cola Company (KO)  |  FY2020 – FY2024  |  All figures in $MM</t>
        </is>
      </c>
      <c r="C3" s="82" t="n"/>
      <c r="D3" s="82" t="n"/>
      <c r="E3" s="82" t="n"/>
      <c r="F3" s="82" t="n"/>
      <c r="G3" s="82" t="n"/>
      <c r="H3" s="83" t="n"/>
    </row>
    <row r="4" ht="15.75" customHeight="1" s="59">
      <c r="B4" s="89" t="n"/>
      <c r="C4" s="89" t="n"/>
      <c r="D4" s="89" t="n"/>
      <c r="E4" s="89" t="n"/>
      <c r="F4" s="89" t="n"/>
      <c r="G4" s="89" t="n"/>
      <c r="H4" s="89" t="n"/>
    </row>
    <row r="5" ht="18" customHeight="1" s="59">
      <c r="B5" s="90" t="inlineStr">
        <is>
          <t>Metric</t>
        </is>
      </c>
      <c r="C5" s="92" t="inlineStr">
        <is>
          <t>2020</t>
        </is>
      </c>
      <c r="D5" s="91" t="n">
        <v>2021</v>
      </c>
      <c r="E5" s="91" t="n">
        <v>2022</v>
      </c>
      <c r="F5" s="91" t="n">
        <v>2023</v>
      </c>
      <c r="G5" s="91" t="n">
        <v>2024</v>
      </c>
      <c r="H5" s="91" t="n">
        <v>2025</v>
      </c>
    </row>
    <row r="6" ht="18" customHeight="1" s="59">
      <c r="B6" s="93" t="inlineStr">
        <is>
          <t>▸  OPERATING ACTIVITIES</t>
        </is>
      </c>
      <c r="C6" s="82" t="n"/>
      <c r="D6" s="82" t="n"/>
      <c r="E6" s="82" t="n"/>
      <c r="F6" s="82" t="n"/>
      <c r="G6" s="82" t="n"/>
      <c r="H6" s="83" t="n"/>
    </row>
    <row r="7" ht="15.75" customHeight="1" s="59">
      <c r="B7" s="109" t="inlineStr">
        <is>
          <t xml:space="preserve">  Net Income</t>
        </is>
      </c>
      <c r="C7" s="110" t="n">
        <v>7768</v>
      </c>
      <c r="D7" s="110" t="n">
        <v>9804</v>
      </c>
      <c r="E7" s="110" t="n">
        <v>9571</v>
      </c>
      <c r="F7" s="110" t="n">
        <v>10703</v>
      </c>
      <c r="G7" s="110" t="n">
        <v>10649</v>
      </c>
      <c r="H7" s="110" t="n">
        <v>13137</v>
      </c>
    </row>
    <row r="8" ht="15.75" customHeight="1" s="59">
      <c r="B8" s="95" t="inlineStr">
        <is>
          <t xml:space="preserve">  D&amp;A (add-back)</t>
        </is>
      </c>
      <c r="C8" s="96" t="n">
        <v>1536</v>
      </c>
      <c r="D8" s="96" t="n">
        <v>1452</v>
      </c>
      <c r="E8" s="96" t="n">
        <v>1260</v>
      </c>
      <c r="F8" s="96" t="n">
        <v>1128</v>
      </c>
      <c r="G8" s="96" t="n">
        <v>1075</v>
      </c>
      <c r="H8" s="96" t="n">
        <v>1050</v>
      </c>
    </row>
    <row r="9" ht="15.75" customHeight="1" s="59">
      <c r="B9" s="95" t="inlineStr">
        <is>
          <t xml:space="preserve">  Stock-Based Compensation</t>
        </is>
      </c>
      <c r="C9" s="96" t="n">
        <v>126</v>
      </c>
      <c r="D9" s="96" t="n">
        <v>337</v>
      </c>
      <c r="E9" s="96" t="n">
        <v>356</v>
      </c>
      <c r="F9" s="96" t="n">
        <v>254</v>
      </c>
      <c r="G9" s="96" t="n">
        <v>286</v>
      </c>
      <c r="H9" s="96" t="n">
        <v>279</v>
      </c>
    </row>
    <row r="10" ht="15.75" customHeight="1" s="59">
      <c r="B10" s="93" t="inlineStr">
        <is>
          <t xml:space="preserve">  Changes in Accounts Payable</t>
        </is>
      </c>
      <c r="C10" s="111" t="n"/>
      <c r="D10" s="111" t="n"/>
      <c r="E10" s="111" t="n"/>
      <c r="F10" s="111" t="n"/>
      <c r="G10" s="111" t="n"/>
      <c r="H10" s="111" t="n"/>
    </row>
    <row r="11" ht="15.75" customHeight="1" s="59">
      <c r="B11" s="95" t="inlineStr">
        <is>
          <t xml:space="preserve">  Changes in Other Working Capital</t>
        </is>
      </c>
      <c r="C11" s="96" t="n">
        <v>690</v>
      </c>
      <c r="D11" s="96" t="n">
        <v>1325</v>
      </c>
      <c r="E11" s="96" t="n">
        <v>-605</v>
      </c>
      <c r="F11" s="96" t="n">
        <v>-846</v>
      </c>
      <c r="G11" s="96" t="n">
        <v>-6234</v>
      </c>
      <c r="H11" s="96" t="n">
        <v>-7208</v>
      </c>
    </row>
    <row r="12" ht="15.75" customHeight="1" s="59">
      <c r="B12" s="112" t="inlineStr">
        <is>
          <t>Cash from Operations (CFO)</t>
        </is>
      </c>
      <c r="C12" s="113" t="n">
        <v>9844</v>
      </c>
      <c r="D12" s="113" t="n">
        <v>12625</v>
      </c>
      <c r="E12" s="113" t="n">
        <v>11018</v>
      </c>
      <c r="F12" s="113" t="n">
        <v>11599</v>
      </c>
      <c r="G12" s="113" t="n">
        <v>6805</v>
      </c>
      <c r="H12" s="113" t="n">
        <v>7408</v>
      </c>
    </row>
    <row r="13" ht="7.5" customHeight="1" s="59">
      <c r="B13" s="89" t="n"/>
      <c r="C13" s="89" t="n"/>
      <c r="D13" s="89" t="n"/>
      <c r="E13" s="89" t="n"/>
      <c r="F13" s="89" t="n"/>
      <c r="G13" s="89" t="n"/>
      <c r="H13" s="89" t="n"/>
    </row>
    <row r="14" ht="18" customHeight="1" s="59">
      <c r="B14" s="93" t="inlineStr">
        <is>
          <t>▸  INVESTING ACTIVITIES</t>
        </is>
      </c>
      <c r="C14" s="82" t="n"/>
      <c r="D14" s="82" t="n"/>
      <c r="E14" s="82" t="n"/>
      <c r="F14" s="82" t="n"/>
      <c r="G14" s="82" t="n"/>
      <c r="H14" s="83" t="n"/>
    </row>
    <row r="15" ht="15.75" customHeight="1" s="59">
      <c r="B15" s="95" t="inlineStr">
        <is>
          <t xml:space="preserve">  Capital Expenditures (CapEx)</t>
        </is>
      </c>
      <c r="C15" s="96" t="n">
        <v>-1177</v>
      </c>
      <c r="D15" s="96" t="n">
        <v>-1367</v>
      </c>
      <c r="E15" s="96" t="n">
        <v>-1484</v>
      </c>
      <c r="F15" s="96" t="n">
        <v>-1852</v>
      </c>
      <c r="G15" s="96" t="n">
        <v>-2064</v>
      </c>
      <c r="H15" s="96" t="n">
        <v>-2112</v>
      </c>
    </row>
    <row r="16" ht="15.75" customHeight="1" s="59">
      <c r="B16" s="95" t="inlineStr">
        <is>
          <t xml:space="preserve">  Proceeds from Sale of Investments</t>
        </is>
      </c>
      <c r="C16" s="96" t="n">
        <v>13835</v>
      </c>
      <c r="D16" s="96" t="n">
        <v>7059</v>
      </c>
      <c r="E16" s="96" t="n">
        <v>4771</v>
      </c>
      <c r="F16" s="96" t="n">
        <v>4354</v>
      </c>
      <c r="G16" s="96" t="n">
        <v>6589</v>
      </c>
      <c r="H16" s="96" t="n">
        <v>4665</v>
      </c>
    </row>
    <row r="17" ht="15.75" customHeight="1" s="59">
      <c r="B17" s="95" t="inlineStr">
        <is>
          <t xml:space="preserve">  Purchases of Investments</t>
        </is>
      </c>
      <c r="C17" s="96" t="n">
        <v>-13583</v>
      </c>
      <c r="D17" s="96" t="n">
        <v>-6030</v>
      </c>
      <c r="E17" s="96" t="n">
        <v>-3751</v>
      </c>
      <c r="F17" s="96" t="n">
        <v>-6698</v>
      </c>
      <c r="G17" s="96" t="n">
        <v>-5640</v>
      </c>
      <c r="H17" s="96" t="n">
        <v>-6160</v>
      </c>
    </row>
    <row r="18" ht="15.75" customHeight="1" s="59">
      <c r="B18" s="95" t="inlineStr">
        <is>
          <t xml:space="preserve">  Business Acquisitions</t>
        </is>
      </c>
      <c r="C18" s="96" t="n">
        <v>-1052</v>
      </c>
      <c r="D18" s="96" t="n">
        <v>-4766</v>
      </c>
      <c r="E18" s="96" t="n">
        <v>-73</v>
      </c>
      <c r="F18" s="96" t="n">
        <v>-62</v>
      </c>
      <c r="G18" s="96" t="n">
        <v>-315</v>
      </c>
      <c r="H18" s="96" t="n">
        <v>-461</v>
      </c>
    </row>
    <row r="19" ht="15.75" customHeight="1" s="59">
      <c r="B19" s="95" t="inlineStr">
        <is>
          <t xml:space="preserve">  Other Investing</t>
        </is>
      </c>
      <c r="C19" s="96" t="n">
        <v>122</v>
      </c>
      <c r="D19" s="96" t="n">
        <v>51</v>
      </c>
      <c r="E19" s="96" t="n">
        <v>-759</v>
      </c>
      <c r="F19" s="96" t="n">
        <v>405</v>
      </c>
      <c r="G19" s="96" t="n">
        <v>429</v>
      </c>
      <c r="H19" s="96" t="n">
        <v>4001</v>
      </c>
    </row>
    <row r="20" ht="15.75" customHeight="1" s="59">
      <c r="B20" s="112" t="inlineStr">
        <is>
          <t>Cash from Investing (CFI)</t>
        </is>
      </c>
      <c r="C20" s="113" t="n">
        <v>-1477</v>
      </c>
      <c r="D20" s="113" t="n">
        <v>-2765</v>
      </c>
      <c r="E20" s="113" t="n">
        <v>-763</v>
      </c>
      <c r="F20" s="113" t="n">
        <v>-3349</v>
      </c>
      <c r="G20" s="113" t="n">
        <v>2524</v>
      </c>
      <c r="H20" s="113" t="n">
        <v>-67</v>
      </c>
    </row>
    <row r="21" ht="7.5" customHeight="1" s="59">
      <c r="B21" s="89" t="n"/>
      <c r="C21" s="89" t="n"/>
      <c r="D21" s="89" t="n"/>
      <c r="E21" s="89" t="n"/>
      <c r="F21" s="89" t="n"/>
      <c r="G21" s="89" t="n"/>
      <c r="H21" s="89" t="n"/>
    </row>
    <row r="22" ht="18" customHeight="1" s="59">
      <c r="B22" s="93" t="inlineStr">
        <is>
          <t>▸  FINANCING ACTIVITIES</t>
        </is>
      </c>
      <c r="C22" s="82" t="n"/>
      <c r="D22" s="82" t="n"/>
      <c r="E22" s="82" t="n"/>
      <c r="F22" s="82" t="n"/>
      <c r="G22" s="82" t="n"/>
      <c r="H22" s="83" t="n"/>
    </row>
    <row r="23" ht="15.75" customHeight="1" s="59">
      <c r="B23" s="95" t="inlineStr">
        <is>
          <t xml:space="preserve">  Issuance of Long-Term Debt</t>
        </is>
      </c>
      <c r="C23" s="96" t="n">
        <v>26934</v>
      </c>
      <c r="D23" s="96" t="n">
        <v>13094</v>
      </c>
      <c r="E23" s="96" t="n">
        <v>3972</v>
      </c>
      <c r="F23" s="96" t="n">
        <v>6891</v>
      </c>
      <c r="G23" s="96" t="n">
        <v>12061</v>
      </c>
      <c r="H23" s="96" t="n">
        <v>4980</v>
      </c>
    </row>
    <row r="24" ht="15.75" customHeight="1" s="59">
      <c r="B24" s="95" t="inlineStr">
        <is>
          <t xml:space="preserve">  Repayments of Long-Term Debt</t>
        </is>
      </c>
      <c r="C24" s="96" t="n">
        <v>-28796</v>
      </c>
      <c r="D24" s="96" t="n">
        <v>-12866</v>
      </c>
      <c r="E24" s="96" t="n">
        <v>-4930</v>
      </c>
      <c r="F24" s="96" t="n">
        <v>-5034</v>
      </c>
      <c r="G24" s="96" t="n">
        <v>-9533</v>
      </c>
      <c r="H24" s="96" t="n">
        <v>-4967</v>
      </c>
    </row>
    <row r="25" ht="15.75" customHeight="1" s="59">
      <c r="B25" s="95" t="inlineStr">
        <is>
          <t xml:space="preserve">  Share Repurchases</t>
        </is>
      </c>
      <c r="C25" s="96" t="n">
        <v>-118</v>
      </c>
      <c r="D25" s="96" t="n">
        <v>-111</v>
      </c>
      <c r="E25" s="96" t="n">
        <v>-1418</v>
      </c>
      <c r="F25" s="96" t="n">
        <v>-2289</v>
      </c>
      <c r="G25" s="96" t="n">
        <v>-1795</v>
      </c>
      <c r="H25" s="96" t="n">
        <v>-746</v>
      </c>
    </row>
    <row r="26" ht="15.75" customHeight="1" s="59">
      <c r="B26" s="95" t="inlineStr">
        <is>
          <t xml:space="preserve">  Dividends Paid</t>
        </is>
      </c>
      <c r="C26" s="96" t="n">
        <v>-7047</v>
      </c>
      <c r="D26" s="96" t="n">
        <v>-7252</v>
      </c>
      <c r="E26" s="96" t="n">
        <v>-7616</v>
      </c>
      <c r="F26" s="96" t="n">
        <v>-7952</v>
      </c>
      <c r="G26" s="96" t="n">
        <v>-8359</v>
      </c>
      <c r="H26" s="96" t="n">
        <v>-8779</v>
      </c>
    </row>
    <row r="27" ht="15.75" customHeight="1" s="59">
      <c r="B27" s="95" t="inlineStr">
        <is>
          <t xml:space="preserve">  Other Financing</t>
        </is>
      </c>
      <c r="C27" s="96" t="n">
        <v>310</v>
      </c>
      <c r="D27" s="96" t="n">
        <v>-353</v>
      </c>
      <c r="E27" s="96" t="n">
        <v>-1095</v>
      </c>
      <c r="F27" s="96" t="n">
        <v>-465</v>
      </c>
      <c r="G27" s="96" t="n">
        <v>-31</v>
      </c>
      <c r="H27" s="96" t="n">
        <v>1372</v>
      </c>
    </row>
    <row r="28" ht="15.75" customHeight="1" s="59">
      <c r="B28" s="112" t="inlineStr">
        <is>
          <t>Cash from Financing (CFF)</t>
        </is>
      </c>
      <c r="C28" s="113" t="n">
        <v>-8070</v>
      </c>
      <c r="D28" s="113" t="n">
        <v>-6786</v>
      </c>
      <c r="E28" s="113" t="n">
        <v>-10250</v>
      </c>
      <c r="F28" s="113" t="n">
        <v>-8310</v>
      </c>
      <c r="G28" s="113" t="n">
        <v>-6910</v>
      </c>
      <c r="H28" s="113" t="n">
        <v>-8140</v>
      </c>
    </row>
    <row r="29" ht="7.5" customHeight="1" s="59">
      <c r="B29" s="89" t="n"/>
      <c r="C29" s="89" t="n"/>
      <c r="D29" s="89" t="n"/>
      <c r="E29" s="89" t="n"/>
      <c r="F29" s="89" t="n"/>
      <c r="G29" s="89" t="n"/>
      <c r="H29" s="89" t="n"/>
    </row>
    <row r="30" ht="18" customHeight="1" s="59">
      <c r="B30" s="99" t="inlineStr">
        <is>
          <t>▸  FREE CASH FLOW (FCF)</t>
        </is>
      </c>
      <c r="C30" s="100" t="n"/>
      <c r="D30" s="100" t="n"/>
      <c r="E30" s="100" t="n"/>
      <c r="F30" s="100" t="n"/>
      <c r="G30" s="100" t="n"/>
      <c r="H30" s="101" t="n"/>
    </row>
    <row r="31" ht="15.75" customHeight="1" s="59">
      <c r="B31" s="99" t="inlineStr">
        <is>
          <t xml:space="preserve">  Free Cash Flow  (CFO – CapEx)</t>
        </is>
      </c>
      <c r="C31" s="102">
        <f>C12+C15</f>
        <v/>
      </c>
      <c r="D31" s="102">
        <f>D12+D15</f>
        <v/>
      </c>
      <c r="E31" s="102">
        <f>E12+E15</f>
        <v/>
      </c>
      <c r="F31" s="102">
        <f>F12+F15</f>
        <v/>
      </c>
      <c r="G31" s="102">
        <f>G12+G15</f>
        <v/>
      </c>
      <c r="H31" s="102">
        <f>H12+H15</f>
        <v/>
      </c>
    </row>
    <row r="32" ht="13.5" customHeight="1" s="59">
      <c r="B32" s="103" t="inlineStr">
        <is>
          <t xml:space="preserve">  FCF Margin</t>
        </is>
      </c>
      <c r="C32" s="97">
        <f>C31/33014</f>
        <v/>
      </c>
      <c r="D32" s="97">
        <f>D31/38655</f>
        <v/>
      </c>
      <c r="E32" s="97">
        <f>E31/43004</f>
        <v/>
      </c>
      <c r="F32" s="97">
        <f>F31/45754</f>
        <v/>
      </c>
      <c r="G32" s="97">
        <f>G31/47061</f>
        <v/>
      </c>
      <c r="H32" s="97">
        <f>H31/47061</f>
        <v/>
      </c>
    </row>
    <row r="33" ht="15.75" customHeight="1" s="59">
      <c r="B33" s="99" t="inlineStr">
        <is>
          <t>Net Change in Cash</t>
        </is>
      </c>
      <c r="C33" s="102" t="n">
        <v>373</v>
      </c>
      <c r="D33" s="102" t="n">
        <v>2915</v>
      </c>
      <c r="E33" s="102" t="n">
        <v>-200</v>
      </c>
      <c r="F33" s="102" t="n">
        <v>-133</v>
      </c>
      <c r="G33" s="102" t="n">
        <v>1796</v>
      </c>
      <c r="H33" s="102" t="n">
        <v>-478</v>
      </c>
    </row>
    <row r="34" ht="7.5" customHeight="1" s="59">
      <c r="B34" s="89" t="n"/>
      <c r="C34" s="89" t="n"/>
      <c r="D34" s="89" t="n"/>
      <c r="E34" s="89" t="n"/>
      <c r="F34" s="89" t="n"/>
      <c r="G34" s="89" t="n"/>
      <c r="H34" s="89" t="n"/>
    </row>
    <row r="35" ht="13.5" customHeight="1" s="59">
      <c r="B35" s="99" t="inlineStr">
        <is>
          <t>Source: KO 10-K Filings, FY2020–FY2024, SEC EDGAR | FCF = CFO - CapEx | Values in $MM</t>
        </is>
      </c>
      <c r="C35" s="100" t="n"/>
      <c r="D35" s="100" t="n"/>
      <c r="E35" s="100" t="n"/>
      <c r="F35" s="100" t="n"/>
      <c r="G35" s="100" t="n"/>
      <c r="H35" s="101" t="n"/>
    </row>
  </sheetData>
  <mergeCells count="7">
    <mergeCell ref="B22:H22"/>
    <mergeCell ref="B14:H14"/>
    <mergeCell ref="B35:H35"/>
    <mergeCell ref="B6:H6"/>
    <mergeCell ref="B30:H30"/>
    <mergeCell ref="B2:H2"/>
    <mergeCell ref="B3:H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B00D18"/>
    <outlinePr summaryBelow="1" summaryRight="1"/>
    <pageSetUpPr fitToPage="0"/>
  </sheetPr>
  <dimension ref="A2:H42"/>
  <sheetViews>
    <sheetView showFormulas="0" showGridLines="0" showRowColHeaders="1" showZeros="1" rightToLeft="0" tabSelected="1" showOutlineSymbols="1" defaultGridColor="1" view="normal" topLeftCell="A1" colorId="64" zoomScale="176" zoomScaleNormal="176" zoomScalePageLayoutView="100" workbookViewId="0">
      <selection pane="topLeft" activeCell="A1" activeCellId="0" sqref="A1"/>
    </sheetView>
  </sheetViews>
  <sheetFormatPr baseColWidth="8" defaultColWidth="8.83203125" defaultRowHeight="15" customHeight="0" zeroHeight="0" outlineLevelRow="0"/>
  <cols>
    <col width="3" customWidth="1" style="58" min="1" max="1"/>
    <col width="42" customWidth="1" style="58" min="2" max="2"/>
    <col width="15" customWidth="1" style="58" min="3" max="7"/>
    <col width="13" customWidth="1" style="58" min="8" max="8"/>
  </cols>
  <sheetData>
    <row r="1" ht="9.75" customHeight="1" s="59"/>
    <row r="2" ht="24" customHeight="1" s="59">
      <c r="A2" s="60" t="n"/>
      <c r="B2" s="81" t="inlineStr">
        <is>
          <t>KEY FINANCIAL RATIOS</t>
        </is>
      </c>
      <c r="C2" s="82" t="n"/>
      <c r="D2" s="82" t="n"/>
      <c r="E2" s="82" t="n"/>
      <c r="F2" s="82" t="n"/>
      <c r="G2" s="82" t="n"/>
      <c r="H2" s="83" t="n"/>
    </row>
    <row r="3" ht="19.5" customHeight="1" s="59">
      <c r="A3" s="62" t="n"/>
      <c r="B3" s="86" t="inlineStr">
        <is>
          <t>The Coca-Cola Company (KO)  |  FY2020 – FY2024  |  Derived from Filed Statements</t>
        </is>
      </c>
      <c r="C3" s="82" t="n"/>
      <c r="D3" s="82" t="n"/>
      <c r="E3" s="82" t="n"/>
      <c r="F3" s="82" t="n"/>
      <c r="G3" s="82" t="n"/>
      <c r="H3" s="83" t="n"/>
    </row>
    <row r="4" ht="15.75" customHeight="1" s="59">
      <c r="B4" s="89" t="n"/>
      <c r="C4" s="89" t="n"/>
      <c r="D4" s="89" t="n"/>
      <c r="E4" s="89" t="n"/>
      <c r="F4" s="89" t="n"/>
      <c r="G4" s="89" t="n"/>
    </row>
    <row r="5" ht="18" customHeight="1" s="59">
      <c r="B5" s="90" t="inlineStr">
        <is>
          <t>Metric</t>
        </is>
      </c>
      <c r="C5" s="91" t="n">
        <v>2020</v>
      </c>
      <c r="D5" s="91" t="n">
        <v>2021</v>
      </c>
      <c r="E5" s="91" t="n">
        <v>2022</v>
      </c>
      <c r="F5" s="91" t="n">
        <v>2023</v>
      </c>
      <c r="G5" s="91" t="n">
        <v>2024</v>
      </c>
    </row>
    <row r="6" ht="18" customHeight="1" s="59">
      <c r="B6" s="93" t="inlineStr">
        <is>
          <t>▸  PROFITABILITY MARGINS</t>
        </is>
      </c>
      <c r="C6" s="82" t="n"/>
      <c r="D6" s="82" t="n"/>
      <c r="E6" s="82" t="n"/>
      <c r="F6" s="82" t="n"/>
      <c r="G6" s="82" t="n"/>
      <c r="H6" s="83" t="n"/>
    </row>
    <row r="7" ht="15.75" customHeight="1" s="59">
      <c r="B7" s="103" t="inlineStr">
        <is>
          <t xml:space="preserve">  Revenue ($MM)</t>
        </is>
      </c>
      <c r="C7" s="114" t="n">
        <v>33014</v>
      </c>
      <c r="D7" s="114" t="n">
        <v>38655</v>
      </c>
      <c r="E7" s="114" t="n">
        <v>43004</v>
      </c>
      <c r="F7" s="114" t="n">
        <v>45754</v>
      </c>
      <c r="G7" s="114" t="n">
        <v>47061</v>
      </c>
    </row>
    <row r="8" ht="15.75" customHeight="1" s="59">
      <c r="B8" s="99" t="inlineStr">
        <is>
          <t xml:space="preserve">  Gross Profit ($MM)</t>
        </is>
      </c>
      <c r="C8" s="115" t="n">
        <v>19581</v>
      </c>
      <c r="D8" s="115" t="n">
        <v>23298</v>
      </c>
      <c r="E8" s="115" t="n">
        <v>25004</v>
      </c>
      <c r="F8" s="115" t="n">
        <v>27234</v>
      </c>
      <c r="G8" s="115" t="n">
        <v>28737</v>
      </c>
    </row>
    <row r="9" ht="15.75" customHeight="1" s="59">
      <c r="B9" s="99" t="inlineStr">
        <is>
          <t>EBITDA ($MM)</t>
        </is>
      </c>
      <c r="C9" s="115" t="n">
        <v>10533</v>
      </c>
      <c r="D9" s="115" t="n">
        <v>11760</v>
      </c>
      <c r="E9" s="115" t="n">
        <v>12169</v>
      </c>
      <c r="F9" s="115" t="n">
        <v>12439</v>
      </c>
      <c r="G9" s="115" t="n">
        <v>11067</v>
      </c>
    </row>
    <row r="10" ht="15.75" customHeight="1" s="59">
      <c r="B10" s="103" t="inlineStr">
        <is>
          <t xml:space="preserve">  EBIT / Operating Profit ($MM)</t>
        </is>
      </c>
      <c r="C10" s="114" t="n">
        <v>8997</v>
      </c>
      <c r="D10" s="114" t="n">
        <v>10308</v>
      </c>
      <c r="E10" s="114" t="n">
        <v>10909</v>
      </c>
      <c r="F10" s="114" t="n">
        <v>11311</v>
      </c>
      <c r="G10" s="114" t="n">
        <v>9992</v>
      </c>
    </row>
    <row r="11" ht="15.75" customHeight="1" s="59">
      <c r="B11" s="99" t="inlineStr">
        <is>
          <t xml:space="preserve">  Net Income ($MM)</t>
        </is>
      </c>
      <c r="C11" s="115" t="n">
        <v>7747</v>
      </c>
      <c r="D11" s="115" t="n">
        <v>9771</v>
      </c>
      <c r="E11" s="115" t="n">
        <v>9542</v>
      </c>
      <c r="F11" s="115" t="n">
        <v>10714</v>
      </c>
      <c r="G11" s="115" t="n">
        <v>10631</v>
      </c>
    </row>
    <row r="12" ht="15.75" customHeight="1" s="59">
      <c r="B12" s="103" t="inlineStr">
        <is>
          <t xml:space="preserve">  Gross Profit Margin</t>
        </is>
      </c>
      <c r="C12" s="116" t="n">
        <v>0.5931</v>
      </c>
      <c r="D12" s="116" t="n">
        <v>0.6027</v>
      </c>
      <c r="E12" s="116" t="n">
        <v>0.5814</v>
      </c>
      <c r="F12" s="116" t="n">
        <v>0.5952</v>
      </c>
      <c r="G12" s="116" t="n">
        <v>0.6106</v>
      </c>
    </row>
    <row r="13" ht="15.75" customHeight="1" s="59">
      <c r="B13" s="103" t="inlineStr">
        <is>
          <t xml:space="preserve">  EBITDA Margin</t>
        </is>
      </c>
      <c r="C13" s="116" t="n">
        <v>0.319</v>
      </c>
      <c r="D13" s="116" t="n">
        <v>0.3042</v>
      </c>
      <c r="E13" s="116" t="n">
        <v>0.283</v>
      </c>
      <c r="F13" s="116" t="n">
        <v>0.2719</v>
      </c>
      <c r="G13" s="116" t="n">
        <v>0.2352</v>
      </c>
    </row>
    <row r="14" ht="15.75" customHeight="1" s="59">
      <c r="B14" s="103" t="inlineStr">
        <is>
          <t xml:space="preserve">  EBIT / Operating Margin</t>
        </is>
      </c>
      <c r="C14" s="116" t="n">
        <v>0.2725</v>
      </c>
      <c r="D14" s="116" t="n">
        <v>0.2667</v>
      </c>
      <c r="E14" s="116" t="n">
        <v>0.2537</v>
      </c>
      <c r="F14" s="116" t="n">
        <v>0.2472</v>
      </c>
      <c r="G14" s="116" t="n">
        <v>0.2123</v>
      </c>
    </row>
    <row r="15" ht="15.75" customHeight="1" s="59">
      <c r="B15" s="112" t="inlineStr">
        <is>
          <t>Net Profit Margin</t>
        </is>
      </c>
      <c r="C15" s="117" t="n">
        <v>0.2347</v>
      </c>
      <c r="D15" s="117" t="n">
        <v>0.2528</v>
      </c>
      <c r="E15" s="117" t="n">
        <v>0.2219</v>
      </c>
      <c r="F15" s="117" t="n">
        <v>0.2342</v>
      </c>
      <c r="G15" s="117" t="n">
        <v>0.2259</v>
      </c>
    </row>
    <row r="16" ht="7.5" customHeight="1" s="59">
      <c r="B16" s="89" t="n"/>
      <c r="C16" s="118" t="n"/>
      <c r="D16" s="118" t="n"/>
      <c r="E16" s="118" t="n"/>
      <c r="F16" s="118" t="n"/>
      <c r="G16" s="118" t="n"/>
    </row>
    <row r="17" ht="18" customHeight="1" s="59">
      <c r="B17" s="93" t="inlineStr">
        <is>
          <t>▸  RETURN METRICS</t>
        </is>
      </c>
      <c r="C17" s="82" t="n"/>
      <c r="D17" s="82" t="n"/>
      <c r="E17" s="82" t="n"/>
      <c r="F17" s="82" t="n"/>
      <c r="G17" s="82" t="n"/>
      <c r="H17" s="83" t="n"/>
    </row>
    <row r="18" ht="15.75" customHeight="1" s="59">
      <c r="B18" s="103" t="inlineStr">
        <is>
          <t xml:space="preserve">  Return on Equity (ROE)</t>
        </is>
      </c>
      <c r="C18" s="116" t="n">
        <v>0.364</v>
      </c>
      <c r="D18" s="116" t="n">
        <v>0.393</v>
      </c>
      <c r="E18" s="116" t="n">
        <v>0.3695</v>
      </c>
      <c r="F18" s="116" t="n">
        <v>0.3899</v>
      </c>
      <c r="G18" s="116" t="n">
        <v>0.4031</v>
      </c>
    </row>
    <row r="19" ht="15.75" customHeight="1" s="59">
      <c r="B19" s="103" t="inlineStr">
        <is>
          <t xml:space="preserve">  Return on Assets (ROA)</t>
        </is>
      </c>
      <c r="C19" s="116" t="n">
        <v>0.0887</v>
      </c>
      <c r="D19" s="116" t="n">
        <v>0.1036</v>
      </c>
      <c r="E19" s="116" t="n">
        <v>0.1029</v>
      </c>
      <c r="F19" s="116" t="n">
        <v>0.1097</v>
      </c>
      <c r="G19" s="116" t="n">
        <v>0.1057</v>
      </c>
    </row>
    <row r="20" ht="15.75" customHeight="1" s="59">
      <c r="B20" s="112" t="inlineStr">
        <is>
          <t>Return on Capital Employed (ROCE)</t>
        </is>
      </c>
      <c r="C20" s="117" t="n">
        <v>0.1238</v>
      </c>
      <c r="D20" s="117" t="n">
        <v>0.1385</v>
      </c>
      <c r="E20" s="117" t="n">
        <v>0.1494</v>
      </c>
      <c r="F20" s="117" t="n">
        <v>0.1526</v>
      </c>
      <c r="G20" s="117" t="n">
        <v>0.1327</v>
      </c>
    </row>
    <row r="21" ht="7.5" customHeight="1" s="59">
      <c r="B21" s="89" t="n"/>
      <c r="C21" s="89" t="n"/>
      <c r="D21" s="89" t="n"/>
      <c r="E21" s="89" t="n"/>
      <c r="F21" s="89" t="n"/>
      <c r="G21" s="89" t="n"/>
    </row>
    <row r="22" ht="18" customHeight="1" s="59">
      <c r="B22" s="93" t="inlineStr">
        <is>
          <t>▸  LEVERAGE &amp; COVERAGE</t>
        </is>
      </c>
      <c r="C22" s="82" t="n"/>
      <c r="D22" s="82" t="n"/>
      <c r="E22" s="82" t="n"/>
      <c r="F22" s="82" t="n"/>
      <c r="G22" s="82" t="n"/>
      <c r="H22" s="83" t="n"/>
    </row>
    <row r="23" ht="15.75" customHeight="1" s="59">
      <c r="B23" s="99" t="inlineStr">
        <is>
          <t xml:space="preserve">  Total Debt ($MM)</t>
        </is>
      </c>
      <c r="C23" s="115" t="n">
        <v>42308</v>
      </c>
      <c r="D23" s="115" t="n">
        <v>41423</v>
      </c>
      <c r="E23" s="115" t="n">
        <v>38750</v>
      </c>
      <c r="F23" s="115" t="n">
        <v>40104</v>
      </c>
      <c r="G23" s="115" t="n">
        <v>43874</v>
      </c>
    </row>
    <row r="24" ht="15.75" customHeight="1" s="59">
      <c r="B24" s="103" t="inlineStr">
        <is>
          <t xml:space="preserve">  Net Debt ($MM)</t>
        </is>
      </c>
      <c r="C24" s="114" t="n">
        <v>35513</v>
      </c>
      <c r="D24" s="114" t="n">
        <v>31739</v>
      </c>
      <c r="E24" s="114" t="n">
        <v>29231</v>
      </c>
      <c r="F24" s="114" t="n">
        <v>30738</v>
      </c>
      <c r="G24" s="114" t="n">
        <v>33046</v>
      </c>
    </row>
    <row r="25" ht="15.75" customHeight="1" s="59">
      <c r="B25" s="103" t="inlineStr">
        <is>
          <t xml:space="preserve">  Debt / Equity (x)</t>
        </is>
      </c>
      <c r="C25" s="119" t="n">
        <v>1.99</v>
      </c>
      <c r="D25" s="119" t="n">
        <v>1.67</v>
      </c>
      <c r="E25" s="119" t="n">
        <v>1.5</v>
      </c>
      <c r="F25" s="119" t="n">
        <v>1.46</v>
      </c>
      <c r="G25" s="119" t="n">
        <v>1.66</v>
      </c>
    </row>
    <row r="26" ht="15.75" customHeight="1" s="59">
      <c r="B26" s="103" t="inlineStr">
        <is>
          <t xml:space="preserve">  Net Debt / EBITDA (x)</t>
        </is>
      </c>
      <c r="C26" s="119" t="n">
        <v>3.37</v>
      </c>
      <c r="D26" s="119" t="n">
        <v>2.7</v>
      </c>
      <c r="E26" s="119" t="n">
        <v>2.4</v>
      </c>
      <c r="F26" s="119" t="n">
        <v>2.47</v>
      </c>
      <c r="G26" s="119" t="n">
        <v>2.99</v>
      </c>
    </row>
    <row r="27" ht="15.75" customHeight="1" s="59">
      <c r="B27" s="103" t="inlineStr">
        <is>
          <t xml:space="preserve">  Total Liabilities / Equity (x)</t>
        </is>
      </c>
      <c r="C27" s="119" t="n">
        <v>3.1</v>
      </c>
      <c r="D27" s="119" t="n">
        <v>2.8</v>
      </c>
      <c r="E27" s="119" t="n">
        <v>2.59</v>
      </c>
      <c r="F27" s="119" t="n">
        <v>2.56</v>
      </c>
      <c r="G27" s="119" t="n">
        <v>2.81</v>
      </c>
    </row>
    <row r="28" ht="15.75" customHeight="1" s="59">
      <c r="B28" s="112" t="inlineStr">
        <is>
          <t>Interest Coverage (EBIT/Int.Exp)</t>
        </is>
      </c>
      <c r="C28" s="120" t="n">
        <v>6.26</v>
      </c>
      <c r="D28" s="120" t="n">
        <v>6.45</v>
      </c>
      <c r="E28" s="120" t="n">
        <v>12.37</v>
      </c>
      <c r="F28" s="120" t="n">
        <v>7.41</v>
      </c>
      <c r="G28" s="120" t="n">
        <v>6.03</v>
      </c>
    </row>
    <row r="29" ht="7.5" customHeight="1" s="59">
      <c r="B29" s="89" t="n"/>
      <c r="C29" s="89" t="n"/>
      <c r="D29" s="89" t="n"/>
      <c r="E29" s="89" t="n"/>
      <c r="F29" s="89" t="n"/>
      <c r="G29" s="89" t="n"/>
    </row>
    <row r="30" ht="18" customHeight="1" s="59">
      <c r="B30" s="93" t="inlineStr">
        <is>
          <t>▸  LIQUIDITY</t>
        </is>
      </c>
      <c r="C30" s="82" t="n"/>
      <c r="D30" s="82" t="n"/>
      <c r="E30" s="82" t="n"/>
      <c r="F30" s="82" t="n"/>
      <c r="G30" s="82" t="n"/>
      <c r="H30" s="83" t="n"/>
    </row>
    <row r="31" ht="15.75" customHeight="1" s="59">
      <c r="B31" s="103" t="inlineStr">
        <is>
          <t xml:space="preserve">  Current Ratio (x)</t>
        </is>
      </c>
      <c r="C31" s="119" t="n">
        <v>1.32</v>
      </c>
      <c r="D31" s="119" t="n">
        <v>1.13</v>
      </c>
      <c r="E31" s="119" t="n">
        <v>1.15</v>
      </c>
      <c r="F31" s="119" t="n">
        <v>1.13</v>
      </c>
      <c r="G31" s="119" t="n">
        <v>1.03</v>
      </c>
    </row>
    <row r="32" ht="15.75" customHeight="1" s="59">
      <c r="B32" s="112" t="inlineStr">
        <is>
          <t>Quick Ratio (x)</t>
        </is>
      </c>
      <c r="C32" s="120" t="n">
        <v>1.09</v>
      </c>
      <c r="D32" s="120" t="n">
        <v>0.96</v>
      </c>
      <c r="E32" s="120" t="n">
        <v>0.93</v>
      </c>
      <c r="F32" s="120" t="n">
        <v>0.95</v>
      </c>
      <c r="G32" s="120" t="n">
        <v>0.84</v>
      </c>
    </row>
    <row r="33" ht="7.5" customHeight="1" s="59">
      <c r="B33" s="89" t="n"/>
      <c r="C33" s="89" t="n"/>
      <c r="D33" s="89" t="n"/>
      <c r="E33" s="89" t="n"/>
      <c r="F33" s="89" t="n"/>
      <c r="G33" s="89" t="n"/>
    </row>
    <row r="34" ht="18" customHeight="1" s="59">
      <c r="B34" s="93" t="inlineStr">
        <is>
          <t>▸  CASH FLOW QUALITY</t>
        </is>
      </c>
      <c r="C34" s="82" t="n"/>
      <c r="D34" s="82" t="n"/>
      <c r="E34" s="82" t="n"/>
      <c r="F34" s="82" t="n"/>
      <c r="G34" s="82" t="n"/>
      <c r="H34" s="83" t="n"/>
    </row>
    <row r="35" ht="15.75" customHeight="1" s="59">
      <c r="B35" s="103" t="inlineStr">
        <is>
          <t xml:space="preserve">  CFO ($MM)</t>
        </is>
      </c>
      <c r="C35" s="114" t="n">
        <v>9844</v>
      </c>
      <c r="D35" s="114" t="n">
        <v>12625</v>
      </c>
      <c r="E35" s="114" t="n">
        <v>11018</v>
      </c>
      <c r="F35" s="114" t="n">
        <v>11599</v>
      </c>
      <c r="G35" s="114" t="n">
        <v>6805</v>
      </c>
    </row>
    <row r="36" ht="15.75" customHeight="1" s="59">
      <c r="B36" s="103" t="inlineStr">
        <is>
          <t xml:space="preserve">  CapEx ($MM)</t>
        </is>
      </c>
      <c r="C36" s="114" t="n">
        <v>-1177</v>
      </c>
      <c r="D36" s="114" t="n">
        <v>-1367</v>
      </c>
      <c r="E36" s="114" t="n">
        <v>-1484</v>
      </c>
      <c r="F36" s="114" t="n">
        <v>-1852</v>
      </c>
      <c r="G36" s="114" t="n">
        <v>-2064</v>
      </c>
    </row>
    <row r="37" ht="15.75" customHeight="1" s="59">
      <c r="B37" s="99" t="inlineStr">
        <is>
          <t>Free Cash Flow ($MM)</t>
        </is>
      </c>
      <c r="C37" s="115" t="n">
        <v>8667</v>
      </c>
      <c r="D37" s="115" t="n">
        <v>11258</v>
      </c>
      <c r="E37" s="115" t="n">
        <v>9534</v>
      </c>
      <c r="F37" s="115" t="n">
        <v>9747</v>
      </c>
      <c r="G37" s="115" t="n">
        <v>4741</v>
      </c>
    </row>
    <row r="38" ht="15.75" customHeight="1" s="59">
      <c r="B38" s="103" t="inlineStr">
        <is>
          <t xml:space="preserve">  FCF Margin</t>
        </is>
      </c>
      <c r="C38" s="116" t="n">
        <v>0.2625</v>
      </c>
      <c r="D38" s="116" t="n">
        <v>0.2912</v>
      </c>
      <c r="E38" s="116" t="n">
        <v>0.2217</v>
      </c>
      <c r="F38" s="116" t="n">
        <v>0.213</v>
      </c>
      <c r="G38" s="116" t="n">
        <v>0.1007</v>
      </c>
    </row>
    <row r="39" ht="15.75" customHeight="1" s="59">
      <c r="B39" s="103" t="inlineStr">
        <is>
          <t xml:space="preserve">  FCF / Net Income (x)</t>
        </is>
      </c>
      <c r="C39" s="119" t="n">
        <v>1.12</v>
      </c>
      <c r="D39" s="119" t="n">
        <v>1.15</v>
      </c>
      <c r="E39" s="119" t="n">
        <v>1</v>
      </c>
      <c r="F39" s="119" t="n">
        <v>0.91</v>
      </c>
      <c r="G39" s="119" t="n">
        <v>0.45</v>
      </c>
    </row>
    <row r="40" ht="15.75" customHeight="1" s="59">
      <c r="B40" s="103" t="inlineStr">
        <is>
          <t xml:space="preserve">  D&amp;A ($MM)</t>
        </is>
      </c>
      <c r="C40" s="114" t="n">
        <v>1536</v>
      </c>
      <c r="D40" s="114" t="n">
        <v>1452</v>
      </c>
      <c r="E40" s="114" t="n">
        <v>1260</v>
      </c>
      <c r="F40" s="114" t="n">
        <v>1128</v>
      </c>
      <c r="G40" s="114" t="n">
        <v>1075</v>
      </c>
    </row>
    <row r="41" ht="7.5" customHeight="1" s="59">
      <c r="B41" s="89" t="n"/>
      <c r="C41" s="89" t="n"/>
      <c r="D41" s="89" t="n"/>
      <c r="E41" s="89" t="n"/>
      <c r="F41" s="89" t="n"/>
      <c r="G41" s="89" t="n"/>
    </row>
    <row r="42" ht="13.5" customHeight="1" s="59">
      <c r="B42" s="99" t="inlineStr">
        <is>
          <t>Source: Derived from KO 10-K Filings FY2020–FY2024 | EBITDA = EBIT + D&amp;A | FCF = CFO – CapEx</t>
        </is>
      </c>
      <c r="C42" s="100" t="n"/>
      <c r="D42" s="100" t="n"/>
      <c r="E42" s="100" t="n"/>
      <c r="F42" s="100" t="n"/>
      <c r="G42" s="100" t="n"/>
      <c r="H42" s="101" t="n"/>
    </row>
  </sheetData>
  <mergeCells count="8">
    <mergeCell ref="B22:H22"/>
    <mergeCell ref="B17:H17"/>
    <mergeCell ref="B6:H6"/>
    <mergeCell ref="B30:H30"/>
    <mergeCell ref="B2:H2"/>
    <mergeCell ref="B42:H42"/>
    <mergeCell ref="B3:H3"/>
    <mergeCell ref="B34:H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tabColor rgb="00A8132A"/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52" customWidth="1" style="59" min="1" max="1"/>
    <col width="14" customWidth="1" style="59" min="2" max="2"/>
    <col width="14" customWidth="1" style="59" min="3" max="3"/>
    <col width="14" customWidth="1" style="59" min="4" max="4"/>
  </cols>
  <sheetData>
    <row r="1" ht="24" customHeight="1" s="59">
      <c r="A1" s="121" t="inlineStr">
        <is>
          <t>Coca-Cola — Peer Comparison (Comparable Company Analysis)</t>
        </is>
      </c>
    </row>
    <row r="2">
      <c r="A2" s="122" t="inlineStr">
        <is>
          <t>Researched Jun 2026 · update with live data before use</t>
        </is>
      </c>
    </row>
    <row r="4">
      <c r="A4" s="123" t="inlineStr">
        <is>
          <t>Company</t>
        </is>
      </c>
      <c r="B4" s="124" t="n">
        <v>87</v>
      </c>
      <c r="C4" s="124" t="inlineStr">
        <is>
          <t>EPS ($)</t>
        </is>
      </c>
      <c r="D4" s="124" t="inlineStr">
        <is>
          <t>P/E (x)</t>
        </is>
      </c>
    </row>
    <row r="5">
      <c r="A5" s="125" t="inlineStr">
        <is>
          <t>Coca-Cola ★</t>
        </is>
      </c>
      <c r="B5" s="126" t="n">
        <v>81.27</v>
      </c>
      <c r="C5" s="126" t="n">
        <v>3.13</v>
      </c>
      <c r="D5" s="127">
        <f>B5/C5</f>
        <v/>
      </c>
    </row>
    <row r="6">
      <c r="A6" s="128" t="inlineStr">
        <is>
          <t>PepsiCo</t>
        </is>
      </c>
      <c r="B6" s="129" t="n">
        <v>146</v>
      </c>
      <c r="C6" s="129" t="n">
        <v>8.34</v>
      </c>
      <c r="D6" s="130">
        <f>B6/C6</f>
        <v/>
      </c>
    </row>
    <row r="7">
      <c r="A7" s="131" t="inlineStr">
        <is>
          <t>Mondelez</t>
        </is>
      </c>
      <c r="B7" s="132" t="n">
        <v>61</v>
      </c>
      <c r="C7" s="132" t="n">
        <v>2.01</v>
      </c>
      <c r="D7" s="133">
        <f>B7/C7</f>
        <v/>
      </c>
    </row>
    <row r="9">
      <c r="A9" s="134" t="inlineStr">
        <is>
          <t>COMPARABLE-COMPANY SUMMARY</t>
        </is>
      </c>
      <c r="B9" s="135" t="n"/>
      <c r="C9" s="135" t="n"/>
      <c r="D9" s="136" t="n"/>
    </row>
    <row r="10">
      <c r="A10" s="125" t="inlineStr">
        <is>
          <t>Peer median P/E (x)</t>
        </is>
      </c>
      <c r="D10" s="133">
        <f>MEDIAN(D6:D7)</f>
        <v/>
      </c>
    </row>
    <row r="11">
      <c r="A11" s="125" t="inlineStr">
        <is>
          <t>Coca-Cola P/E premium / (discount) to peers</t>
        </is>
      </c>
      <c r="D11" s="137">
        <f>D5/D10-1</f>
        <v/>
      </c>
    </row>
    <row r="12">
      <c r="A12" s="125" t="inlineStr">
        <is>
          <t>Comps-implied value — peer median P/E × EPS ($)</t>
        </is>
      </c>
      <c r="D12" s="132">
        <f>D10*C5</f>
        <v/>
      </c>
    </row>
    <row r="13">
      <c r="A13" s="125" t="inlineStr">
        <is>
          <t>Comps-implied vs current price</t>
        </is>
      </c>
      <c r="D13" s="137">
        <f>D12/B5-1</f>
        <v/>
      </c>
    </row>
    <row r="15">
      <c r="A15" s="138" t="inlineStr">
        <is>
          <t>Note: KO carries a premium to PepsiCo (higher margins, cleaner focus) and trades near Mondelez. The premium is deserved; the ~2.5% growing yield is part of total return.</t>
        </is>
      </c>
    </row>
    <row r="16"/>
    <row r="17"/>
  </sheetData>
  <mergeCells count="4">
    <mergeCell ref="A1:D1"/>
    <mergeCell ref="A9:D9"/>
    <mergeCell ref="A15:D1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2026-04-23T12:16:21Z</dcterms:created>
  <dcterms:modified xmlns:dcterms="http://purl.org/dc/terms/" xmlns:xsi="http://www.w3.org/2001/XMLSchema-instance" xsi:type="dcterms:W3CDTF">2026-07-28T11:28:48Z</dcterms:modified>
  <cp:lastModifiedBy>Debjit Mukherjee</cp:lastModifiedBy>
  <cp:revision>0</cp:revision>
</cp:coreProperties>
</file>