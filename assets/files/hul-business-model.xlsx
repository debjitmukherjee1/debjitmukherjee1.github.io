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BS" sheetId="3" state="visible" r:id="rId3"/>
    <sheet xmlns:r="http://schemas.openxmlformats.org/officeDocument/2006/relationships" name="CF" sheetId="4" state="visible" r:id="rId4"/>
    <sheet xmlns:r="http://schemas.openxmlformats.org/officeDocument/2006/relationships" name="Key Ratios" sheetId="5" state="visible" r:id="rId5"/>
    <sheet xmlns:r="http://schemas.openxmlformats.org/officeDocument/2006/relationships" name="DCF Model" sheetId="6" state="visible" r:id="rId6"/>
    <sheet xmlns:r="http://schemas.openxmlformats.org/officeDocument/2006/relationships" name="PE Valuation" sheetId="7" state="visible" r:id="rId7"/>
    <sheet xmlns:r="http://schemas.openxmlformats.org/officeDocument/2006/relationships" name="Football Field" sheetId="8" state="visible" r:id="rId8"/>
  </sheets>
  <definedNames>
    <definedName name="_xlnm.Print_Area" localSheetId="0">'Cover'!$A$2:$K$39</definedName>
    <definedName name="_xlnm.Print_Area" localSheetId="1">'IS'!$A$2:$G$37</definedName>
    <definedName name="_xlnm.Print_Area" localSheetId="2">'BS'!$A$2:$G$58</definedName>
    <definedName name="_xlnm.Print_Area" localSheetId="3">'CF'!$A$2:$G$47</definedName>
    <definedName name="_xlnm.Print_Area" localSheetId="4">'Key Ratios'!$A$2:$G$36</definedName>
    <definedName name="_xlnm.Print_Area" localSheetId="5">'DCF Model'!$A$2:$K$80</definedName>
    <definedName name="_xlnm.Print_Area" localSheetId="6">'PE Valuation'!$A$1:$K$68</definedName>
    <definedName name="_xlnm.Print_Area" localSheetId="7">'Football Field'!$A$2:$R$39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4">
    <numFmt numFmtId="164" formatCode="\₹#,##0"/>
    <numFmt numFmtId="165" formatCode="\+0.0%;\-0.0%;0.0%"/>
    <numFmt numFmtId="166" formatCode="#,##0;\(#,##0\);\-"/>
    <numFmt numFmtId="167" formatCode="0.0%;\(0.0%\);\-"/>
    <numFmt numFmtId="168" formatCode="#,##0.00;\(#,##0.00\);\-"/>
    <numFmt numFmtId="169" formatCode="#,##0.0"/>
    <numFmt numFmtId="170" formatCode="0.00\x"/>
    <numFmt numFmtId="171" formatCode="0.0\x"/>
    <numFmt numFmtId="172" formatCode="0.0%"/>
    <numFmt numFmtId="173" formatCode="#,##0;\(#,##0\)"/>
    <numFmt numFmtId="174" formatCode="0.0000"/>
    <numFmt numFmtId="175" formatCode="0.0%;\(0.0%\)"/>
    <numFmt numFmtId="176" formatCode="\₹#,##0;&quot;(₹&quot;#,##0\);\-"/>
    <numFmt numFmtId="177" formatCode="\+0.00%;\-0.00%;0.00%"/>
  </numFmts>
  <fonts count="4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26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5D6D7E"/>
      <sz val="10"/>
    </font>
    <font>
      <name val="Arial"/>
      <charset val="1"/>
      <family val="0"/>
      <b val="1"/>
      <color rgb="FF404040"/>
      <sz val="10"/>
    </font>
    <font>
      <name val="Arial"/>
      <charset val="1"/>
      <family val="0"/>
      <color rgb="FF2471A3"/>
      <sz val="10"/>
      <u val="single"/>
    </font>
    <font>
      <name val="Arial"/>
      <charset val="1"/>
      <family val="0"/>
      <color rgb="FF1F1F1F"/>
      <sz val="10"/>
    </font>
    <font>
      <name val="Arial"/>
      <charset val="1"/>
      <family val="0"/>
      <color rgb="FF2471A3"/>
      <sz val="10"/>
    </font>
    <font>
      <name val="Arial"/>
      <charset val="1"/>
      <family val="0"/>
      <i val="1"/>
      <color rgb="FF7D3C98"/>
      <sz val="10"/>
    </font>
    <font>
      <name val="Arial"/>
      <charset val="1"/>
      <family val="0"/>
      <i val="1"/>
      <color rgb="FF7F8C8D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1F1F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006100"/>
      <sz val="10"/>
    </font>
    <font>
      <name val="Arial"/>
      <charset val="1"/>
      <family val="0"/>
      <b val="1"/>
      <color rgb="FF1C39BB"/>
      <sz val="10"/>
    </font>
    <font>
      <name val="Arial"/>
      <charset val="1"/>
      <family val="0"/>
      <b val="1"/>
      <i val="1"/>
      <color rgb="FF1C39BB"/>
      <sz val="10"/>
    </font>
    <font>
      <name val="Arial"/>
      <charset val="1"/>
      <family val="0"/>
      <i val="1"/>
      <color rgb="FF1F1F1F"/>
      <sz val="10"/>
    </font>
    <font>
      <name val="Arial"/>
      <charset val="1"/>
      <family val="0"/>
      <b val="1"/>
      <i val="1"/>
      <color rgb="FF595959"/>
      <sz val="10"/>
    </font>
    <font>
      <name val="Arial"/>
      <charset val="1"/>
      <family val="0"/>
      <i val="1"/>
      <color rgb="FF595959"/>
      <sz val="10"/>
    </font>
    <font>
      <name val="Arial"/>
      <family val="2"/>
      <sz val="10"/>
    </font>
    <font>
      <name val="Arial"/>
      <charset val="1"/>
      <family val="0"/>
      <b val="1"/>
      <color rgb="FFFFFFFF"/>
      <sz val="20"/>
    </font>
    <font>
      <name val="Arial"/>
      <charset val="1"/>
      <family val="0"/>
      <i val="1"/>
      <color rgb="FF5D6D7E"/>
      <sz val="10"/>
    </font>
    <font>
      <name val="Arial"/>
      <charset val="1"/>
      <family val="0"/>
      <color rgb="FF0000FF"/>
      <sz val="10"/>
    </font>
    <font>
      <name val="Calibri"/>
      <charset val="1"/>
      <family val="2"/>
      <color rgb="FF000000"/>
      <sz val="10"/>
    </font>
    <font>
      <name val="Arial"/>
      <charset val="1"/>
      <family val="0"/>
      <i val="1"/>
      <color rgb="FFA6A6A6"/>
      <sz val="10"/>
    </font>
    <font>
      <name val="Arial"/>
      <charset val="1"/>
      <family val="0"/>
      <b val="1"/>
      <i val="1"/>
      <color rgb="FF7D3C98"/>
      <sz val="12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1F1F1F"/>
      <sz val="12"/>
    </font>
    <font>
      <name val="Arial"/>
      <charset val="1"/>
      <family val="0"/>
      <i val="1"/>
      <color rgb="FF808080"/>
      <sz val="10"/>
    </font>
    <font>
      <name val="Arial"/>
      <charset val="1"/>
      <family val="0"/>
      <b val="1"/>
      <color rgb="FF008000"/>
      <sz val="10"/>
    </font>
    <font>
      <name val="Calibri"/>
      <family val="2"/>
      <b val="1"/>
      <color rgb="FF404040"/>
      <sz val="12"/>
    </font>
    <font>
      <name val="Calibri"/>
      <family val="2"/>
      <b val="1"/>
      <color rgb="FFFFFFFF"/>
      <sz val="9"/>
    </font>
    <font>
      <name val="Calibri"/>
      <family val="2"/>
      <b val="1"/>
      <color rgb="FF595959"/>
      <sz val="10"/>
    </font>
    <font>
      <name val="Calibri"/>
      <family val="2"/>
      <color rgb="FF595959"/>
      <sz val="10"/>
    </font>
    <font>
      <name val="Calibri"/>
      <family val="2"/>
      <color rgb="FF595959"/>
      <sz val="9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FF1C39BB"/>
        <bgColor rgb="FF4053C9"/>
      </patternFill>
    </fill>
    <fill>
      <patternFill patternType="solid">
        <fgColor rgb="FFE9EBFA"/>
        <bgColor rgb="FFD9DEF5"/>
      </patternFill>
    </fill>
    <fill>
      <patternFill patternType="solid">
        <fgColor rgb="FF4053C9"/>
        <bgColor rgb="FF1C39BB"/>
      </patternFill>
    </fill>
    <fill>
      <patternFill patternType="solid">
        <fgColor rgb="FFFFFFFF"/>
        <bgColor rgb="FFF9FBFC"/>
      </patternFill>
    </fill>
    <fill>
      <patternFill patternType="solid">
        <fgColor rgb="FFF9FBFC"/>
        <bgColor rgb="FFFFFFFF"/>
      </patternFill>
    </fill>
    <fill>
      <patternFill patternType="solid">
        <fgColor rgb="FFD9DEF5"/>
        <bgColor rgb="FFD9D9D9"/>
      </patternFill>
    </fill>
    <fill>
      <patternFill patternType="solid">
        <fgColor rgb="001F3864"/>
      </patternFill>
    </fill>
  </fills>
  <borders count="4">
    <border>
      <left/>
      <right/>
      <top/>
      <bottom/>
      <diagonal/>
    </border>
    <border>
      <left/>
      <right/>
      <top style="thin">
        <color rgb="FF00A0DF"/>
      </top>
      <bottom style="thin">
        <color rgb="FF00A0DF"/>
      </bottom>
      <diagonal/>
    </border>
    <border>
      <left/>
      <right/>
      <top/>
      <bottom style="medium">
        <color rgb="FF2E4057"/>
      </bottom>
      <diagonal/>
    </border>
    <border>
      <left/>
      <right/>
      <top style="thin">
        <color rgb="FF00A0DF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 indent="1"/>
    </xf>
    <xf numFmtId="0" fontId="11" fillId="5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left" vertical="center" indent="1"/>
    </xf>
    <xf numFmtId="0" fontId="12" fillId="5" borderId="0" applyAlignment="1" pivotButton="0" quotePrefix="0" xfId="0">
      <alignment horizontal="left" vertical="center" indent="1"/>
    </xf>
    <xf numFmtId="0" fontId="12" fillId="6" borderId="0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164" fontId="17" fillId="0" borderId="0" applyAlignment="1" pivotButton="0" quotePrefix="0" xfId="0">
      <alignment horizontal="center" vertical="bottom"/>
    </xf>
    <xf numFmtId="165" fontId="17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bottom"/>
    </xf>
    <xf numFmtId="0" fontId="20" fillId="7" borderId="1" applyAlignment="1" pivotButton="0" quotePrefix="0" xfId="0">
      <alignment horizontal="general" vertical="bottom"/>
    </xf>
    <xf numFmtId="10" fontId="17" fillId="7" borderId="1" applyAlignment="1" pivotButton="0" quotePrefix="0" xfId="0">
      <alignment horizontal="center" vertical="bottom"/>
    </xf>
    <xf numFmtId="0" fontId="21" fillId="7" borderId="1" applyAlignment="1" pivotButton="0" quotePrefix="0" xfId="0">
      <alignment horizontal="center" vertical="bottom"/>
    </xf>
    <xf numFmtId="0" fontId="20" fillId="7" borderId="1" applyAlignment="1" pivotButton="0" quotePrefix="0" xfId="0">
      <alignment horizontal="center" vertical="bottom"/>
    </xf>
    <xf numFmtId="0" fontId="22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18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 wrapText="1"/>
    </xf>
    <xf numFmtId="0" fontId="26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27" fillId="3" borderId="0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left" vertical="center" indent="1"/>
    </xf>
    <xf numFmtId="166" fontId="28" fillId="6" borderId="0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indent="1"/>
    </xf>
    <xf numFmtId="166" fontId="28" fillId="5" borderId="0" applyAlignment="1" pivotButton="0" quotePrefix="0" xfId="0">
      <alignment horizontal="right" vertical="center"/>
    </xf>
    <xf numFmtId="0" fontId="20" fillId="7" borderId="1" applyAlignment="1" pivotButton="0" quotePrefix="0" xfId="0">
      <alignment horizontal="left" vertical="center" indent="1"/>
    </xf>
    <xf numFmtId="166" fontId="20" fillId="7" borderId="1" applyAlignment="1" pivotButton="0" quotePrefix="0" xfId="0">
      <alignment horizontal="right" vertical="center"/>
    </xf>
    <xf numFmtId="167" fontId="11" fillId="5" borderId="0" applyAlignment="1" pivotButton="0" quotePrefix="0" xfId="0">
      <alignment horizontal="right" vertical="center"/>
    </xf>
    <xf numFmtId="0" fontId="11" fillId="6" borderId="0" applyAlignment="1" pivotButton="0" quotePrefix="0" xfId="0">
      <alignment horizontal="left" vertical="center" indent="2"/>
    </xf>
    <xf numFmtId="166" fontId="29" fillId="6" borderId="0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indent="2"/>
    </xf>
    <xf numFmtId="166" fontId="29" fillId="5" borderId="0" applyAlignment="1" pivotButton="0" quotePrefix="0" xfId="0">
      <alignment horizontal="right" vertical="center"/>
    </xf>
    <xf numFmtId="166" fontId="11" fillId="6" borderId="0" applyAlignment="1" pivotButton="0" quotePrefix="0" xfId="0">
      <alignment horizontal="right" vertical="center"/>
    </xf>
    <xf numFmtId="167" fontId="11" fillId="6" borderId="0" applyAlignment="1" pivotButton="0" quotePrefix="0" xfId="0">
      <alignment horizontal="right" vertical="center"/>
    </xf>
    <xf numFmtId="168" fontId="28" fillId="5" borderId="0" applyAlignment="1" pivotButton="0" quotePrefix="0" xfId="0">
      <alignment horizontal="right" vertical="center"/>
    </xf>
    <xf numFmtId="168" fontId="28" fillId="6" borderId="0" applyAlignment="1" pivotButton="0" quotePrefix="0" xfId="0">
      <alignment horizontal="right" vertical="center"/>
    </xf>
    <xf numFmtId="169" fontId="11" fillId="5" borderId="0" applyAlignment="1" pivotButton="0" quotePrefix="0" xfId="0">
      <alignment horizontal="right" vertical="center"/>
    </xf>
    <xf numFmtId="166" fontId="17" fillId="6" borderId="0" applyAlignment="1" pivotButton="0" quotePrefix="0" xfId="0">
      <alignment horizontal="right" vertical="center"/>
    </xf>
    <xf numFmtId="166" fontId="17" fillId="5" borderId="0" applyAlignment="1" pivotButton="0" quotePrefix="0" xfId="0">
      <alignment horizontal="right" vertical="center"/>
    </xf>
    <xf numFmtId="0" fontId="11" fillId="6" borderId="0" applyAlignment="1" pivotButton="0" quotePrefix="0" xfId="0">
      <alignment horizontal="left" vertical="center" indent="3"/>
    </xf>
    <xf numFmtId="0" fontId="11" fillId="5" borderId="0" applyAlignment="1" pivotButton="0" quotePrefix="0" xfId="0">
      <alignment horizontal="left" vertical="center" indent="3"/>
    </xf>
    <xf numFmtId="166" fontId="11" fillId="5" borderId="0" applyAlignment="1" pivotButton="0" quotePrefix="0" xfId="0">
      <alignment horizontal="right" vertical="center"/>
    </xf>
    <xf numFmtId="167" fontId="17" fillId="5" borderId="0" applyAlignment="1" pivotButton="0" quotePrefix="0" xfId="0">
      <alignment horizontal="right" vertical="center"/>
    </xf>
    <xf numFmtId="0" fontId="16" fillId="3" borderId="0" applyAlignment="1" pivotButton="0" quotePrefix="0" xfId="0">
      <alignment horizontal="center" vertical="center"/>
    </xf>
    <xf numFmtId="167" fontId="17" fillId="6" borderId="0" applyAlignment="1" pivotButton="0" quotePrefix="0" xfId="0">
      <alignment horizontal="right" vertical="center"/>
    </xf>
    <xf numFmtId="170" fontId="17" fillId="5" borderId="0" applyAlignment="1" pivotButton="0" quotePrefix="0" xfId="0">
      <alignment horizontal="right" vertical="center"/>
    </xf>
    <xf numFmtId="170" fontId="17" fillId="6" borderId="0" applyAlignment="1" pivotButton="0" quotePrefix="0" xfId="0">
      <alignment horizontal="right" vertical="center"/>
    </xf>
    <xf numFmtId="171" fontId="17" fillId="5" borderId="0" applyAlignment="1" pivotButton="0" quotePrefix="0" xfId="0">
      <alignment horizontal="right" vertical="center"/>
    </xf>
    <xf numFmtId="171" fontId="30" fillId="5" borderId="0" applyAlignment="1" pivotButton="0" quotePrefix="0" xfId="0">
      <alignment horizontal="right" vertical="center"/>
    </xf>
    <xf numFmtId="171" fontId="30" fillId="6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bottom"/>
    </xf>
    <xf numFmtId="0" fontId="15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0" fontId="31" fillId="3" borderId="0" applyAlignment="1" pivotButton="0" quotePrefix="0" xfId="0">
      <alignment horizontal="center" vertical="center"/>
    </xf>
    <xf numFmtId="172" fontId="28" fillId="3" borderId="0" applyAlignment="1" pivotButton="0" quotePrefix="0" xfId="0">
      <alignment horizontal="general" vertical="bottom"/>
    </xf>
    <xf numFmtId="3" fontId="17" fillId="0" borderId="0" applyAlignment="1" pivotButton="0" quotePrefix="0" xfId="0">
      <alignment horizontal="general" vertical="bottom"/>
    </xf>
    <xf numFmtId="166" fontId="17" fillId="0" borderId="0" applyAlignment="1" pivotButton="0" quotePrefix="0" xfId="0">
      <alignment horizontal="general" vertical="bottom"/>
    </xf>
    <xf numFmtId="3" fontId="28" fillId="3" borderId="0" applyAlignment="1" pivotButton="0" quotePrefix="0" xfId="0">
      <alignment horizontal="general" vertical="bottom"/>
    </xf>
    <xf numFmtId="49" fontId="16" fillId="0" borderId="0" applyAlignment="1" pivotButton="0" quotePrefix="0" xfId="0">
      <alignment horizontal="center" vertical="bottom"/>
    </xf>
    <xf numFmtId="3" fontId="11" fillId="0" borderId="0" applyAlignment="1" pivotButton="0" quotePrefix="0" xfId="0">
      <alignment horizontal="general" vertical="bottom"/>
    </xf>
    <xf numFmtId="172" fontId="11" fillId="0" borderId="0" applyAlignment="1" pivotButton="0" quotePrefix="0" xfId="0">
      <alignment horizontal="general" vertical="bottom"/>
    </xf>
    <xf numFmtId="3" fontId="17" fillId="7" borderId="1" applyAlignment="1" pivotButton="0" quotePrefix="0" xfId="0">
      <alignment horizontal="general" vertical="bottom"/>
    </xf>
    <xf numFmtId="3" fontId="20" fillId="7" borderId="1" applyAlignment="1" pivotButton="0" quotePrefix="0" xfId="0">
      <alignment horizontal="general" vertical="bottom"/>
    </xf>
    <xf numFmtId="173" fontId="20" fillId="7" borderId="1" applyAlignment="1" pivotButton="0" quotePrefix="0" xfId="0">
      <alignment horizontal="general" vertical="bottom"/>
    </xf>
    <xf numFmtId="3" fontId="16" fillId="0" borderId="0" applyAlignment="1" pivotButton="0" quotePrefix="0" xfId="0">
      <alignment horizontal="general" vertical="bottom"/>
    </xf>
    <xf numFmtId="173" fontId="11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center" vertical="bottom"/>
    </xf>
    <xf numFmtId="174" fontId="11" fillId="0" borderId="0" applyAlignment="1" pivotButton="0" quotePrefix="0" xfId="0">
      <alignment horizontal="general" vertical="bottom"/>
    </xf>
    <xf numFmtId="164" fontId="16" fillId="3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75" fontId="16" fillId="0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172" fontId="32" fillId="3" borderId="0" applyAlignment="1" pivotButton="0" quotePrefix="0" xfId="0">
      <alignment horizontal="center" vertical="bottom"/>
    </xf>
    <xf numFmtId="172" fontId="16" fillId="3" borderId="0" applyAlignment="1" pivotButton="0" quotePrefix="0" xfId="0">
      <alignment horizontal="center" vertical="bottom"/>
    </xf>
    <xf numFmtId="176" fontId="11" fillId="0" borderId="0" applyAlignment="1" pivotButton="0" quotePrefix="0" xfId="0">
      <alignment horizontal="center" vertical="bottom"/>
    </xf>
    <xf numFmtId="176" fontId="16" fillId="3" borderId="0" applyAlignment="1" pivotButton="0" quotePrefix="0" xfId="0">
      <alignment horizontal="center" vertical="bottom"/>
    </xf>
    <xf numFmtId="169" fontId="11" fillId="0" borderId="0" applyAlignment="1" pivotButton="0" quotePrefix="0" xfId="0">
      <alignment horizontal="general" vertical="bottom"/>
    </xf>
    <xf numFmtId="164" fontId="20" fillId="7" borderId="1" applyAlignment="1" pivotButton="0" quotePrefix="0" xfId="0">
      <alignment horizontal="general" vertical="bottom"/>
    </xf>
    <xf numFmtId="176" fontId="11" fillId="0" borderId="0" applyAlignment="1" pivotButton="0" quotePrefix="0" xfId="0">
      <alignment horizontal="general" vertical="bottom"/>
    </xf>
    <xf numFmtId="164" fontId="16" fillId="0" borderId="0" applyAlignment="1" pivotButton="0" quotePrefix="0" xfId="0">
      <alignment horizontal="general" vertical="bottom"/>
    </xf>
    <xf numFmtId="164" fontId="11" fillId="7" borderId="1" applyAlignment="1" pivotButton="0" quotePrefix="0" xfId="0">
      <alignment horizontal="general" vertical="bottom"/>
    </xf>
    <xf numFmtId="10" fontId="33" fillId="3" borderId="0" applyAlignment="1" pivotButton="0" quotePrefix="0" xfId="0">
      <alignment horizontal="general" vertical="bottom"/>
    </xf>
    <xf numFmtId="10" fontId="11" fillId="0" borderId="0" applyAlignment="1" pivotButton="0" quotePrefix="0" xfId="0">
      <alignment horizontal="general" vertical="bottom"/>
    </xf>
    <xf numFmtId="177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2" fontId="17" fillId="0" borderId="0" applyAlignment="1" pivotButton="0" quotePrefix="0" xfId="0">
      <alignment horizontal="general" vertical="bottom"/>
    </xf>
    <xf numFmtId="171" fontId="11" fillId="0" borderId="0" applyAlignment="1" pivotButton="0" quotePrefix="0" xfId="0">
      <alignment horizontal="general" vertical="bottom"/>
    </xf>
    <xf numFmtId="171" fontId="16" fillId="0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general" vertical="bottom"/>
    </xf>
    <xf numFmtId="2" fontId="16" fillId="0" borderId="0" applyAlignment="1" pivotButton="0" quotePrefix="0" xfId="0">
      <alignment horizontal="general" vertical="bottom"/>
    </xf>
    <xf numFmtId="175" fontId="11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15" fillId="2" borderId="0" applyAlignment="1" pivotButton="0" quotePrefix="0" xfId="0">
      <alignment horizontal="general" vertical="bottom"/>
    </xf>
    <xf numFmtId="0" fontId="21" fillId="7" borderId="1" applyAlignment="1" pivotButton="0" quotePrefix="0" xfId="0">
      <alignment horizontal="general" vertical="bottom"/>
    </xf>
    <xf numFmtId="164" fontId="35" fillId="0" borderId="0" applyAlignment="1" pivotButton="0" quotePrefix="0" xfId="0">
      <alignment horizontal="center" vertical="bottom"/>
    </xf>
    <xf numFmtId="164" fontId="11" fillId="0" borderId="0" applyAlignment="1" pivotButton="0" quotePrefix="0" xfId="0">
      <alignment horizontal="center" vertical="bottom"/>
    </xf>
    <xf numFmtId="0" fontId="11" fillId="3" borderId="0" applyAlignment="1" pivotButton="0" quotePrefix="0" xfId="0">
      <alignment horizontal="center" vertical="bottom"/>
    </xf>
    <xf numFmtId="164" fontId="32" fillId="3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164" fontId="16" fillId="0" borderId="0" applyAlignment="1" pivotButton="0" quotePrefix="0" xfId="0">
      <alignment horizontal="center" vertical="bottom"/>
    </xf>
    <xf numFmtId="164" fontId="28" fillId="0" borderId="0" applyAlignment="1" pivotButton="0" quotePrefix="0" xfId="0">
      <alignment horizontal="center" vertical="bottom"/>
    </xf>
    <xf numFmtId="164" fontId="32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 indent="1"/>
    </xf>
    <xf numFmtId="0" fontId="11" fillId="5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left" vertical="center" indent="1"/>
    </xf>
    <xf numFmtId="0" fontId="12" fillId="5" borderId="0" applyAlignment="1" pivotButton="0" quotePrefix="0" xfId="0">
      <alignment horizontal="left" vertical="center" indent="1"/>
    </xf>
    <xf numFmtId="0" fontId="12" fillId="6" borderId="0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164" fontId="17" fillId="0" borderId="0" applyAlignment="1" pivotButton="0" quotePrefix="0" xfId="0">
      <alignment horizontal="center" vertical="bottom"/>
    </xf>
    <xf numFmtId="165" fontId="17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center" vertical="bottom"/>
    </xf>
    <xf numFmtId="0" fontId="20" fillId="7" borderId="1" applyAlignment="1" pivotButton="0" quotePrefix="0" xfId="0">
      <alignment horizontal="general" vertical="bottom"/>
    </xf>
    <xf numFmtId="10" fontId="17" fillId="7" borderId="1" applyAlignment="1" pivotButton="0" quotePrefix="0" xfId="0">
      <alignment horizontal="center" vertical="bottom"/>
    </xf>
    <xf numFmtId="0" fontId="21" fillId="7" borderId="1" applyAlignment="1" pivotButton="0" quotePrefix="0" xfId="0">
      <alignment horizontal="center" vertical="bottom"/>
    </xf>
    <xf numFmtId="0" fontId="20" fillId="7" borderId="1" applyAlignment="1" pivotButton="0" quotePrefix="0" xfId="0">
      <alignment horizontal="center" vertical="bottom"/>
    </xf>
    <xf numFmtId="0" fontId="22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18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 wrapText="1"/>
    </xf>
    <xf numFmtId="0" fontId="26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27" fillId="3" borderId="0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166" fontId="28" fillId="6" borderId="0" applyAlignment="1" pivotButton="0" quotePrefix="0" xfId="0">
      <alignment horizontal="right" vertical="center"/>
    </xf>
    <xf numFmtId="166" fontId="28" fillId="5" borderId="0" applyAlignment="1" pivotButton="0" quotePrefix="0" xfId="0">
      <alignment horizontal="right" vertical="center"/>
    </xf>
    <xf numFmtId="0" fontId="20" fillId="7" borderId="1" applyAlignment="1" pivotButton="0" quotePrefix="0" xfId="0">
      <alignment horizontal="left" vertical="center" indent="1"/>
    </xf>
    <xf numFmtId="166" fontId="20" fillId="7" borderId="1" applyAlignment="1" pivotButton="0" quotePrefix="0" xfId="0">
      <alignment horizontal="right" vertical="center"/>
    </xf>
    <xf numFmtId="167" fontId="11" fillId="5" borderId="0" applyAlignment="1" pivotButton="0" quotePrefix="0" xfId="0">
      <alignment horizontal="right" vertical="center"/>
    </xf>
    <xf numFmtId="0" fontId="11" fillId="6" borderId="0" applyAlignment="1" pivotButton="0" quotePrefix="0" xfId="0">
      <alignment horizontal="left" vertical="center" indent="2"/>
    </xf>
    <xf numFmtId="166" fontId="29" fillId="6" borderId="0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indent="2"/>
    </xf>
    <xf numFmtId="166" fontId="29" fillId="5" borderId="0" applyAlignment="1" pivotButton="0" quotePrefix="0" xfId="0">
      <alignment horizontal="right" vertical="center"/>
    </xf>
    <xf numFmtId="166" fontId="11" fillId="6" borderId="0" applyAlignment="1" pivotButton="0" quotePrefix="0" xfId="0">
      <alignment horizontal="right" vertical="center"/>
    </xf>
    <xf numFmtId="167" fontId="11" fillId="6" borderId="0" applyAlignment="1" pivotButton="0" quotePrefix="0" xfId="0">
      <alignment horizontal="right" vertical="center"/>
    </xf>
    <xf numFmtId="168" fontId="28" fillId="5" borderId="0" applyAlignment="1" pivotButton="0" quotePrefix="0" xfId="0">
      <alignment horizontal="right" vertical="center"/>
    </xf>
    <xf numFmtId="168" fontId="28" fillId="6" borderId="0" applyAlignment="1" pivotButton="0" quotePrefix="0" xfId="0">
      <alignment horizontal="right" vertical="center"/>
    </xf>
    <xf numFmtId="169" fontId="11" fillId="5" borderId="0" applyAlignment="1" pivotButton="0" quotePrefix="0" xfId="0">
      <alignment horizontal="right" vertical="center"/>
    </xf>
    <xf numFmtId="166" fontId="17" fillId="6" borderId="0" applyAlignment="1" pivotButton="0" quotePrefix="0" xfId="0">
      <alignment horizontal="right" vertical="center"/>
    </xf>
    <xf numFmtId="166" fontId="17" fillId="5" borderId="0" applyAlignment="1" pivotButton="0" quotePrefix="0" xfId="0">
      <alignment horizontal="right" vertical="center"/>
    </xf>
    <xf numFmtId="0" fontId="11" fillId="6" borderId="0" applyAlignment="1" pivotButton="0" quotePrefix="0" xfId="0">
      <alignment horizontal="left" vertical="center" indent="3"/>
    </xf>
    <xf numFmtId="0" fontId="11" fillId="5" borderId="0" applyAlignment="1" pivotButton="0" quotePrefix="0" xfId="0">
      <alignment horizontal="left" vertical="center" indent="3"/>
    </xf>
    <xf numFmtId="0" fontId="0" fillId="0" borderId="1" pivotButton="0" quotePrefix="0" xfId="0"/>
    <xf numFmtId="166" fontId="11" fillId="5" borderId="0" applyAlignment="1" pivotButton="0" quotePrefix="0" xfId="0">
      <alignment horizontal="right" vertical="center"/>
    </xf>
    <xf numFmtId="167" fontId="17" fillId="5" borderId="0" applyAlignment="1" pivotButton="0" quotePrefix="0" xfId="0">
      <alignment horizontal="right" vertical="center"/>
    </xf>
    <xf numFmtId="0" fontId="16" fillId="3" borderId="0" applyAlignment="1" pivotButton="0" quotePrefix="0" xfId="0">
      <alignment horizontal="center" vertical="center"/>
    </xf>
    <xf numFmtId="167" fontId="17" fillId="6" borderId="0" applyAlignment="1" pivotButton="0" quotePrefix="0" xfId="0">
      <alignment horizontal="right" vertical="center"/>
    </xf>
    <xf numFmtId="170" fontId="17" fillId="5" borderId="0" applyAlignment="1" pivotButton="0" quotePrefix="0" xfId="0">
      <alignment horizontal="right" vertical="center"/>
    </xf>
    <xf numFmtId="170" fontId="17" fillId="6" borderId="0" applyAlignment="1" pivotButton="0" quotePrefix="0" xfId="0">
      <alignment horizontal="right" vertical="center"/>
    </xf>
    <xf numFmtId="171" fontId="17" fillId="5" borderId="0" applyAlignment="1" pivotButton="0" quotePrefix="0" xfId="0">
      <alignment horizontal="right" vertical="center"/>
    </xf>
    <xf numFmtId="171" fontId="30" fillId="5" borderId="0" applyAlignment="1" pivotButton="0" quotePrefix="0" xfId="0">
      <alignment horizontal="right" vertical="center"/>
    </xf>
    <xf numFmtId="171" fontId="30" fillId="6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bottom"/>
    </xf>
    <xf numFmtId="0" fontId="15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0" fontId="31" fillId="3" borderId="0" applyAlignment="1" pivotButton="0" quotePrefix="0" xfId="0">
      <alignment horizontal="center" vertical="center"/>
    </xf>
    <xf numFmtId="172" fontId="28" fillId="3" borderId="0" applyAlignment="1" pivotButton="0" quotePrefix="0" xfId="0">
      <alignment horizontal="general" vertical="bottom"/>
    </xf>
    <xf numFmtId="3" fontId="17" fillId="0" borderId="0" applyAlignment="1" pivotButton="0" quotePrefix="0" xfId="0">
      <alignment horizontal="general" vertical="bottom"/>
    </xf>
    <xf numFmtId="166" fontId="17" fillId="0" borderId="0" applyAlignment="1" pivotButton="0" quotePrefix="0" xfId="0">
      <alignment horizontal="general" vertical="bottom"/>
    </xf>
    <xf numFmtId="3" fontId="28" fillId="3" borderId="0" applyAlignment="1" pivotButton="0" quotePrefix="0" xfId="0">
      <alignment horizontal="general" vertical="bottom"/>
    </xf>
    <xf numFmtId="49" fontId="16" fillId="0" borderId="0" applyAlignment="1" pivotButton="0" quotePrefix="0" xfId="0">
      <alignment horizontal="center" vertical="bottom"/>
    </xf>
    <xf numFmtId="3" fontId="11" fillId="0" borderId="0" applyAlignment="1" pivotButton="0" quotePrefix="0" xfId="0">
      <alignment horizontal="general" vertical="bottom"/>
    </xf>
    <xf numFmtId="172" fontId="11" fillId="0" borderId="0" applyAlignment="1" pivotButton="0" quotePrefix="0" xfId="0">
      <alignment horizontal="general" vertical="bottom"/>
    </xf>
    <xf numFmtId="3" fontId="17" fillId="7" borderId="1" applyAlignment="1" pivotButton="0" quotePrefix="0" xfId="0">
      <alignment horizontal="general" vertical="bottom"/>
    </xf>
    <xf numFmtId="3" fontId="20" fillId="7" borderId="1" applyAlignment="1" pivotButton="0" quotePrefix="0" xfId="0">
      <alignment horizontal="general" vertical="bottom"/>
    </xf>
    <xf numFmtId="173" fontId="20" fillId="7" borderId="1" applyAlignment="1" pivotButton="0" quotePrefix="0" xfId="0">
      <alignment horizontal="general" vertical="bottom"/>
    </xf>
    <xf numFmtId="3" fontId="16" fillId="0" borderId="0" applyAlignment="1" pivotButton="0" quotePrefix="0" xfId="0">
      <alignment horizontal="general" vertical="bottom"/>
    </xf>
    <xf numFmtId="173" fontId="11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center" vertical="bottom"/>
    </xf>
    <xf numFmtId="174" fontId="11" fillId="0" borderId="0" applyAlignment="1" pivotButton="0" quotePrefix="0" xfId="0">
      <alignment horizontal="general" vertical="bottom"/>
    </xf>
    <xf numFmtId="164" fontId="16" fillId="3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75" fontId="16" fillId="0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172" fontId="32" fillId="3" borderId="0" applyAlignment="1" pivotButton="0" quotePrefix="0" xfId="0">
      <alignment horizontal="center" vertical="bottom"/>
    </xf>
    <xf numFmtId="172" fontId="16" fillId="3" borderId="0" applyAlignment="1" pivotButton="0" quotePrefix="0" xfId="0">
      <alignment horizontal="center" vertical="bottom"/>
    </xf>
    <xf numFmtId="176" fontId="11" fillId="0" borderId="0" applyAlignment="1" pivotButton="0" quotePrefix="0" xfId="0">
      <alignment horizontal="center" vertical="bottom"/>
    </xf>
    <xf numFmtId="176" fontId="16" fillId="3" borderId="0" applyAlignment="1" pivotButton="0" quotePrefix="0" xfId="0">
      <alignment horizontal="center" vertical="bottom"/>
    </xf>
    <xf numFmtId="169" fontId="11" fillId="0" borderId="0" applyAlignment="1" pivotButton="0" quotePrefix="0" xfId="0">
      <alignment horizontal="general" vertical="bottom"/>
    </xf>
    <xf numFmtId="164" fontId="20" fillId="7" borderId="1" applyAlignment="1" pivotButton="0" quotePrefix="0" xfId="0">
      <alignment horizontal="general" vertical="bottom"/>
    </xf>
    <xf numFmtId="176" fontId="11" fillId="0" borderId="0" applyAlignment="1" pivotButton="0" quotePrefix="0" xfId="0">
      <alignment horizontal="general" vertical="bottom"/>
    </xf>
    <xf numFmtId="164" fontId="16" fillId="0" borderId="0" applyAlignment="1" pivotButton="0" quotePrefix="0" xfId="0">
      <alignment horizontal="general" vertical="bottom"/>
    </xf>
    <xf numFmtId="164" fontId="11" fillId="7" borderId="1" applyAlignment="1" pivotButton="0" quotePrefix="0" xfId="0">
      <alignment horizontal="general" vertical="bottom"/>
    </xf>
    <xf numFmtId="10" fontId="33" fillId="3" borderId="0" applyAlignment="1" pivotButton="0" quotePrefix="0" xfId="0">
      <alignment horizontal="general" vertical="bottom"/>
    </xf>
    <xf numFmtId="10" fontId="11" fillId="0" borderId="0" applyAlignment="1" pivotButton="0" quotePrefix="0" xfId="0">
      <alignment horizontal="general" vertical="bottom"/>
    </xf>
    <xf numFmtId="177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2" fontId="17" fillId="0" borderId="0" applyAlignment="1" pivotButton="0" quotePrefix="0" xfId="0">
      <alignment horizontal="general" vertical="bottom"/>
    </xf>
    <xf numFmtId="171" fontId="11" fillId="0" borderId="0" applyAlignment="1" pivotButton="0" quotePrefix="0" xfId="0">
      <alignment horizontal="general" vertical="bottom"/>
    </xf>
    <xf numFmtId="171" fontId="16" fillId="0" borderId="0" applyAlignment="1" pivotButton="0" quotePrefix="0" xfId="0">
      <alignment horizontal="general" vertical="bottom"/>
    </xf>
    <xf numFmtId="2" fontId="11" fillId="0" borderId="0" applyAlignment="1" pivotButton="0" quotePrefix="0" xfId="0">
      <alignment horizontal="general" vertical="bottom"/>
    </xf>
    <xf numFmtId="2" fontId="16" fillId="0" borderId="0" applyAlignment="1" pivotButton="0" quotePrefix="0" xfId="0">
      <alignment horizontal="general" vertical="bottom"/>
    </xf>
    <xf numFmtId="175" fontId="11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15" fillId="2" borderId="0" applyAlignment="1" pivotButton="0" quotePrefix="0" xfId="0">
      <alignment horizontal="general" vertical="bottom"/>
    </xf>
    <xf numFmtId="0" fontId="21" fillId="7" borderId="1" applyAlignment="1" pivotButton="0" quotePrefix="0" xfId="0">
      <alignment horizontal="general" vertical="bottom"/>
    </xf>
    <xf numFmtId="164" fontId="35" fillId="0" borderId="0" applyAlignment="1" pivotButton="0" quotePrefix="0" xfId="0">
      <alignment horizontal="center" vertical="bottom"/>
    </xf>
    <xf numFmtId="164" fontId="11" fillId="0" borderId="0" applyAlignment="1" pivotButton="0" quotePrefix="0" xfId="0">
      <alignment horizontal="center" vertical="bottom"/>
    </xf>
    <xf numFmtId="0" fontId="11" fillId="3" borderId="0" applyAlignment="1" pivotButton="0" quotePrefix="0" xfId="0">
      <alignment horizontal="center" vertical="bottom"/>
    </xf>
    <xf numFmtId="164" fontId="32" fillId="3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164" fontId="16" fillId="0" borderId="0" applyAlignment="1" pivotButton="0" quotePrefix="0" xfId="0">
      <alignment horizontal="center" vertical="bottom"/>
    </xf>
    <xf numFmtId="164" fontId="28" fillId="0" borderId="0" applyAlignment="1" pivotButton="0" quotePrefix="0" xfId="0">
      <alignment horizontal="center" vertical="bottom"/>
    </xf>
    <xf numFmtId="164" fontId="32" fillId="0" borderId="0" applyAlignment="1" pivotButton="0" quotePrefix="0" xfId="0">
      <alignment horizontal="center" vertical="bottom"/>
    </xf>
    <xf numFmtId="1" fontId="28" fillId="3" borderId="0" applyAlignment="1" pivotButton="0" quotePrefix="0" xfId="0">
      <alignment horizontal="general" vertical="bottom"/>
    </xf>
    <xf numFmtId="0" fontId="41" fillId="8" borderId="0" pivotButton="0" quotePrefix="0" xfId="0"/>
    <xf numFmtId="0" fontId="42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A6A6A6"/>
      <rgbColor rgb="FF7D3C98"/>
      <rgbColor rgb="FFF9FBFC"/>
      <rgbColor rgb="FFE9EBFA"/>
      <rgbColor rgb="FF660066"/>
      <rgbColor rgb="FFFF8080"/>
      <rgbColor rgb="FF2471A3"/>
      <rgbColor rgb="FFD9DE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0DF"/>
      <rgbColor rgb="FFCCFFFF"/>
      <rgbColor rgb="FFCCFFCC"/>
      <rgbColor rgb="FFFFFF99"/>
      <rgbColor rgb="FF99CCFF"/>
      <rgbColor rgb="FFFF99CC"/>
      <rgbColor rgb="FFCC99FF"/>
      <rgbColor rgb="FFFFCC99"/>
      <rgbColor rgb="FF4053C9"/>
      <rgbColor rgb="FF33CCCC"/>
      <rgbColor rgb="FF99CC00"/>
      <rgbColor rgb="FFFFCC00"/>
      <rgbColor rgb="FFFF9900"/>
      <rgbColor rgb="FFFF6600"/>
      <rgbColor rgb="FF5D6D7E"/>
      <rgbColor rgb="FF7F8C8D"/>
      <rgbColor rgb="FF2E4057"/>
      <rgbColor rgb="FF339966"/>
      <rgbColor rgb="FF006100"/>
      <rgbColor rgb="FF1F1F1F"/>
      <rgbColor rgb="FF993300"/>
      <rgbColor rgb="FF595959"/>
      <rgbColor rgb="FF1C39BB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lang="en-US" sz="1200" b="1" strike="noStrike">
                <a:solidFill>
                  <a:srgbClr val="404040"/>
                </a:solidFill>
                <a:uFillTx/>
                <a:latin typeface="Calibri"/>
              </a:rPr>
              <a:t>HUL Valuation Football Field  |  Current Price: ₹2,130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stacked"/>
        <varyColors val="0"/>
        <ser>
          <idx val="0"/>
          <order val="0"/>
          <tx>
            <strRef>
              <f>'Football Field'!$C$14</f>
              <strCache>
                <ptCount val="1"/>
                <pt idx="0">
                  <v>Low Spacer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12600">
              <a:solidFill>
                <a:srgbClr val="FFFFFF"/>
              </a:solidFill>
              <a:prstDash val="solid"/>
              <a:round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'Football Field'!$B$15:$B$19</f>
              <strCache>
                <ptCount val="5"/>
                <pt idx="0">
                  <v>DCF Range</v>
                </pt>
                <pt idx="1">
                  <v>P/E (Min-Max)</v>
                </pt>
                <pt idx="2">
                  <v>P/E ±1σ</v>
                </pt>
                <pt idx="3">
                  <v>Blended</v>
                </pt>
                <pt idx="4">
                  <v>52W Range</v>
                </pt>
              </strCache>
            </strRef>
          </cat>
          <val>
            <numRef>
              <f>'Football Field'!$C$15:$C$19</f>
              <numCache>
                <formatCode>\₹#,##0</formatCode>
                <ptCount val="5"/>
                <pt idx="0">
                  <v>461.051615480919</v>
                </pt>
                <pt idx="1">
                  <v>2585</v>
                </pt>
                <pt idx="2">
                  <v>1391.11271147691</v>
                </pt>
                <pt idx="3">
                  <v>1947.81548464428</v>
                </pt>
                <pt idx="4">
                  <v>2150</v>
                </pt>
              </numCache>
            </numRef>
          </val>
        </ser>
        <ser>
          <idx val="1"/>
          <order val="1"/>
          <tx>
            <strRef>
              <f>'Football Field'!$D$14</f>
              <strCache>
                <ptCount val="1"/>
                <pt idx="0">
                  <v>Range Width</v>
                </pt>
              </strCache>
            </strRef>
          </tx>
          <spPr>
            <a:solidFill xmlns:a="http://schemas.openxmlformats.org/drawingml/2006/main">
              <a:srgbClr val="595959"/>
            </a:solidFill>
            <a:ln xmlns:a="http://schemas.openxmlformats.org/drawingml/2006/main" w="12600">
              <a:noFill/>
              <a:prstDash val="solid"/>
            </a:ln>
          </spPr>
          <invertIfNegative val="0"/>
          <dPt>
            <idx val="0"/>
            <invertIfNegative val="0"/>
            <spPr>
              <a:solidFill xmlns:a="http://schemas.openxmlformats.org/drawingml/2006/main">
                <a:srgbClr val="59595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59595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9595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95959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595959"/>
              </a:solidFill>
              <a:ln xmlns:a="http://schemas.openxmlformats.org/drawingml/2006/main" w="12600">
                <a:noFill/>
                <a:prstDash val="solid"/>
              </a:ln>
            </spPr>
          </dPt>
          <dLbls>
            <dLbl>
              <idx val="0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1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ctr"/>
              <showLegendKey val="0"/>
              <showVal val="1"/>
              <showCatName val="0"/>
              <showSerName val="0"/>
              <showPercent val="0"/>
            </dLbl>
            <dLbl>
              <idx val="1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1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ctr"/>
              <showLegendKey val="0"/>
              <showVal val="1"/>
              <showCatName val="0"/>
              <showSerName val="0"/>
              <showPercent val="0"/>
            </dLbl>
            <dLbl>
              <idx val="2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1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ctr"/>
              <showLegendKey val="0"/>
              <showVal val="1"/>
              <showCatName val="0"/>
              <showSerName val="0"/>
              <showPercent val="0"/>
            </dLbl>
            <dLbl>
              <idx val="3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1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ctr"/>
              <showLegendKey val="0"/>
              <showVal val="1"/>
              <showCatName val="0"/>
              <showSerName val="0"/>
              <showPercent val="0"/>
            </dLbl>
            <dLbl>
              <idx val="4"/>
              <numFmt formatCode="General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900" b="1" strike="noStrike">
                      <a:solidFill>
                        <a:srgbClr val="FFFFFF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</a:p>
              </txPr>
              <dLblPos val="ctr"/>
              <showLegendKey val="0"/>
              <showVal val="1"/>
              <showCatName val="0"/>
              <showSerName val="0"/>
              <showPercent val="0"/>
            </dLbl>
            <numFmt formatCode="General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1" strike="noStrike">
                    <a:solidFill>
                      <a:srgbClr val="FFFFFF"/>
                    </a:solidFill>
                    <a:uFillTx/>
                    <a:latin typeface="Calibri"/>
                  </a:defRPr>
                </a:pPr>
                <a:r>
                  <a:t>None</a:t>
                </a:r>
              </a:p>
            </txPr>
            <dLblPos val="ctr"/>
            <showLegendKey val="0"/>
            <showVal val="1"/>
            <showCatName val="0"/>
            <showSerName val="0"/>
            <showPercent val="0"/>
            <showLeaderLines val="0"/>
          </dLbls>
          <cat>
            <strRef>
              <f>'Football Field'!$B$15:$B$19</f>
              <strCache>
                <ptCount val="5"/>
                <pt idx="0">
                  <v>DCF Range</v>
                </pt>
                <pt idx="1">
                  <v>P/E (Min-Max)</v>
                </pt>
                <pt idx="2">
                  <v>P/E ±1σ</v>
                </pt>
                <pt idx="3">
                  <v>Blended</v>
                </pt>
                <pt idx="4">
                  <v>52W Range</v>
                </pt>
              </strCache>
            </strRef>
          </cat>
          <val>
            <numRef>
              <f>'Football Field'!$D$15:$D$19</f>
              <numCache>
                <formatCode>\₹#,##0</formatCode>
                <ptCount val="5"/>
                <pt idx="0">
                  <v>1274.31633490963</v>
                </pt>
                <pt idx="1">
                  <v>1644.50436623445</v>
                </pt>
                <pt idx="2">
                  <v>5170</v>
                </pt>
                <pt idx="3">
                  <v>1533.44795683701</v>
                </pt>
                <pt idx="4">
                  <v>530</v>
                </pt>
              </numCache>
            </numRef>
          </val>
        </ser>
        <gapWidth val="150"/>
        <overlap val="100"/>
        <axId val="85311792"/>
        <axId val="61939081"/>
      </barChart>
      <catAx>
        <axId val="8531179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1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61939081"/>
        <crosses val="autoZero"/>
        <auto val="1"/>
        <lblAlgn val="ctr"/>
        <lblOffset val="100"/>
        <noMultiLvlLbl val="0"/>
      </catAx>
      <valAx>
        <axId val="61939081"/>
        <scaling>
          <orientation val="minMax"/>
          <max val="7000"/>
          <min val="0"/>
        </scaling>
        <delete val="0"/>
        <axPos val="l"/>
        <majorGridlines>
          <spPr>
            <a:ln xmlns:a="http://schemas.openxmlformats.org/drawingml/2006/main" w="9360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  <a:r>
              <a:t>None</a:t>
            </a:r>
          </a:p>
        </txPr>
        <crossAx val="85311792"/>
        <crosses val="autoZero"/>
        <crossBetween val="between"/>
        <majorUnit val="1000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chemeClr val="dk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Debjit Mukherjee</author>
  </authors>
  <commentList>
    <comment ref="C39" authorId="0" shapeId="0">
      <text>
        <t>Debjit Mukherjee:
Source: Screener.in, https://www.screener.in/company/HINDUNILVR/consolidated/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12</row>
      <rowOff>0</rowOff>
    </from>
    <to>
      <col>16</col>
      <colOff>63000</colOff>
      <row>37</row>
      <rowOff>63000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1C39BB"/>
    <outlinePr summaryBelow="1" summaryRight="1"/>
    <pageSetUpPr fitToPage="1"/>
  </sheetPr>
  <dimension ref="A2:K39"/>
  <sheetViews>
    <sheetView showFormulas="0" showGridLines="0" showRowColHeaders="1" showZeros="1" rightToLeft="0" tabSelected="1" showOutlineSymbols="1" defaultGridColor="1" view="normal" topLeftCell="A12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3" customWidth="1" style="121" min="1" max="1"/>
    <col width="46" customWidth="1" style="121" min="2" max="2"/>
    <col width="20" customWidth="1" style="121" min="3" max="3"/>
    <col width="16.67" customWidth="1" style="121" min="4" max="5"/>
    <col width="16" customWidth="1" style="121" min="6" max="11"/>
  </cols>
  <sheetData>
    <row r="1" ht="9.75" customHeight="1" s="122"/>
    <row r="2" ht="54.75" customHeight="1" s="122">
      <c r="A2" s="123" t="n"/>
      <c r="B2" s="124" t="inlineStr">
        <is>
          <t>HINDUSTAN UNILEVER LIMITED (HUL)</t>
        </is>
      </c>
    </row>
    <row r="3" ht="30" customHeight="1" s="122">
      <c r="A3" s="125" t="n"/>
      <c r="B3" s="126" t="inlineStr">
        <is>
          <t>Business Valuation Model — FMCG Sector | NSE: HINDUNILVR</t>
        </is>
      </c>
    </row>
    <row r="4" ht="24.75" customHeight="1" s="122">
      <c r="B4" s="127" t="inlineStr">
        <is>
          <t>All figures in ₹ Millions (INR Mn) unless otherwise stated | Updated: 21 Jul 2026</t>
        </is>
      </c>
    </row>
    <row r="5" ht="39.75" customHeight="1" s="122"/>
    <row r="6" ht="19.5" customHeight="1" s="122"/>
    <row r="7" ht="21.75" customHeight="1" s="122">
      <c r="B7" s="128" t="inlineStr">
        <is>
          <t>MODEL NAVIGATION</t>
        </is>
      </c>
    </row>
    <row r="8" ht="21.75" customHeight="1" s="122">
      <c r="B8" s="129" t="inlineStr">
        <is>
          <t>Sheet</t>
        </is>
      </c>
      <c r="E8" s="129" t="inlineStr">
        <is>
          <t>Description</t>
        </is>
      </c>
    </row>
    <row r="9" ht="21.75" customHeight="1" s="122">
      <c r="B9" s="130" t="inlineStr">
        <is>
          <t>Income Statement</t>
        </is>
      </c>
      <c r="E9" s="131" t="inlineStr">
        <is>
          <t>Revenue, EBIT, PAT — FY2022 to FY2026</t>
        </is>
      </c>
    </row>
    <row r="10" ht="21.75" customHeight="1" s="122">
      <c r="B10" s="132" t="inlineStr">
        <is>
          <t>Balance Sheet</t>
        </is>
      </c>
      <c r="E10" s="133" t="inlineStr">
        <is>
          <t>Assets, Liabilities &amp; Equity — FY2022 to FY2026</t>
        </is>
      </c>
    </row>
    <row r="11" ht="21.75" customHeight="1" s="122">
      <c r="B11" s="130" t="inlineStr">
        <is>
          <t>Cash Flow</t>
        </is>
      </c>
      <c r="E11" s="131" t="inlineStr">
        <is>
          <t>Operating, Investing, Financing — FY2022 to FY2026</t>
        </is>
      </c>
    </row>
    <row r="12" ht="21.75" customHeight="1" s="122">
      <c r="B12" s="132" t="inlineStr">
        <is>
          <t>Key Ratios</t>
        </is>
      </c>
      <c r="E12" s="133" t="inlineStr">
        <is>
          <t>Margins, Returns, Liquidity, Efficiency</t>
        </is>
      </c>
    </row>
    <row r="13" ht="21.75" customHeight="1" s="122">
      <c r="B13" s="134" t="inlineStr">
        <is>
          <t>DCF Model</t>
        </is>
      </c>
      <c r="E13" s="131" t="inlineStr">
        <is>
          <t>Intrinsic value via Free Cash Flow discounting (to be built)</t>
        </is>
      </c>
    </row>
    <row r="14" ht="21.75" customHeight="1" s="122">
      <c r="B14" s="135" t="inlineStr">
        <is>
          <t>PE Valuation</t>
        </is>
      </c>
      <c r="E14" s="133" t="inlineStr">
        <is>
          <t>Relative valuation via Price/Earnings multiples (to be built)</t>
        </is>
      </c>
    </row>
    <row r="16" ht="15" customHeight="1" s="122">
      <c r="B16" s="136" t="inlineStr">
        <is>
          <t>⚠  Color Coding: Blue = Hardcoded Input | Black = Formula | Green = Cross-sheet Link</t>
        </is>
      </c>
    </row>
    <row r="17" ht="15" customHeight="1" s="122">
      <c r="B17" s="137" t="inlineStr">
        <is>
          <t>Source: Hindustan Unilever Annual Reports (NSE Filings) | FY2022–FY2026 (April–March fiscal year)</t>
        </is>
      </c>
    </row>
    <row r="20" ht="18.75" customHeight="1" s="122">
      <c r="B20" s="138" t="inlineStr">
        <is>
          <t>VALUATION SUMMARY &amp; METHODOLOGY NOTE</t>
        </is>
      </c>
    </row>
    <row r="22" ht="15" customHeight="1" s="122">
      <c r="B22" s="139" t="inlineStr">
        <is>
          <t>Approach</t>
        </is>
      </c>
      <c r="C22" s="140" t="inlineStr">
        <is>
          <t>Target Price (₹)</t>
        </is>
      </c>
      <c r="D22" s="140" t="inlineStr">
        <is>
          <t>vs. ₹2,140</t>
        </is>
      </c>
      <c r="E22" s="140" t="inlineStr">
        <is>
          <t>Signal</t>
        </is>
      </c>
    </row>
    <row r="23" ht="15" customHeight="1" s="122">
      <c r="B23" s="141" t="inlineStr">
        <is>
          <t>DCF (Base Case)</t>
        </is>
      </c>
      <c r="C23" s="142">
        <f>'DCF Model'!C47</f>
        <v/>
      </c>
      <c r="D23" s="143">
        <f>'DCF Model'!C49</f>
        <v/>
      </c>
      <c r="E23" s="144" t="inlineStr">
        <is>
          <t>SELL</t>
        </is>
      </c>
    </row>
    <row r="24" ht="15" customHeight="1" s="122">
      <c r="B24" s="141" t="inlineStr">
        <is>
          <t>P/E (Median 5Y multiple)</t>
        </is>
      </c>
      <c r="C24" s="142">
        <f>'PE Valuation'!D28</f>
        <v/>
      </c>
      <c r="D24" s="143">
        <f>'PE Valuation'!E28</f>
        <v/>
      </c>
      <c r="E24" s="145" t="inlineStr">
        <is>
          <t>BUY</t>
        </is>
      </c>
    </row>
    <row r="25" ht="15" customHeight="1" s="122">
      <c r="B25" s="146" t="inlineStr">
        <is>
          <t>Reverse DCF Implied g</t>
        </is>
      </c>
      <c r="C25" s="147">
        <f>'DCF Model'!C78</f>
        <v/>
      </c>
      <c r="D25" s="148" t="inlineStr">
        <is>
          <t>vs 4.5% base</t>
        </is>
      </c>
      <c r="E25" s="149" t="inlineStr">
        <is>
          <t>DEMANDING</t>
        </is>
      </c>
    </row>
    <row r="28" ht="15" customHeight="1" s="122">
      <c r="B28" s="139" t="inlineStr">
        <is>
          <t>Methodology &amp; Reconciliation</t>
        </is>
      </c>
    </row>
    <row r="30" ht="42" customHeight="1" s="122">
      <c r="B30" s="150" t="inlineStr">
        <is>
          <t>The two valuation approaches diverge sharply: DCF implies ₹712 (‑67% downside); P/E implies ₹2,826 (+33% upside).</t>
        </is>
      </c>
    </row>
    <row r="31" ht="42" customHeight="1" s="122">
      <c r="B31" s="151" t="inlineStr">
        <is>
          <t>This is a classic FMCG "quality premium" disconnect. Three drivers explain the gap:</t>
        </is>
      </c>
    </row>
    <row r="33" ht="42" customHeight="1" s="122">
      <c r="B33" s="152" t="inlineStr">
        <is>
          <t>1.  Terminal growth assumption.</t>
        </is>
      </c>
      <c r="C33" s="151" t="inlineStr">
        <is>
          <t>DCF assumes 4.5% perpetual growth. Reverse DCF shows the market is pricing in ~9.1% — well above India's long-run nominal GDP and HUL's recent 6.5% 5Y CAGR.</t>
        </is>
      </c>
    </row>
    <row r="34" ht="42" customHeight="1" s="122">
      <c r="B34" s="152" t="inlineStr">
        <is>
          <t>2.  P/E reflects market sentiment, not intrinsic value.</t>
        </is>
      </c>
      <c r="C34" s="151" t="inlineStr">
        <is>
          <t>FMCG names trade at premium multiples (50–60x) due to brand moats, cash generation, and low cyclicality — a regime DCF doesn't capture.</t>
        </is>
      </c>
    </row>
    <row r="35" ht="42" customHeight="1" s="122">
      <c r="B35" s="152" t="inlineStr">
        <is>
          <t>3.  Terminal value dominates DCF.</t>
        </is>
      </c>
      <c r="C35" s="151" t="inlineStr">
        <is>
          <t>~75% of EV sits in the terminal value, making the result highly sensitive to WACC and g (see Sensitivity table on DCF Model sheet).</t>
        </is>
      </c>
    </row>
    <row r="36" ht="15" customHeight="1" s="122">
      <c r="C36" s="153" t="n"/>
    </row>
    <row r="37" ht="42" customHeight="1" s="122">
      <c r="B37" s="154" t="inlineStr">
        <is>
          <t>Recommendation:</t>
        </is>
      </c>
      <c r="C37" s="151" t="inlineStr">
        <is>
          <t>Use DCF as a discipline check, not a target. The implied ~9.1% terminal growth is aggressive for a mature FMCG franchise. A blended view (70% P/E, 30% DCF) gives a fair value of ~₹2,190 — essentially in line with the market price of ₹2,140. Rating: HOLD (no margin of safety at current levels; quality intact).</t>
        </is>
      </c>
    </row>
    <row r="39" ht="42" customHeight="1" s="122">
      <c r="B39" s="155" t="inlineStr">
        <is>
          <t xml:space="preserve">Data Source: </t>
        </is>
      </c>
      <c r="C39" s="156" t="inlineStr">
        <is>
          <t>screener.in consolidated financials (sourced from BSE/NSE filings &amp; HUL Annual Reports FY22–FY26). Original figures in ₹ Crores; converted to ₹ Mn (×10).</t>
        </is>
      </c>
    </row>
  </sheetData>
  <mergeCells count="20">
    <mergeCell ref="B11:D11"/>
    <mergeCell ref="B14:D14"/>
    <mergeCell ref="B8:D8"/>
    <mergeCell ref="B13:D13"/>
    <mergeCell ref="B10:D10"/>
    <mergeCell ref="B4:K4"/>
    <mergeCell ref="E12:K12"/>
    <mergeCell ref="B9:D9"/>
    <mergeCell ref="B7:K7"/>
    <mergeCell ref="B16:K16"/>
    <mergeCell ref="B3:K3"/>
    <mergeCell ref="E8:K8"/>
    <mergeCell ref="E14:K14"/>
    <mergeCell ref="B2:K2"/>
    <mergeCell ref="E10:K10"/>
    <mergeCell ref="E13:K13"/>
    <mergeCell ref="E9:K9"/>
    <mergeCell ref="B17:K17"/>
    <mergeCell ref="B12:D12"/>
    <mergeCell ref="E11:K11"/>
  </mergeCells>
  <hyperlinks>
    <hyperlink ref="B9" location="'IS'!A1" display="Income Statement"/>
    <hyperlink ref="B10" location="'BS'!A1" display="Balance Sheet"/>
    <hyperlink ref="B11" location="'CF'!A1" display="Cash Flow"/>
    <hyperlink ref="B12" location="'Key Ratios'!A1" display="Key Ratios"/>
  </hyperlinks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tabColor rgb="FF1C39BB"/>
    <outlinePr summaryBelow="1" summaryRight="1"/>
    <pageSetUpPr fitToPage="1"/>
  </sheetPr>
  <dimension ref="A2:G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3" customWidth="1" style="121" min="1" max="1"/>
    <col width="42" customWidth="1" style="121" min="2" max="2"/>
    <col width="15" customWidth="1" style="121" min="3" max="7"/>
    <col width="5" customWidth="1" style="121" min="8" max="8"/>
  </cols>
  <sheetData>
    <row r="1" ht="7.5" customHeight="1" s="122"/>
    <row r="2" ht="45" customHeight="1" s="122">
      <c r="A2" s="123" t="n"/>
      <c r="B2" s="157" t="inlineStr">
        <is>
          <t>HINDUSTAN UNILEVER LIMITED — INCOME STATEMENT</t>
        </is>
      </c>
    </row>
    <row r="3" ht="21.75" customHeight="1" s="122">
      <c r="A3" s="125" t="n"/>
      <c r="B3" s="158" t="inlineStr">
        <is>
          <t>Consolidated P&amp;L | FY2022 – FY2026 (April – March Fiscal Year)</t>
        </is>
      </c>
    </row>
    <row r="4" ht="18" customHeight="1" s="122">
      <c r="B4" s="159" t="inlineStr">
        <is>
          <t>Figures in ₹ Millions (INR Mn) | FY ends March 31 | Source: HUL Annual Reports (NSE Filings)</t>
        </is>
      </c>
    </row>
    <row r="5" ht="7.5" customHeight="1" s="122"/>
    <row r="6" ht="21.75" customHeight="1" s="122">
      <c r="B6" s="160" t="inlineStr">
        <is>
          <t>Line Item</t>
        </is>
      </c>
      <c r="C6" s="160" t="inlineStr">
        <is>
          <t>FY2022</t>
        </is>
      </c>
      <c r="D6" s="160" t="inlineStr">
        <is>
          <t>FY2023</t>
        </is>
      </c>
      <c r="E6" s="160" t="inlineStr">
        <is>
          <t>FY2024</t>
        </is>
      </c>
      <c r="F6" s="160" t="inlineStr">
        <is>
          <t>FY2025</t>
        </is>
      </c>
      <c r="G6" s="160" t="inlineStr">
        <is>
          <t>FY2026</t>
        </is>
      </c>
    </row>
    <row r="7" ht="19.5" customHeight="1" s="122">
      <c r="B7" s="161" t="inlineStr">
        <is>
          <t>REVENUE</t>
        </is>
      </c>
    </row>
    <row r="8" ht="18" customHeight="1" s="122">
      <c r="B8" s="133" t="inlineStr">
        <is>
          <t>Net Revenue / Net Sales</t>
        </is>
      </c>
      <c r="C8" s="162" t="n">
        <v>524460</v>
      </c>
      <c r="D8" s="162" t="n">
        <v>605800</v>
      </c>
      <c r="E8" s="162" t="n">
        <v>618960</v>
      </c>
      <c r="F8" s="162" t="n">
        <v>631210</v>
      </c>
      <c r="G8" s="162" t="n">
        <v>644680</v>
      </c>
    </row>
    <row r="9" ht="18" customHeight="1" s="122">
      <c r="B9" s="131" t="inlineStr">
        <is>
          <t>Cost of Revenue (COGS)</t>
        </is>
      </c>
      <c r="C9" s="163" t="n">
        <v>395890</v>
      </c>
      <c r="D9" s="163" t="n">
        <v>464330</v>
      </c>
      <c r="E9" s="163" t="n">
        <v>472370</v>
      </c>
      <c r="F9" s="163" t="n">
        <v>482780</v>
      </c>
      <c r="G9" s="163" t="n">
        <v>494290</v>
      </c>
    </row>
    <row r="10" ht="18" customHeight="1" s="122">
      <c r="B10" s="164" t="inlineStr">
        <is>
          <t>Gross Profit</t>
        </is>
      </c>
      <c r="C10" s="165">
        <f>C8-C9</f>
        <v/>
      </c>
      <c r="D10" s="165">
        <f>D8-D9</f>
        <v/>
      </c>
      <c r="E10" s="165">
        <f>E8-E9</f>
        <v/>
      </c>
      <c r="F10" s="165">
        <f>F8-F9</f>
        <v/>
      </c>
      <c r="G10" s="165">
        <f>G8-G9</f>
        <v/>
      </c>
    </row>
    <row r="11" ht="18" customHeight="1" s="122">
      <c r="B11" s="131" t="inlineStr">
        <is>
          <t>Gross Margin %</t>
        </is>
      </c>
      <c r="C11" s="166">
        <f>C10/C8</f>
        <v/>
      </c>
      <c r="D11" s="166">
        <f>D10/D8</f>
        <v/>
      </c>
      <c r="E11" s="166">
        <f>E10/E8</f>
        <v/>
      </c>
      <c r="F11" s="166">
        <f>F10/F8</f>
        <v/>
      </c>
      <c r="G11" s="166">
        <f>G10/G8</f>
        <v/>
      </c>
    </row>
    <row r="12" ht="7.5" customHeight="1" s="122"/>
    <row r="13" ht="19.5" customHeight="1" s="122">
      <c r="B13" s="161" t="inlineStr">
        <is>
          <t>OPERATING EXPENSES</t>
        </is>
      </c>
    </row>
    <row r="14" ht="18" customHeight="1" s="122">
      <c r="B14" s="167" t="inlineStr">
        <is>
          <t>SG&amp;A Expenses</t>
        </is>
      </c>
      <c r="C14" s="168" t="n"/>
      <c r="D14" s="168" t="n"/>
      <c r="E14" s="168" t="n"/>
      <c r="F14" s="168" t="n"/>
      <c r="G14" s="168" t="n"/>
    </row>
    <row r="15" ht="18" customHeight="1" s="122">
      <c r="B15" s="169" t="inlineStr">
        <is>
          <t>R&amp;D Expenses</t>
        </is>
      </c>
      <c r="C15" s="170" t="n"/>
      <c r="D15" s="170" t="n"/>
      <c r="E15" s="170" t="n"/>
      <c r="F15" s="170" t="n"/>
      <c r="G15" s="170" t="n"/>
    </row>
    <row r="16" ht="18" customHeight="1" s="122">
      <c r="B16" s="167" t="inlineStr">
        <is>
          <t>Other Operating Expenses</t>
        </is>
      </c>
      <c r="C16" s="168" t="n"/>
      <c r="D16" s="168" t="n"/>
      <c r="E16" s="168" t="n"/>
      <c r="F16" s="168" t="n"/>
      <c r="G16" s="168" t="n"/>
    </row>
    <row r="17" ht="18" customHeight="1" s="122">
      <c r="B17" s="164" t="inlineStr">
        <is>
          <t>Total Operating Expenses</t>
        </is>
      </c>
      <c r="C17" s="165">
        <f>SUM(C14:C16)</f>
        <v/>
      </c>
      <c r="D17" s="165">
        <f>SUM(D14:D16)</f>
        <v/>
      </c>
      <c r="E17" s="165">
        <f>SUM(E14:E16)</f>
        <v/>
      </c>
      <c r="F17" s="165">
        <f>SUM(F14:F16)</f>
        <v/>
      </c>
      <c r="G17" s="165">
        <f>SUM(G14:G16)</f>
        <v/>
      </c>
    </row>
    <row r="18" ht="7.5" customHeight="1" s="122"/>
    <row r="19" ht="19.5" customHeight="1" s="122">
      <c r="B19" s="161" t="inlineStr">
        <is>
          <t>PROFITABILITY</t>
        </is>
      </c>
    </row>
    <row r="20" ht="18" customHeight="1" s="122">
      <c r="B20" s="164" t="inlineStr">
        <is>
          <t>EBITDA</t>
        </is>
      </c>
      <c r="C20" s="165" t="n">
        <v>128570</v>
      </c>
      <c r="D20" s="165" t="n">
        <v>141470</v>
      </c>
      <c r="E20" s="165" t="n">
        <v>146590</v>
      </c>
      <c r="F20" s="165" t="n">
        <v>148430</v>
      </c>
      <c r="G20" s="165" t="n">
        <v>150390</v>
      </c>
    </row>
    <row r="21" ht="18" customHeight="1" s="122">
      <c r="B21" s="169" t="inlineStr">
        <is>
          <t>Depreciation &amp; Amortization</t>
        </is>
      </c>
      <c r="C21" s="163" t="n">
        <v>10910</v>
      </c>
      <c r="D21" s="163" t="n">
        <v>11370</v>
      </c>
      <c r="E21" s="163" t="n">
        <v>12160</v>
      </c>
      <c r="F21" s="163" t="n">
        <v>13550</v>
      </c>
      <c r="G21" s="163" t="n">
        <v>13330</v>
      </c>
    </row>
    <row r="22" ht="18" customHeight="1" s="122">
      <c r="B22" s="164" t="inlineStr">
        <is>
          <t>EBIT (Operating Income)</t>
        </is>
      </c>
      <c r="C22" s="165">
        <f>C20-C21</f>
        <v/>
      </c>
      <c r="D22" s="165">
        <f>D20-D21</f>
        <v/>
      </c>
      <c r="E22" s="165">
        <f>E20-E21</f>
        <v/>
      </c>
      <c r="F22" s="165">
        <f>F20-F21</f>
        <v/>
      </c>
      <c r="G22" s="165">
        <f>G20-G21</f>
        <v/>
      </c>
    </row>
    <row r="23" ht="18" customHeight="1" s="122">
      <c r="B23" s="131" t="inlineStr">
        <is>
          <t>EBIT Margin %</t>
        </is>
      </c>
      <c r="C23" s="166">
        <f>C22/C8</f>
        <v/>
      </c>
      <c r="D23" s="166">
        <f>D22/D8</f>
        <v/>
      </c>
      <c r="E23" s="166">
        <f>E22/E8</f>
        <v/>
      </c>
      <c r="F23" s="166">
        <f>F22/F8</f>
        <v/>
      </c>
      <c r="G23" s="166">
        <f>G22/G8</f>
        <v/>
      </c>
    </row>
    <row r="24" ht="18" customHeight="1" s="122">
      <c r="B24" s="167" t="inlineStr">
        <is>
          <t>Interest Expense</t>
        </is>
      </c>
      <c r="C24" s="162" t="n">
        <v>1060</v>
      </c>
      <c r="D24" s="162" t="n">
        <v>1140</v>
      </c>
      <c r="E24" s="162" t="n">
        <v>3340</v>
      </c>
      <c r="F24" s="162" t="n">
        <v>3950</v>
      </c>
      <c r="G24" s="162" t="n">
        <v>4100</v>
      </c>
    </row>
    <row r="25" ht="18" customHeight="1" s="122">
      <c r="B25" s="169" t="inlineStr">
        <is>
          <t>Interest Income</t>
        </is>
      </c>
      <c r="C25" s="170" t="n"/>
      <c r="D25" s="170" t="n"/>
      <c r="E25" s="170" t="n"/>
      <c r="F25" s="170" t="n"/>
      <c r="G25" s="170" t="n"/>
    </row>
    <row r="26" ht="18" customHeight="1" s="122">
      <c r="B26" s="167" t="inlineStr">
        <is>
          <t>Other Non-Operating Income</t>
        </is>
      </c>
      <c r="C26" s="162" t="n">
        <v>2190</v>
      </c>
      <c r="D26" s="162" t="n">
        <v>4480</v>
      </c>
      <c r="E26" s="162" t="n">
        <v>8170</v>
      </c>
      <c r="F26" s="162" t="n">
        <v>13220</v>
      </c>
      <c r="G26" s="162" t="n">
        <v>9570</v>
      </c>
    </row>
    <row r="27" ht="18" customHeight="1" s="122">
      <c r="B27" s="164" t="inlineStr">
        <is>
          <t>Income Before Tax (PBT)</t>
        </is>
      </c>
      <c r="C27" s="165">
        <f>C22-C24+C25+C26</f>
        <v/>
      </c>
      <c r="D27" s="165">
        <f>D22-D24+D25+D26</f>
        <v/>
      </c>
      <c r="E27" s="165">
        <f>E22-E24+E25+E26</f>
        <v/>
      </c>
      <c r="F27" s="165">
        <f>F22-F24+F25+F26</f>
        <v/>
      </c>
      <c r="G27" s="165">
        <f>G22-G24+G25+G26</f>
        <v/>
      </c>
    </row>
    <row r="28" ht="18" customHeight="1" s="122">
      <c r="B28" s="167" t="inlineStr">
        <is>
          <t>Income Tax Expense</t>
        </is>
      </c>
      <c r="C28" s="171">
        <f>C27*0.25</f>
        <v/>
      </c>
      <c r="D28" s="171">
        <f>D27*0.24</f>
        <v/>
      </c>
      <c r="E28" s="171">
        <f>E27*0.26</f>
        <v/>
      </c>
      <c r="F28" s="171">
        <f>F27*0.26</f>
        <v/>
      </c>
      <c r="G28" s="171">
        <f>G27*0.25</f>
        <v/>
      </c>
    </row>
    <row r="29" ht="18" customHeight="1" s="122">
      <c r="B29" s="164" t="inlineStr">
        <is>
          <t>Net Income (PAT)</t>
        </is>
      </c>
      <c r="C29" s="165">
        <f>C27-C28</f>
        <v/>
      </c>
      <c r="D29" s="165">
        <f>D27-D28</f>
        <v/>
      </c>
      <c r="E29" s="165">
        <f>E27-E28</f>
        <v/>
      </c>
      <c r="F29" s="165">
        <f>F27-F28</f>
        <v/>
      </c>
      <c r="G29" s="165">
        <f>G27-G28</f>
        <v/>
      </c>
    </row>
    <row r="30" ht="18" customHeight="1" s="122">
      <c r="B30" s="133" t="inlineStr">
        <is>
          <t>Net Profit Margin %</t>
        </is>
      </c>
      <c r="C30" s="172">
        <f>C29/C8</f>
        <v/>
      </c>
      <c r="D30" s="172">
        <f>D29/D8</f>
        <v/>
      </c>
      <c r="E30" s="172">
        <f>E29/E8</f>
        <v/>
      </c>
      <c r="F30" s="172">
        <f>F29/F8</f>
        <v/>
      </c>
      <c r="G30" s="172">
        <f>G29/G8</f>
        <v/>
      </c>
    </row>
    <row r="31" ht="7.5" customHeight="1" s="122"/>
    <row r="32" ht="19.5" customHeight="1" s="122">
      <c r="B32" s="161" t="inlineStr">
        <is>
          <t>PER SHARE DATA</t>
        </is>
      </c>
    </row>
    <row r="33" ht="18" customHeight="1" s="122">
      <c r="B33" s="131" t="inlineStr">
        <is>
          <t>EPS (Basic, ₹)</t>
        </is>
      </c>
      <c r="C33" s="173" t="n">
        <v>37.79</v>
      </c>
      <c r="D33" s="173" t="n">
        <v>43.07</v>
      </c>
      <c r="E33" s="173" t="n">
        <v>43.74</v>
      </c>
      <c r="F33" s="173" t="n">
        <v>45.32</v>
      </c>
      <c r="G33" s="173">
        <f>G29/G35</f>
        <v/>
      </c>
    </row>
    <row r="34" ht="18" customHeight="1" s="122">
      <c r="B34" s="133" t="inlineStr">
        <is>
          <t>EPS (Diluted, ₹)</t>
        </is>
      </c>
      <c r="C34" s="174" t="n">
        <v>37.79</v>
      </c>
      <c r="D34" s="174" t="n">
        <v>43.07</v>
      </c>
      <c r="E34" s="174" t="n">
        <v>43.74</v>
      </c>
      <c r="F34" s="174" t="n">
        <v>45.32</v>
      </c>
      <c r="G34" s="174">
        <f>G29/G35</f>
        <v/>
      </c>
    </row>
    <row r="35" ht="18" customHeight="1" s="122">
      <c r="B35" s="131" t="inlineStr">
        <is>
          <t>Weighted Avg. Shares (Mn)</t>
        </is>
      </c>
      <c r="C35" s="175">
        <f>C29/C33</f>
        <v/>
      </c>
      <c r="D35" s="175">
        <f>D29/D33</f>
        <v/>
      </c>
      <c r="E35" s="175">
        <f>E29/E33</f>
        <v/>
      </c>
      <c r="F35" s="175">
        <f>F29/F33</f>
        <v/>
      </c>
      <c r="G35" s="175" t="n">
        <v>2349.6</v>
      </c>
    </row>
    <row r="37" ht="13.5" customHeight="1" s="122">
      <c r="B37" s="137" t="inlineStr">
        <is>
          <t>Source: Hindustan Unilever NSE Filings | FY2022–FY2026 | Generated: 22 May 2026</t>
        </is>
      </c>
    </row>
  </sheetData>
  <mergeCells count="8">
    <mergeCell ref="B3:G3"/>
    <mergeCell ref="B2:G2"/>
    <mergeCell ref="B19:G19"/>
    <mergeCell ref="B37:G37"/>
    <mergeCell ref="B32:G32"/>
    <mergeCell ref="B4:G4"/>
    <mergeCell ref="B13:G13"/>
    <mergeCell ref="B7:G7"/>
  </mergeCells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C39BB"/>
    <outlinePr summaryBelow="1" summaryRight="1"/>
    <pageSetUpPr fitToPage="1"/>
  </sheetPr>
  <dimension ref="A2:G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3" customWidth="1" style="121" min="1" max="1"/>
    <col width="42" customWidth="1" style="121" min="2" max="2"/>
    <col width="15" customWidth="1" style="121" min="3" max="7"/>
    <col width="5" customWidth="1" style="121" min="8" max="8"/>
  </cols>
  <sheetData>
    <row r="1" ht="7.5" customHeight="1" s="122"/>
    <row r="2" ht="45" customHeight="1" s="122">
      <c r="A2" s="123" t="n"/>
      <c r="B2" s="157" t="inlineStr">
        <is>
          <t>HINDUSTAN UNILEVER LIMITED — BALANCE SHEET</t>
        </is>
      </c>
    </row>
    <row r="3" ht="21.75" customHeight="1" s="122">
      <c r="A3" s="125" t="n"/>
      <c r="B3" s="158" t="inlineStr">
        <is>
          <t>Consolidated Balance Sheet | FY2022 – FY2026 (April – March Fiscal Year)</t>
        </is>
      </c>
    </row>
    <row r="4" ht="18" customHeight="1" s="122">
      <c r="B4" s="159" t="inlineStr">
        <is>
          <t>Figures in ₹ Millions (INR Mn) | FY ends March 31 | Source: HUL Annual Reports (NSE Filings)</t>
        </is>
      </c>
    </row>
    <row r="5" ht="7.5" customHeight="1" s="122"/>
    <row r="6" ht="21.75" customHeight="1" s="122">
      <c r="B6" s="160" t="inlineStr">
        <is>
          <t>Line Item</t>
        </is>
      </c>
      <c r="C6" s="160" t="inlineStr">
        <is>
          <t>FY2022</t>
        </is>
      </c>
      <c r="D6" s="160" t="inlineStr">
        <is>
          <t>FY2023</t>
        </is>
      </c>
      <c r="E6" s="160" t="inlineStr">
        <is>
          <t>FY2024</t>
        </is>
      </c>
      <c r="F6" s="160" t="inlineStr">
        <is>
          <t>FY2025</t>
        </is>
      </c>
      <c r="G6" s="160" t="inlineStr">
        <is>
          <t>FY2026</t>
        </is>
      </c>
    </row>
    <row r="7" ht="19.5" customHeight="1" s="122">
      <c r="B7" s="161" t="inlineStr">
        <is>
          <t>CURRENT ASSETS</t>
        </is>
      </c>
    </row>
    <row r="8" ht="18" customHeight="1" s="122">
      <c r="B8" s="167" t="inlineStr">
        <is>
          <t>Cash &amp; Cash Equivalents</t>
        </is>
      </c>
      <c r="C8" s="168" t="n"/>
      <c r="D8" s="168" t="n"/>
      <c r="E8" s="168" t="n"/>
      <c r="F8" s="168" t="n"/>
      <c r="G8" s="168" t="n"/>
    </row>
    <row r="9" ht="18" customHeight="1" s="122">
      <c r="B9" s="169" t="inlineStr">
        <is>
          <t>Short-Term Investments</t>
        </is>
      </c>
      <c r="C9" s="170" t="n"/>
      <c r="D9" s="170" t="n"/>
      <c r="E9" s="170" t="n"/>
      <c r="F9" s="170" t="n"/>
      <c r="G9" s="170" t="n"/>
    </row>
    <row r="10" ht="18" customHeight="1" s="122">
      <c r="B10" s="167" t="inlineStr">
        <is>
          <t>Cash &amp; Short-Term Investments</t>
        </is>
      </c>
      <c r="C10" s="171">
        <f>C8+C9</f>
        <v/>
      </c>
      <c r="D10" s="171">
        <f>D8+D9</f>
        <v/>
      </c>
      <c r="E10" s="171">
        <f>E8+E9</f>
        <v/>
      </c>
      <c r="F10" s="171">
        <f>F8+F9</f>
        <v/>
      </c>
      <c r="G10" s="171">
        <f>G8+G9</f>
        <v/>
      </c>
    </row>
    <row r="11" ht="18" customHeight="1" s="122">
      <c r="B11" s="169" t="inlineStr">
        <is>
          <t>Net Receivables</t>
        </is>
      </c>
      <c r="C11" s="170" t="n"/>
      <c r="D11" s="170" t="n"/>
      <c r="E11" s="170" t="n"/>
      <c r="F11" s="170" t="n"/>
      <c r="G11" s="170" t="n"/>
    </row>
    <row r="12" ht="18" customHeight="1" s="122">
      <c r="B12" s="167" t="inlineStr">
        <is>
          <t>Inventory</t>
        </is>
      </c>
      <c r="C12" s="168" t="n"/>
      <c r="D12" s="168" t="n"/>
      <c r="E12" s="168" t="n"/>
      <c r="F12" s="168" t="n"/>
      <c r="G12" s="168" t="n"/>
    </row>
    <row r="13" ht="18" customHeight="1" s="122">
      <c r="B13" s="169" t="inlineStr">
        <is>
          <t>Prepaid Expenses</t>
        </is>
      </c>
      <c r="C13" s="170" t="n"/>
      <c r="D13" s="170" t="n"/>
      <c r="E13" s="170" t="n"/>
      <c r="F13" s="170" t="n"/>
      <c r="G13" s="170" t="n"/>
    </row>
    <row r="14" ht="18" customHeight="1" s="122">
      <c r="B14" s="167" t="inlineStr">
        <is>
          <t>Other Current Assets</t>
        </is>
      </c>
      <c r="C14" s="168" t="n"/>
      <c r="D14" s="168" t="n"/>
      <c r="E14" s="168" t="n"/>
      <c r="F14" s="168" t="n"/>
      <c r="G14" s="168" t="n"/>
    </row>
    <row r="15" ht="18" customHeight="1" s="122">
      <c r="B15" s="164" t="inlineStr">
        <is>
          <t>Total Current Assets</t>
        </is>
      </c>
      <c r="C15" s="165">
        <f>SUM(C10:C14)</f>
        <v/>
      </c>
      <c r="D15" s="165">
        <f>SUM(D10:D14)</f>
        <v/>
      </c>
      <c r="E15" s="165">
        <f>SUM(E10:E14)</f>
        <v/>
      </c>
      <c r="F15" s="165">
        <f>SUM(F10:F14)</f>
        <v/>
      </c>
      <c r="G15" s="165">
        <f>SUM(G10:G14)</f>
        <v/>
      </c>
    </row>
    <row r="16" ht="7.5" customHeight="1" s="122"/>
    <row r="17" ht="19.5" customHeight="1" s="122">
      <c r="B17" s="161" t="inlineStr">
        <is>
          <t>NON-CURRENT ASSETS</t>
        </is>
      </c>
    </row>
    <row r="18" ht="18" customHeight="1" s="122">
      <c r="B18" s="167" t="inlineStr">
        <is>
          <t>Property, Plant &amp; Equipment (Net)</t>
        </is>
      </c>
      <c r="C18" s="162" t="n">
        <v>527860</v>
      </c>
      <c r="D18" s="162" t="n">
        <v>538100</v>
      </c>
      <c r="E18" s="162" t="n">
        <v>547690</v>
      </c>
      <c r="F18" s="162" t="n">
        <v>553440</v>
      </c>
      <c r="G18" s="162" t="n">
        <v>583080</v>
      </c>
    </row>
    <row r="19" ht="18" customHeight="1" s="122">
      <c r="B19" s="169" t="inlineStr">
        <is>
          <t>Goodwill</t>
        </is>
      </c>
      <c r="C19" s="170" t="n"/>
      <c r="D19" s="170" t="n"/>
      <c r="E19" s="170" t="n"/>
      <c r="F19" s="170" t="n"/>
      <c r="G19" s="170" t="n"/>
    </row>
    <row r="20" ht="18" customHeight="1" s="122">
      <c r="B20" s="167" t="inlineStr">
        <is>
          <t>Intangible Assets</t>
        </is>
      </c>
      <c r="C20" s="168" t="n"/>
      <c r="D20" s="168" t="n"/>
      <c r="E20" s="168" t="n"/>
      <c r="F20" s="168" t="n"/>
      <c r="G20" s="168" t="n"/>
    </row>
    <row r="21" ht="18" customHeight="1" s="122">
      <c r="B21" s="169" t="inlineStr">
        <is>
          <t>Long-Term Investments</t>
        </is>
      </c>
      <c r="C21" s="163" t="n">
        <v>35210</v>
      </c>
      <c r="D21" s="163" t="n">
        <v>28820</v>
      </c>
      <c r="E21" s="163" t="n">
        <v>46250</v>
      </c>
      <c r="F21" s="163" t="n">
        <v>38100</v>
      </c>
      <c r="G21" s="163" t="n">
        <v>43590</v>
      </c>
    </row>
    <row r="22" ht="18" customHeight="1" s="122">
      <c r="B22" s="167" t="inlineStr">
        <is>
          <t>Other Non-Current Assets</t>
        </is>
      </c>
      <c r="C22" s="162" t="n">
        <v>141990</v>
      </c>
      <c r="D22" s="162" t="n">
        <v>163850</v>
      </c>
      <c r="E22" s="162" t="n">
        <v>190950</v>
      </c>
      <c r="F22" s="162" t="n">
        <v>207090</v>
      </c>
      <c r="G22" s="162" t="n">
        <v>170850</v>
      </c>
    </row>
    <row r="23" ht="18" customHeight="1" s="122">
      <c r="B23" s="164" t="inlineStr">
        <is>
          <t>Total Non-Current Assets</t>
        </is>
      </c>
      <c r="C23" s="165">
        <f>SUM(C18:C22)</f>
        <v/>
      </c>
      <c r="D23" s="165">
        <f>SUM(D18:D22)</f>
        <v/>
      </c>
      <c r="E23" s="165">
        <f>SUM(E18:E22)</f>
        <v/>
      </c>
      <c r="F23" s="165">
        <f>SUM(F18:F22)</f>
        <v/>
      </c>
      <c r="G23" s="165">
        <f>SUM(G18:G22)</f>
        <v/>
      </c>
    </row>
    <row r="24" ht="7.5" customHeight="1" s="122"/>
    <row r="25" ht="18" customHeight="1" s="122">
      <c r="B25" s="164" t="inlineStr">
        <is>
          <t>TOTAL ASSETS</t>
        </is>
      </c>
      <c r="C25" s="165">
        <f>C15+C23</f>
        <v/>
      </c>
      <c r="D25" s="165">
        <f>D15+D23</f>
        <v/>
      </c>
      <c r="E25" s="165">
        <f>E15+E23</f>
        <v/>
      </c>
      <c r="F25" s="165">
        <f>F15+F23</f>
        <v/>
      </c>
      <c r="G25" s="165">
        <f>G15+G23</f>
        <v/>
      </c>
    </row>
    <row r="26" ht="7.5" customHeight="1" s="122"/>
    <row r="27" ht="19.5" customHeight="1" s="122">
      <c r="B27" s="161" t="inlineStr">
        <is>
          <t>CURRENT LIABILITIES</t>
        </is>
      </c>
    </row>
    <row r="28" ht="18" customHeight="1" s="122">
      <c r="B28" s="167" t="inlineStr">
        <is>
          <t>Accounts Payable</t>
        </is>
      </c>
      <c r="C28" s="168" t="n"/>
      <c r="D28" s="168" t="n"/>
      <c r="E28" s="168" t="n"/>
      <c r="F28" s="168" t="n"/>
      <c r="G28" s="168" t="n"/>
    </row>
    <row r="29" ht="18" customHeight="1" s="122">
      <c r="B29" s="169" t="inlineStr">
        <is>
          <t>Short-Term Debt</t>
        </is>
      </c>
      <c r="C29" s="170" t="n"/>
      <c r="D29" s="170" t="n"/>
      <c r="E29" s="170" t="n"/>
      <c r="F29" s="170" t="n"/>
      <c r="G29" s="170" t="n"/>
    </row>
    <row r="30" ht="18" customHeight="1" s="122">
      <c r="B30" s="167" t="inlineStr">
        <is>
          <t>Tax Payables</t>
        </is>
      </c>
      <c r="C30" s="168" t="n"/>
      <c r="D30" s="168" t="n"/>
      <c r="E30" s="168" t="n"/>
      <c r="F30" s="168" t="n"/>
      <c r="G30" s="168" t="n"/>
    </row>
    <row r="31" ht="18" customHeight="1" s="122">
      <c r="B31" s="169" t="inlineStr">
        <is>
          <t>Other Current Liabilities</t>
        </is>
      </c>
      <c r="C31" s="163" t="n">
        <v>204020</v>
      </c>
      <c r="D31" s="163" t="n">
        <v>215540</v>
      </c>
      <c r="E31" s="163" t="n">
        <v>257870</v>
      </c>
      <c r="F31" s="163" t="n">
        <v>288130</v>
      </c>
      <c r="G31" s="163" t="n">
        <v>295350</v>
      </c>
    </row>
    <row r="32" ht="18" customHeight="1" s="122">
      <c r="B32" s="164" t="inlineStr">
        <is>
          <t>Total Current Liabilities</t>
        </is>
      </c>
      <c r="C32" s="165">
        <f>SUM(C28:C31)</f>
        <v/>
      </c>
      <c r="D32" s="165">
        <f>SUM(D28:D31)</f>
        <v/>
      </c>
      <c r="E32" s="165">
        <f>SUM(E28:E31)</f>
        <v/>
      </c>
      <c r="F32" s="165">
        <f>SUM(F28:F31)</f>
        <v/>
      </c>
      <c r="G32" s="165">
        <f>SUM(G28:G31)</f>
        <v/>
      </c>
    </row>
    <row r="33" ht="7.5" customHeight="1" s="122"/>
    <row r="34" ht="19.5" customHeight="1" s="122">
      <c r="B34" s="161" t="inlineStr">
        <is>
          <t>NON-CURRENT LIABILITIES</t>
        </is>
      </c>
    </row>
    <row r="35" ht="18" customHeight="1" s="122">
      <c r="B35" s="169" t="inlineStr">
        <is>
          <t>Long-Term Debt</t>
        </is>
      </c>
      <c r="C35" s="163" t="n">
        <v>10430</v>
      </c>
      <c r="D35" s="163" t="n">
        <v>12190</v>
      </c>
      <c r="E35" s="163" t="n">
        <v>14840</v>
      </c>
      <c r="F35" s="163" t="n">
        <v>16480</v>
      </c>
      <c r="G35" s="163" t="n">
        <v>14780</v>
      </c>
    </row>
    <row r="36" ht="18" customHeight="1" s="122">
      <c r="B36" s="167" t="inlineStr">
        <is>
          <t>Deferred Tax Liabilities</t>
        </is>
      </c>
      <c r="C36" s="168" t="n"/>
      <c r="D36" s="168" t="n"/>
      <c r="E36" s="168" t="n"/>
      <c r="F36" s="168" t="n"/>
      <c r="G36" s="168" t="n"/>
    </row>
    <row r="37" ht="18" customHeight="1" s="122">
      <c r="B37" s="169" t="inlineStr">
        <is>
          <t>Lease Obligations (Non-Current)</t>
        </is>
      </c>
      <c r="C37" s="170" t="n"/>
      <c r="D37" s="170" t="n"/>
      <c r="E37" s="170" t="n"/>
      <c r="F37" s="170" t="n"/>
      <c r="G37" s="170" t="n"/>
    </row>
    <row r="38" ht="18" customHeight="1" s="122">
      <c r="B38" s="167" t="inlineStr">
        <is>
          <t>Other Non-Current Liabilities</t>
        </is>
      </c>
      <c r="C38" s="168" t="n"/>
      <c r="D38" s="168" t="n"/>
      <c r="E38" s="168" t="n"/>
      <c r="F38" s="168" t="n"/>
      <c r="G38" s="168" t="n"/>
    </row>
    <row r="39" ht="18" customHeight="1" s="122">
      <c r="B39" s="164" t="inlineStr">
        <is>
          <t>Total Non-Current Liabilities</t>
        </is>
      </c>
      <c r="C39" s="165">
        <f>SUM(C35:C38)</f>
        <v/>
      </c>
      <c r="D39" s="165">
        <f>SUM(D35:D38)</f>
        <v/>
      </c>
      <c r="E39" s="165">
        <f>SUM(E35:E38)</f>
        <v/>
      </c>
      <c r="F39" s="165">
        <f>SUM(F35:F38)</f>
        <v/>
      </c>
      <c r="G39" s="165">
        <f>SUM(G35:G38)</f>
        <v/>
      </c>
    </row>
    <row r="40" ht="7.5" customHeight="1" s="122"/>
    <row r="41" ht="18" customHeight="1" s="122">
      <c r="B41" s="164" t="inlineStr">
        <is>
          <t>TOTAL LIABILITIES</t>
        </is>
      </c>
      <c r="C41" s="165">
        <f>C32+C39</f>
        <v/>
      </c>
      <c r="D41" s="165">
        <f>D32+D39</f>
        <v/>
      </c>
      <c r="E41" s="165">
        <f>E32+E39</f>
        <v/>
      </c>
      <c r="F41" s="165">
        <f>F32+F39</f>
        <v/>
      </c>
      <c r="G41" s="165">
        <f>G32+G39</f>
        <v/>
      </c>
    </row>
    <row r="42" ht="7.5" customHeight="1" s="122"/>
    <row r="43" ht="19.5" customHeight="1" s="122">
      <c r="B43" s="161" t="inlineStr">
        <is>
          <t>SHAREHOLDERS' EQUITY</t>
        </is>
      </c>
    </row>
    <row r="44" ht="18" customHeight="1" s="122">
      <c r="B44" s="167" t="inlineStr">
        <is>
          <t>Share Capital</t>
        </is>
      </c>
      <c r="C44" s="162" t="n">
        <v>2350</v>
      </c>
      <c r="D44" s="162" t="n">
        <v>2350</v>
      </c>
      <c r="E44" s="162" t="n">
        <v>2350</v>
      </c>
      <c r="F44" s="162" t="n">
        <v>2350</v>
      </c>
      <c r="G44" s="162" t="n">
        <v>2350</v>
      </c>
    </row>
    <row r="45" ht="18" customHeight="1" s="122">
      <c r="B45" s="169" t="inlineStr">
        <is>
          <t>Retained Earnings</t>
        </is>
      </c>
      <c r="C45" s="163" t="n">
        <v>488260</v>
      </c>
      <c r="D45" s="163" t="n">
        <v>500690</v>
      </c>
      <c r="E45" s="163" t="n">
        <v>509830</v>
      </c>
      <c r="F45" s="163" t="n">
        <v>491670</v>
      </c>
      <c r="G45" s="163" t="n">
        <v>485040</v>
      </c>
    </row>
    <row r="46" ht="18" customHeight="1" s="122">
      <c r="B46" s="167" t="inlineStr">
        <is>
          <t>Additional Paid-In Capital</t>
        </is>
      </c>
      <c r="C46" s="168" t="n"/>
      <c r="D46" s="168" t="n"/>
      <c r="E46" s="168" t="n"/>
      <c r="F46" s="168" t="n"/>
      <c r="G46" s="168" t="n"/>
    </row>
    <row r="47" ht="18" customHeight="1" s="122">
      <c r="B47" s="169" t="inlineStr">
        <is>
          <t>Other Comprehensive Income</t>
        </is>
      </c>
      <c r="C47" s="170" t="n"/>
      <c r="D47" s="170" t="n"/>
      <c r="E47" s="170" t="n"/>
      <c r="F47" s="170" t="n"/>
      <c r="G47" s="170" t="n"/>
    </row>
    <row r="48" ht="18" customHeight="1" s="122">
      <c r="B48" s="164" t="inlineStr">
        <is>
          <t>Total Shareholders' Equity</t>
        </is>
      </c>
      <c r="C48" s="165">
        <f>SUM(C44:C47)</f>
        <v/>
      </c>
      <c r="D48" s="165">
        <f>SUM(D44:D47)</f>
        <v/>
      </c>
      <c r="E48" s="165">
        <f>SUM(E44:E47)</f>
        <v/>
      </c>
      <c r="F48" s="165">
        <f>SUM(F44:F47)</f>
        <v/>
      </c>
      <c r="G48" s="165">
        <f>SUM(G44:G47)</f>
        <v/>
      </c>
    </row>
    <row r="49" ht="18" customHeight="1" s="122">
      <c r="B49" s="169" t="inlineStr">
        <is>
          <t>Minority Interest</t>
        </is>
      </c>
      <c r="C49" s="170" t="n"/>
      <c r="D49" s="170" t="n"/>
      <c r="E49" s="170" t="n"/>
      <c r="F49" s="170" t="n"/>
      <c r="G49" s="170" t="n"/>
    </row>
    <row r="50" ht="18" customHeight="1" s="122">
      <c r="B50" s="164" t="inlineStr">
        <is>
          <t>Total Equity</t>
        </is>
      </c>
      <c r="C50" s="165">
        <f>C48+C49</f>
        <v/>
      </c>
      <c r="D50" s="165">
        <f>D48+D49</f>
        <v/>
      </c>
      <c r="E50" s="165">
        <f>E48+E49</f>
        <v/>
      </c>
      <c r="F50" s="165">
        <f>F48+F49</f>
        <v/>
      </c>
      <c r="G50" s="165">
        <f>G48+G49</f>
        <v/>
      </c>
    </row>
    <row r="51" ht="7.5" customHeight="1" s="122"/>
    <row r="52" ht="18" customHeight="1" s="122">
      <c r="B52" s="164" t="inlineStr">
        <is>
          <t>TOTAL LIABILITIES &amp; EQUITY</t>
        </is>
      </c>
      <c r="C52" s="165">
        <f>C41+C50</f>
        <v/>
      </c>
      <c r="D52" s="165">
        <f>D41+D50</f>
        <v/>
      </c>
      <c r="E52" s="165">
        <f>E41+E50</f>
        <v/>
      </c>
      <c r="F52" s="165">
        <f>F41+F50</f>
        <v/>
      </c>
      <c r="G52" s="165">
        <f>G41+G50</f>
        <v/>
      </c>
    </row>
    <row r="53" ht="7.5" customHeight="1" s="122"/>
    <row r="54" ht="19.5" customHeight="1" s="122">
      <c r="B54" s="161" t="inlineStr">
        <is>
          <t>KEY LEVERAGE METRICS</t>
        </is>
      </c>
    </row>
    <row r="55" ht="18" customHeight="1" s="122">
      <c r="B55" s="164" t="inlineStr">
        <is>
          <t>Total Debt</t>
        </is>
      </c>
      <c r="C55" s="165">
        <f>C29+C35</f>
        <v/>
      </c>
      <c r="D55" s="165">
        <f>D29+D35</f>
        <v/>
      </c>
      <c r="E55" s="165">
        <f>E29+E35</f>
        <v/>
      </c>
      <c r="F55" s="165">
        <f>F29+F35</f>
        <v/>
      </c>
      <c r="G55" s="165">
        <f>G29+G35</f>
        <v/>
      </c>
    </row>
    <row r="56" ht="18" customHeight="1" s="122">
      <c r="B56" s="133" t="inlineStr">
        <is>
          <t>Net Debt / (Cash)</t>
        </is>
      </c>
      <c r="C56" s="171">
        <f>C55-C10</f>
        <v/>
      </c>
      <c r="D56" s="171">
        <f>D55-D10</f>
        <v/>
      </c>
      <c r="E56" s="171">
        <f>E55-E10</f>
        <v/>
      </c>
      <c r="F56" s="171">
        <f>F55-F10</f>
        <v/>
      </c>
      <c r="G56" s="171">
        <f>G55-G10</f>
        <v/>
      </c>
    </row>
    <row r="58" ht="13.5" customHeight="1" s="122">
      <c r="B58" s="137" t="inlineStr">
        <is>
          <t>Source: Hindustan Unilever NSE Filings | FY2022–FY2026 | Generated: 22 May 2026</t>
        </is>
      </c>
    </row>
  </sheetData>
  <mergeCells count="10">
    <mergeCell ref="B3:G3"/>
    <mergeCell ref="B2:G2"/>
    <mergeCell ref="B34:G34"/>
    <mergeCell ref="B54:G54"/>
    <mergeCell ref="B17:G17"/>
    <mergeCell ref="B27:G27"/>
    <mergeCell ref="B4:G4"/>
    <mergeCell ref="B43:G43"/>
    <mergeCell ref="B58:G58"/>
    <mergeCell ref="B7:G7"/>
  </mergeCells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C39BB"/>
    <outlinePr summaryBelow="1" summaryRight="1"/>
    <pageSetUpPr fitToPage="1"/>
  </sheetPr>
  <dimension ref="A2:G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3" customWidth="1" style="121" min="1" max="1"/>
    <col width="42" customWidth="1" style="121" min="2" max="2"/>
    <col width="15" customWidth="1" style="121" min="3" max="7"/>
    <col width="5" customWidth="1" style="121" min="8" max="8"/>
  </cols>
  <sheetData>
    <row r="1" ht="7.5" customHeight="1" s="122"/>
    <row r="2" ht="45" customHeight="1" s="122">
      <c r="A2" s="123" t="n"/>
      <c r="B2" s="157" t="inlineStr">
        <is>
          <t>HINDUSTAN UNILEVER LIMITED — CASH FLOW STATEMENT</t>
        </is>
      </c>
    </row>
    <row r="3" ht="21.75" customHeight="1" s="122">
      <c r="A3" s="125" t="n"/>
      <c r="B3" s="158" t="inlineStr">
        <is>
          <t>Consolidated Cash Flows | FY2022 – FY2026 (April – March Fiscal Year)</t>
        </is>
      </c>
    </row>
    <row r="4" ht="18" customHeight="1" s="122">
      <c r="B4" s="159" t="inlineStr">
        <is>
          <t>Figures in ₹ Millions (INR Mn) | FY ends March 31 | Source: HUL Annual Reports (NSE Filings)</t>
        </is>
      </c>
    </row>
    <row r="5" ht="7.5" customHeight="1" s="122"/>
    <row r="6" ht="21.75" customHeight="1" s="122">
      <c r="B6" s="160" t="inlineStr">
        <is>
          <t>Line Item</t>
        </is>
      </c>
      <c r="C6" s="160" t="inlineStr">
        <is>
          <t>FY2022</t>
        </is>
      </c>
      <c r="D6" s="160" t="inlineStr">
        <is>
          <t>FY2023</t>
        </is>
      </c>
      <c r="E6" s="160" t="inlineStr">
        <is>
          <t>FY2024</t>
        </is>
      </c>
      <c r="F6" s="160" t="inlineStr">
        <is>
          <t>FY2025</t>
        </is>
      </c>
      <c r="G6" s="160" t="inlineStr">
        <is>
          <t>FY2026</t>
        </is>
      </c>
    </row>
    <row r="7" ht="19.5" customHeight="1" s="122">
      <c r="B7" s="161" t="inlineStr">
        <is>
          <t>OPERATING ACTIVITIES</t>
        </is>
      </c>
    </row>
    <row r="8" ht="18" customHeight="1" s="122">
      <c r="B8" s="167" t="inlineStr">
        <is>
          <t>Net Income</t>
        </is>
      </c>
      <c r="C8" s="176">
        <f>IS!C29</f>
        <v/>
      </c>
      <c r="D8" s="176">
        <f>IS!D29</f>
        <v/>
      </c>
      <c r="E8" s="176">
        <f>IS!E29</f>
        <v/>
      </c>
      <c r="F8" s="176">
        <f>IS!F29</f>
        <v/>
      </c>
      <c r="G8" s="176">
        <f>IS!G29</f>
        <v/>
      </c>
    </row>
    <row r="9" ht="18" customHeight="1" s="122">
      <c r="B9" s="169" t="inlineStr">
        <is>
          <t>Depreciation &amp; Amortization</t>
        </is>
      </c>
      <c r="C9" s="177">
        <f>IS!C21</f>
        <v/>
      </c>
      <c r="D9" s="177">
        <f>IS!D21</f>
        <v/>
      </c>
      <c r="E9" s="177">
        <f>IS!E21</f>
        <v/>
      </c>
      <c r="F9" s="177">
        <f>IS!F21</f>
        <v/>
      </c>
      <c r="G9" s="177">
        <f>IS!G21</f>
        <v/>
      </c>
    </row>
    <row r="10" ht="18" customHeight="1" s="122">
      <c r="B10" s="167" t="inlineStr">
        <is>
          <t>Deferred Income Tax</t>
        </is>
      </c>
      <c r="C10" s="168" t="n"/>
      <c r="D10" s="168" t="n"/>
      <c r="E10" s="168" t="n"/>
      <c r="F10" s="168" t="n"/>
      <c r="G10" s="168" t="n"/>
    </row>
    <row r="11" ht="18" customHeight="1" s="122">
      <c r="B11" s="169" t="inlineStr">
        <is>
          <t>Stock-Based Compensation</t>
        </is>
      </c>
      <c r="C11" s="170" t="n"/>
      <c r="D11" s="170" t="n"/>
      <c r="E11" s="170" t="n"/>
      <c r="F11" s="170" t="n"/>
      <c r="G11" s="170" t="n"/>
    </row>
    <row r="12" ht="18" customHeight="1" s="122">
      <c r="B12" s="178" t="inlineStr">
        <is>
          <t>Change in Accounts Receivable</t>
        </is>
      </c>
      <c r="C12" s="168" t="n"/>
      <c r="D12" s="168" t="n"/>
      <c r="E12" s="168" t="n"/>
      <c r="F12" s="168" t="n"/>
      <c r="G12" s="168" t="n"/>
    </row>
    <row r="13" ht="18" customHeight="1" s="122">
      <c r="B13" s="179" t="inlineStr">
        <is>
          <t>Change in Inventory</t>
        </is>
      </c>
      <c r="C13" s="170" t="n"/>
      <c r="D13" s="170" t="n"/>
      <c r="E13" s="170" t="n"/>
      <c r="F13" s="170" t="n"/>
      <c r="G13" s="170" t="n"/>
    </row>
    <row r="14" ht="18" customHeight="1" s="122">
      <c r="B14" s="178" t="inlineStr">
        <is>
          <t>Change in Accounts Payable</t>
        </is>
      </c>
      <c r="C14" s="168" t="n"/>
      <c r="D14" s="168" t="n"/>
      <c r="E14" s="168" t="n"/>
      <c r="F14" s="168" t="n"/>
      <c r="G14" s="168" t="n"/>
    </row>
    <row r="15" ht="18" customHeight="1" s="122">
      <c r="B15" s="179" t="inlineStr">
        <is>
          <t>Other Working Capital Changes</t>
        </is>
      </c>
      <c r="C15" s="170" t="n"/>
      <c r="D15" s="170" t="n"/>
      <c r="E15" s="170" t="n"/>
      <c r="F15" s="170" t="n"/>
      <c r="G15" s="170" t="n"/>
    </row>
    <row r="16" ht="18" customHeight="1" s="122">
      <c r="B16" s="167" t="inlineStr">
        <is>
          <t>Other Non-Cash Items</t>
        </is>
      </c>
      <c r="C16" s="171">
        <f>C17-SUM(C8:C15)</f>
        <v/>
      </c>
      <c r="D16" s="171">
        <f>D17-SUM(D8:D15)</f>
        <v/>
      </c>
      <c r="E16" s="171">
        <f>E17-SUM(E8:E15)</f>
        <v/>
      </c>
      <c r="F16" s="171">
        <f>F17-SUM(F8:F15)</f>
        <v/>
      </c>
      <c r="G16" s="171">
        <f>G17-SUM(G8:G15)</f>
        <v/>
      </c>
    </row>
    <row r="17" ht="18" customHeight="1" s="122">
      <c r="B17" s="164" t="inlineStr">
        <is>
          <t>Net Cash from Operating Activities</t>
        </is>
      </c>
      <c r="C17" s="165" t="n">
        <v>90480</v>
      </c>
      <c r="D17" s="165" t="n">
        <v>99910</v>
      </c>
      <c r="E17" s="165" t="n">
        <v>154690</v>
      </c>
      <c r="F17" s="165" t="n">
        <v>118860</v>
      </c>
      <c r="G17" s="165" t="n">
        <v>109990</v>
      </c>
    </row>
    <row r="18" ht="7.5" customHeight="1" s="122"/>
    <row r="19" ht="19.5" customHeight="1" s="122">
      <c r="B19" s="161" t="inlineStr">
        <is>
          <t>INVESTING ACTIVITIES</t>
        </is>
      </c>
    </row>
    <row r="20" ht="18" customHeight="1" s="122">
      <c r="B20" s="167" t="inlineStr">
        <is>
          <t>Capital Expenditure (Capex)</t>
        </is>
      </c>
      <c r="C20" s="162" t="n">
        <v>-10530</v>
      </c>
      <c r="D20" s="162" t="n">
        <v>-10110</v>
      </c>
      <c r="E20" s="162" t="n">
        <v>-14570</v>
      </c>
      <c r="F20" s="162" t="n">
        <v>-12620</v>
      </c>
      <c r="G20" s="162" t="n">
        <v>-13310</v>
      </c>
    </row>
    <row r="21" ht="18" customHeight="1" s="122">
      <c r="B21" s="169" t="inlineStr">
        <is>
          <t>Acquisitions (Net)</t>
        </is>
      </c>
      <c r="C21" s="170" t="n"/>
      <c r="D21" s="170" t="n"/>
      <c r="E21" s="170" t="n"/>
      <c r="F21" s="170" t="n"/>
      <c r="G21" s="170" t="n"/>
    </row>
    <row r="22" ht="18" customHeight="1" s="122">
      <c r="B22" s="167" t="inlineStr">
        <is>
          <t>Purchases of Investments</t>
        </is>
      </c>
      <c r="C22" s="168" t="n"/>
      <c r="D22" s="168" t="n"/>
      <c r="E22" s="168" t="n"/>
      <c r="F22" s="168" t="n"/>
      <c r="G22" s="168" t="n"/>
    </row>
    <row r="23" ht="18" customHeight="1" s="122">
      <c r="B23" s="169" t="inlineStr">
        <is>
          <t>Sales &amp; Maturities of Investments</t>
        </is>
      </c>
      <c r="C23" s="170" t="n"/>
      <c r="D23" s="170" t="n"/>
      <c r="E23" s="170" t="n"/>
      <c r="F23" s="170" t="n"/>
      <c r="G23" s="170" t="n"/>
    </row>
    <row r="24" ht="18" customHeight="1" s="122">
      <c r="B24" s="167" t="inlineStr">
        <is>
          <t>Other Investing Activities</t>
        </is>
      </c>
      <c r="C24" s="171">
        <f>C25-SUM(C20:C23)</f>
        <v/>
      </c>
      <c r="D24" s="171">
        <f>D25-SUM(D20:D23)</f>
        <v/>
      </c>
      <c r="E24" s="171">
        <f>E25-SUM(E20:E23)</f>
        <v/>
      </c>
      <c r="F24" s="171">
        <f>F25-SUM(F20:F23)</f>
        <v/>
      </c>
      <c r="G24" s="171">
        <f>G25-SUM(G20:G23)</f>
        <v/>
      </c>
    </row>
    <row r="25" ht="18" customHeight="1" s="122">
      <c r="B25" s="164" t="inlineStr">
        <is>
          <t>Net Cash from Investing Activities</t>
        </is>
      </c>
      <c r="C25" s="165" t="n">
        <v>-17280</v>
      </c>
      <c r="D25" s="165" t="n">
        <v>-14840</v>
      </c>
      <c r="E25" s="165" t="n">
        <v>-53240</v>
      </c>
      <c r="F25" s="165" t="n">
        <v>64730</v>
      </c>
      <c r="G25" s="165" t="n">
        <v>-36840</v>
      </c>
    </row>
    <row r="26" ht="7.5" customHeight="1" s="122"/>
    <row r="27" ht="19.5" customHeight="1" s="122">
      <c r="B27" s="161" t="inlineStr">
        <is>
          <t>FINANCING ACTIVITIES</t>
        </is>
      </c>
    </row>
    <row r="28" ht="18" customHeight="1" s="122">
      <c r="B28" s="167" t="inlineStr">
        <is>
          <t>Net Debt Issuance</t>
        </is>
      </c>
      <c r="C28" s="168" t="n"/>
      <c r="D28" s="168" t="n"/>
      <c r="E28" s="168" t="n"/>
      <c r="F28" s="168" t="n"/>
      <c r="G28" s="168" t="n"/>
    </row>
    <row r="29" ht="18" customHeight="1" s="122">
      <c r="B29" s="169" t="inlineStr">
        <is>
          <t>Common Dividends Paid</t>
        </is>
      </c>
      <c r="C29" s="170" t="n"/>
      <c r="D29" s="170" t="n"/>
      <c r="E29" s="170" t="n"/>
      <c r="F29" s="170" t="n"/>
      <c r="G29" s="170" t="n"/>
    </row>
    <row r="30" ht="18" customHeight="1" s="122">
      <c r="B30" s="167" t="inlineStr">
        <is>
          <t>Other Financing Activities</t>
        </is>
      </c>
      <c r="C30" s="171">
        <f>C31-SUM(C28:C29)</f>
        <v/>
      </c>
      <c r="D30" s="171">
        <f>D31-SUM(D28:D29)</f>
        <v/>
      </c>
      <c r="E30" s="171">
        <f>E31-SUM(E28:E29)</f>
        <v/>
      </c>
      <c r="F30" s="171">
        <f>F31-SUM(F28:F29)</f>
        <v/>
      </c>
      <c r="G30" s="171">
        <f>G31-SUM(G28:G29)</f>
        <v/>
      </c>
    </row>
    <row r="31" ht="18" customHeight="1" s="122">
      <c r="B31" s="164" t="inlineStr">
        <is>
          <t>Net Cash from Financing Activities</t>
        </is>
      </c>
      <c r="C31" s="165" t="n">
        <v>-80150</v>
      </c>
      <c r="D31" s="165" t="n">
        <v>-89530</v>
      </c>
      <c r="E31" s="165" t="n">
        <v>-100340</v>
      </c>
      <c r="F31" s="165" t="n">
        <v>-131010</v>
      </c>
      <c r="G31" s="165" t="n">
        <v>-108100</v>
      </c>
    </row>
    <row r="32" ht="7.5" customHeight="1" s="122"/>
    <row r="33" ht="18" customHeight="1" s="122">
      <c r="B33" s="164" t="inlineStr">
        <is>
          <t>Net Change in Cash</t>
        </is>
      </c>
      <c r="C33" s="165">
        <f>C17+C25+C31</f>
        <v/>
      </c>
      <c r="D33" s="165">
        <f>D17+D25+D31</f>
        <v/>
      </c>
      <c r="E33" s="165">
        <f>E17+E25+E31</f>
        <v/>
      </c>
      <c r="F33" s="165">
        <f>F17+F25+F31</f>
        <v/>
      </c>
      <c r="G33" s="165">
        <f>G17+G25+G31</f>
        <v/>
      </c>
    </row>
    <row r="34" ht="18" customHeight="1" s="122">
      <c r="B34" s="167" t="inlineStr">
        <is>
          <t>Cash at Beginning of Period</t>
        </is>
      </c>
      <c r="C34" s="168" t="n"/>
      <c r="D34" s="168" t="n"/>
      <c r="E34" s="168" t="n"/>
      <c r="F34" s="168" t="n"/>
      <c r="G34" s="168" t="n"/>
    </row>
    <row r="35" ht="18" customHeight="1" s="122">
      <c r="B35" s="169" t="inlineStr">
        <is>
          <t>Cash at End of Period</t>
        </is>
      </c>
      <c r="C35" s="170" t="n"/>
      <c r="D35" s="170" t="n"/>
      <c r="E35" s="170" t="n"/>
      <c r="F35" s="170" t="n"/>
      <c r="G35" s="170" t="n"/>
    </row>
    <row r="36" ht="7.5" customHeight="1" s="122"/>
    <row r="37" ht="19.5" customHeight="1" s="122">
      <c r="B37" s="164" t="inlineStr">
        <is>
          <t>FREE CASH FLOW</t>
        </is>
      </c>
      <c r="C37" s="180" t="n"/>
      <c r="D37" s="180" t="n"/>
      <c r="E37" s="180" t="n"/>
      <c r="F37" s="180" t="n"/>
      <c r="G37" s="180" t="n"/>
    </row>
    <row r="38" ht="18" customHeight="1" s="122">
      <c r="B38" s="133" t="inlineStr">
        <is>
          <t>Operating Cash Flow</t>
        </is>
      </c>
      <c r="C38" s="171">
        <f>C17</f>
        <v/>
      </c>
      <c r="D38" s="171">
        <f>D17</f>
        <v/>
      </c>
      <c r="E38" s="171">
        <f>E17</f>
        <v/>
      </c>
      <c r="F38" s="171">
        <f>F17</f>
        <v/>
      </c>
      <c r="G38" s="171">
        <f>G17</f>
        <v/>
      </c>
    </row>
    <row r="39" ht="18" customHeight="1" s="122">
      <c r="B39" s="131" t="inlineStr">
        <is>
          <t>Capital Expenditure</t>
        </is>
      </c>
      <c r="C39" s="181">
        <f>C20</f>
        <v/>
      </c>
      <c r="D39" s="181">
        <f>D20</f>
        <v/>
      </c>
      <c r="E39" s="181">
        <f>E20</f>
        <v/>
      </c>
      <c r="F39" s="181">
        <f>F20</f>
        <v/>
      </c>
      <c r="G39" s="181">
        <f>G20</f>
        <v/>
      </c>
    </row>
    <row r="40" ht="18" customHeight="1" s="122">
      <c r="B40" s="164" t="inlineStr">
        <is>
          <t>Free Cash Flow (FCF)</t>
        </is>
      </c>
      <c r="C40" s="165">
        <f>C38+C39</f>
        <v/>
      </c>
      <c r="D40" s="165">
        <f>D38+D39</f>
        <v/>
      </c>
      <c r="E40" s="165">
        <f>E38+E39</f>
        <v/>
      </c>
      <c r="F40" s="165">
        <f>F38+F39</f>
        <v/>
      </c>
      <c r="G40" s="165">
        <f>G38+G39</f>
        <v/>
      </c>
    </row>
    <row r="41" ht="18" customHeight="1" s="122">
      <c r="B41" s="131" t="inlineStr">
        <is>
          <t>FCF Margin %</t>
        </is>
      </c>
      <c r="C41" s="182">
        <f>C40/IS!C8</f>
        <v/>
      </c>
      <c r="D41" s="182">
        <f>D40/IS!D8</f>
        <v/>
      </c>
      <c r="E41" s="182">
        <f>E40/IS!E8</f>
        <v/>
      </c>
      <c r="F41" s="182">
        <f>F40/IS!F8</f>
        <v/>
      </c>
      <c r="G41" s="182">
        <f>G40/IS!G8</f>
        <v/>
      </c>
    </row>
    <row r="42" ht="7.5" customHeight="1" s="122"/>
    <row r="43" ht="19.5" customHeight="1" s="122">
      <c r="B43" s="161" t="inlineStr">
        <is>
          <t>OTHER</t>
        </is>
      </c>
    </row>
    <row r="44" ht="18" customHeight="1" s="122">
      <c r="B44" s="133" t="inlineStr">
        <is>
          <t>Income Taxes Paid</t>
        </is>
      </c>
      <c r="C44" s="168" t="n"/>
      <c r="D44" s="168" t="n"/>
      <c r="E44" s="168" t="n"/>
      <c r="F44" s="168" t="n"/>
      <c r="G44" s="168" t="n"/>
    </row>
    <row r="45" ht="18" customHeight="1" s="122">
      <c r="B45" s="131" t="inlineStr">
        <is>
          <t>Interest Paid</t>
        </is>
      </c>
      <c r="C45" s="170" t="n"/>
      <c r="D45" s="170" t="n"/>
      <c r="E45" s="170" t="n"/>
      <c r="F45" s="170" t="n"/>
      <c r="G45" s="170" t="n"/>
    </row>
    <row r="47" ht="13.5" customHeight="1" s="122">
      <c r="B47" s="137" t="inlineStr">
        <is>
          <t>Source: Hindustan Unilever NSE Filings | FY2022–FY2026 | Generated: 22 May 2026</t>
        </is>
      </c>
    </row>
  </sheetData>
  <mergeCells count="9">
    <mergeCell ref="B3:G3"/>
    <mergeCell ref="B2:G2"/>
    <mergeCell ref="B19:G19"/>
    <mergeCell ref="B47:G47"/>
    <mergeCell ref="B37:G37"/>
    <mergeCell ref="B27:G27"/>
    <mergeCell ref="B4:G4"/>
    <mergeCell ref="B43:G43"/>
    <mergeCell ref="B7:G7"/>
  </mergeCells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C39BB"/>
    <outlinePr summaryBelow="1" summaryRight="1"/>
    <pageSetUpPr fitToPage="1"/>
  </sheetPr>
  <dimension ref="A2:G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3" customWidth="1" style="121" min="1" max="1"/>
    <col width="42" customWidth="1" style="121" min="2" max="2"/>
    <col width="15" customWidth="1" style="121" min="3" max="7"/>
  </cols>
  <sheetData>
    <row r="1" ht="7.5" customHeight="1" s="122"/>
    <row r="2" ht="45" customHeight="1" s="122">
      <c r="A2" s="123" t="n"/>
      <c r="B2" s="157" t="inlineStr">
        <is>
          <t>HINDUSTAN UNILEVER LIMITED — KEY FINANCIAL RATIOS</t>
        </is>
      </c>
    </row>
    <row r="3" ht="21.75" customHeight="1" s="122">
      <c r="A3" s="125" t="n"/>
      <c r="B3" s="158" t="inlineStr">
        <is>
          <t>Consolidated Ratios | FY2022 – FY2026 | Figures from IS, BS, CF Sheets</t>
        </is>
      </c>
    </row>
    <row r="4" ht="18" customHeight="1" s="122">
      <c r="B4" s="159" t="inlineStr">
        <is>
          <t>⚡ All ratios computed via cross-sheet formulas. Green = cross-sheet link.</t>
        </is>
      </c>
    </row>
    <row r="5" ht="7.5" customHeight="1" s="122"/>
    <row r="6" ht="21.75" customHeight="1" s="122">
      <c r="B6" s="183" t="inlineStr">
        <is>
          <t>Ratio</t>
        </is>
      </c>
      <c r="C6" s="183" t="inlineStr">
        <is>
          <t>FY2022</t>
        </is>
      </c>
      <c r="D6" s="183" t="inlineStr">
        <is>
          <t>FY2023</t>
        </is>
      </c>
      <c r="E6" s="183" t="inlineStr">
        <is>
          <t>FY2024</t>
        </is>
      </c>
      <c r="F6" s="183" t="inlineStr">
        <is>
          <t>FY2025</t>
        </is>
      </c>
      <c r="G6" s="183" t="inlineStr">
        <is>
          <t>FY2026</t>
        </is>
      </c>
    </row>
    <row r="7" ht="18.75" customHeight="1" s="122">
      <c r="B7" s="161" t="inlineStr">
        <is>
          <t>PROFITABILITY RATIOS</t>
        </is>
      </c>
    </row>
    <row r="8" ht="18.75" customHeight="1" s="122">
      <c r="B8" s="133" t="inlineStr">
        <is>
          <t>Gross Margin %</t>
        </is>
      </c>
      <c r="C8" s="184">
        <f>IS!C10/IS!C8</f>
        <v/>
      </c>
      <c r="D8" s="184">
        <f>IS!D10/IS!D8</f>
        <v/>
      </c>
      <c r="E8" s="184">
        <f>IS!E10/IS!E8</f>
        <v/>
      </c>
      <c r="F8" s="184">
        <f>IS!F10/IS!F8</f>
        <v/>
      </c>
      <c r="G8" s="184">
        <f>IS!G10/IS!G8</f>
        <v/>
      </c>
    </row>
    <row r="9" ht="18.75" customHeight="1" s="122">
      <c r="B9" s="131" t="inlineStr">
        <is>
          <t>EBITDA Margin %</t>
        </is>
      </c>
      <c r="C9" s="182">
        <f>IS!C20/IS!C8</f>
        <v/>
      </c>
      <c r="D9" s="182">
        <f>IS!D20/IS!D8</f>
        <v/>
      </c>
      <c r="E9" s="182">
        <f>IS!E20/IS!E8</f>
        <v/>
      </c>
      <c r="F9" s="182">
        <f>IS!F20/IS!F8</f>
        <v/>
      </c>
      <c r="G9" s="182">
        <f>IS!G20/IS!G8</f>
        <v/>
      </c>
    </row>
    <row r="10" ht="18.75" customHeight="1" s="122">
      <c r="B10" s="133" t="inlineStr">
        <is>
          <t>EBIT Margin %</t>
        </is>
      </c>
      <c r="C10" s="184">
        <f>IS!C22/IS!C8</f>
        <v/>
      </c>
      <c r="D10" s="184">
        <f>IS!D22/IS!D8</f>
        <v/>
      </c>
      <c r="E10" s="184">
        <f>IS!E22/IS!E8</f>
        <v/>
      </c>
      <c r="F10" s="184">
        <f>IS!F22/IS!F8</f>
        <v/>
      </c>
      <c r="G10" s="184">
        <f>IS!G22/IS!G8</f>
        <v/>
      </c>
    </row>
    <row r="11" ht="18.75" customHeight="1" s="122">
      <c r="B11" s="131" t="inlineStr">
        <is>
          <t>Net Profit Margin %</t>
        </is>
      </c>
      <c r="C11" s="182">
        <f>IS!C29/IS!C8</f>
        <v/>
      </c>
      <c r="D11" s="182">
        <f>IS!D29/IS!D8</f>
        <v/>
      </c>
      <c r="E11" s="182">
        <f>IS!E29/IS!E8</f>
        <v/>
      </c>
      <c r="F11" s="182">
        <f>IS!F29/IS!F8</f>
        <v/>
      </c>
      <c r="G11" s="182">
        <f>IS!G29/IS!G8</f>
        <v/>
      </c>
    </row>
    <row r="12" ht="18.75" customHeight="1" s="122">
      <c r="B12" s="133" t="inlineStr">
        <is>
          <t>Return on Assets (ROA)</t>
        </is>
      </c>
      <c r="C12" s="184">
        <f>IS!C29/BS!C25</f>
        <v/>
      </c>
      <c r="D12" s="184">
        <f>IS!D29/BS!D25</f>
        <v/>
      </c>
      <c r="E12" s="184">
        <f>IS!E29/BS!E25</f>
        <v/>
      </c>
      <c r="F12" s="184">
        <f>IS!F29/BS!F25</f>
        <v/>
      </c>
      <c r="G12" s="184">
        <f>IS!G29/BS!G25</f>
        <v/>
      </c>
    </row>
    <row r="13" ht="18.75" customHeight="1" s="122">
      <c r="B13" s="131" t="inlineStr">
        <is>
          <t>Return on Equity (ROE)</t>
        </is>
      </c>
      <c r="C13" s="182">
        <f>IS!C29/BS!C50</f>
        <v/>
      </c>
      <c r="D13" s="182">
        <f>IS!D29/BS!D50</f>
        <v/>
      </c>
      <c r="E13" s="182">
        <f>IS!E29/BS!E50</f>
        <v/>
      </c>
      <c r="F13" s="182">
        <f>IS!F29/BS!F50</f>
        <v/>
      </c>
      <c r="G13" s="182">
        <f>IS!G29/BS!G50</f>
        <v/>
      </c>
    </row>
    <row r="14" ht="18.75" customHeight="1" s="122">
      <c r="B14" s="133" t="inlineStr">
        <is>
          <t>Return on Capital Employed (ROCE)</t>
        </is>
      </c>
      <c r="C14" s="184">
        <f>IS!C22/(BS!C25-BS!C32)</f>
        <v/>
      </c>
      <c r="D14" s="184">
        <f>IS!D22/(BS!D25-BS!D32)</f>
        <v/>
      </c>
      <c r="E14" s="184">
        <f>IS!E22/(BS!E25-BS!E32)</f>
        <v/>
      </c>
      <c r="F14" s="184">
        <f>IS!F22/(BS!F25-BS!F32)</f>
        <v/>
      </c>
      <c r="G14" s="184">
        <f>IS!G22/(BS!G25-BS!G32)</f>
        <v/>
      </c>
    </row>
    <row r="15" ht="7.5" customHeight="1" s="122"/>
    <row r="16" ht="18.75" customHeight="1" s="122">
      <c r="B16" s="161" t="inlineStr">
        <is>
          <t>LIQUIDITY RATIOS</t>
        </is>
      </c>
    </row>
    <row r="17" ht="18.75" customHeight="1" s="122">
      <c r="B17" s="131" t="inlineStr">
        <is>
          <t>Current Ratio</t>
        </is>
      </c>
      <c r="C17" s="185">
        <f>BS!C15/BS!C32</f>
        <v/>
      </c>
      <c r="D17" s="185">
        <f>BS!D15/BS!D32</f>
        <v/>
      </c>
      <c r="E17" s="185">
        <f>BS!E15/BS!E32</f>
        <v/>
      </c>
      <c r="F17" s="185">
        <f>BS!F15/BS!F32</f>
        <v/>
      </c>
      <c r="G17" s="185">
        <f>BS!G15/BS!G32</f>
        <v/>
      </c>
    </row>
    <row r="18" ht="18.75" customHeight="1" s="122">
      <c r="B18" s="133" t="inlineStr">
        <is>
          <t>Quick Ratio</t>
        </is>
      </c>
      <c r="C18" s="186">
        <f>(BS!C15-BS!C12)/BS!C32</f>
        <v/>
      </c>
      <c r="D18" s="186">
        <f>(BS!D15-BS!D12)/BS!D32</f>
        <v/>
      </c>
      <c r="E18" s="186">
        <f>(BS!E15-BS!E12)/BS!E32</f>
        <v/>
      </c>
      <c r="F18" s="186">
        <f>(BS!F15-BS!F12)/BS!F32</f>
        <v/>
      </c>
      <c r="G18" s="186">
        <f>(BS!G15-BS!G12)/BS!G32</f>
        <v/>
      </c>
    </row>
    <row r="19" ht="7.5" customHeight="1" s="122"/>
    <row r="20" ht="18.75" customHeight="1" s="122">
      <c r="B20" s="161" t="inlineStr">
        <is>
          <t>LEVERAGE RATIOS</t>
        </is>
      </c>
    </row>
    <row r="21" ht="18.75" customHeight="1" s="122">
      <c r="B21" s="131" t="inlineStr">
        <is>
          <t>Debt / Equity</t>
        </is>
      </c>
      <c r="C21" s="185">
        <f>BS!C55/BS!C50</f>
        <v/>
      </c>
      <c r="D21" s="185">
        <f>BS!D55/BS!D50</f>
        <v/>
      </c>
      <c r="E21" s="185">
        <f>BS!E55/BS!E50</f>
        <v/>
      </c>
      <c r="F21" s="185">
        <f>BS!F55/BS!F50</f>
        <v/>
      </c>
      <c r="G21" s="185">
        <f>BS!G55/BS!G50</f>
        <v/>
      </c>
    </row>
    <row r="22" ht="18.75" customHeight="1" s="122">
      <c r="B22" s="133" t="inlineStr">
        <is>
          <t>Net Debt / EBITDA</t>
        </is>
      </c>
      <c r="C22" s="186">
        <f>BS!C56/IS!C20</f>
        <v/>
      </c>
      <c r="D22" s="186">
        <f>BS!D56/IS!D20</f>
        <v/>
      </c>
      <c r="E22" s="186">
        <f>BS!E56/IS!E20</f>
        <v/>
      </c>
      <c r="F22" s="186">
        <f>BS!F56/IS!F20</f>
        <v/>
      </c>
      <c r="G22" s="186">
        <f>BS!G56/IS!G20</f>
        <v/>
      </c>
    </row>
    <row r="23" ht="18.75" customHeight="1" s="122">
      <c r="B23" s="131" t="inlineStr">
        <is>
          <t>Interest Coverage (EBIT/Int)</t>
        </is>
      </c>
      <c r="C23" s="187">
        <f>IS!C22/IS!C24</f>
        <v/>
      </c>
      <c r="D23" s="187">
        <f>IS!D22/IS!D24</f>
        <v/>
      </c>
      <c r="E23" s="187">
        <f>IS!E22/IS!E24</f>
        <v/>
      </c>
      <c r="F23" s="187">
        <f>IS!F22/IS!F24</f>
        <v/>
      </c>
      <c r="G23" s="187">
        <f>IS!G22/IS!G24</f>
        <v/>
      </c>
    </row>
    <row r="24" ht="7.5" customHeight="1" s="122"/>
    <row r="25" ht="18.75" customHeight="1" s="122">
      <c r="B25" s="161" t="inlineStr">
        <is>
          <t>EFFICIENCY RATIOS</t>
        </is>
      </c>
    </row>
    <row r="26" ht="18.75" customHeight="1" s="122">
      <c r="B26" s="133" t="inlineStr">
        <is>
          <t>Asset Turnover</t>
        </is>
      </c>
      <c r="C26" s="186">
        <f>IS!C8/BS!C25</f>
        <v/>
      </c>
      <c r="D26" s="186">
        <f>IS!D8/BS!D25</f>
        <v/>
      </c>
      <c r="E26" s="186">
        <f>IS!E8/BS!E25</f>
        <v/>
      </c>
      <c r="F26" s="186">
        <f>IS!F8/BS!F25</f>
        <v/>
      </c>
      <c r="G26" s="186">
        <f>IS!G8/BS!G25</f>
        <v/>
      </c>
    </row>
    <row r="27" ht="18.75" customHeight="1" s="122">
      <c r="B27" s="131" t="inlineStr">
        <is>
          <t>Inventory Turnover *</t>
        </is>
      </c>
      <c r="C27" s="188" t="inlineStr">
        <is>
          <t>n/a</t>
        </is>
      </c>
      <c r="D27" s="188" t="inlineStr">
        <is>
          <t>n/a</t>
        </is>
      </c>
      <c r="E27" s="188" t="inlineStr">
        <is>
          <t>n/a</t>
        </is>
      </c>
      <c r="F27" s="188" t="inlineStr">
        <is>
          <t>n/a</t>
        </is>
      </c>
      <c r="G27" s="188" t="inlineStr">
        <is>
          <t>n/a</t>
        </is>
      </c>
    </row>
    <row r="28" ht="18.75" customHeight="1" s="122">
      <c r="B28" s="133" t="inlineStr">
        <is>
          <t>Receivables Turnover *</t>
        </is>
      </c>
      <c r="C28" s="189" t="inlineStr">
        <is>
          <t>n/a</t>
        </is>
      </c>
      <c r="D28" s="189" t="inlineStr">
        <is>
          <t>n/a</t>
        </is>
      </c>
      <c r="E28" s="189" t="inlineStr">
        <is>
          <t>n/a</t>
        </is>
      </c>
      <c r="F28" s="189" t="inlineStr">
        <is>
          <t>n/a</t>
        </is>
      </c>
      <c r="G28" s="189" t="inlineStr">
        <is>
          <t>n/a</t>
        </is>
      </c>
    </row>
    <row r="29" ht="7.5" customHeight="1" s="122">
      <c r="B29" s="190" t="inlineStr">
        <is>
          <t>* Inventory &amp; receivables not broken out in BS (rolled into Other Assets); ratio unavailable.</t>
        </is>
      </c>
    </row>
    <row r="30" ht="18.75" customHeight="1" s="122">
      <c r="B30" s="161" t="inlineStr">
        <is>
          <t>CASH FLOW RATIOS</t>
        </is>
      </c>
    </row>
    <row r="31" ht="18.75" customHeight="1" s="122">
      <c r="B31" s="131" t="inlineStr">
        <is>
          <t>FCF Margin %</t>
        </is>
      </c>
      <c r="C31" s="182">
        <f>CF!C40/IS!C8</f>
        <v/>
      </c>
      <c r="D31" s="182">
        <f>CF!D40/IS!D8</f>
        <v/>
      </c>
      <c r="E31" s="182">
        <f>CF!E40/IS!E8</f>
        <v/>
      </c>
      <c r="F31" s="182">
        <f>CF!F40/IS!F8</f>
        <v/>
      </c>
      <c r="G31" s="182">
        <f>CF!G40/IS!G8</f>
        <v/>
      </c>
    </row>
    <row r="32" ht="18.75" customHeight="1" s="122">
      <c r="B32" s="133" t="inlineStr">
        <is>
          <t>FCF / Net Income</t>
        </is>
      </c>
      <c r="C32" s="186">
        <f>CF!C40/IS!C29</f>
        <v/>
      </c>
      <c r="D32" s="186">
        <f>CF!D40/IS!D29</f>
        <v/>
      </c>
      <c r="E32" s="186">
        <f>CF!E40/IS!E29</f>
        <v/>
      </c>
      <c r="F32" s="186">
        <f>CF!F40/IS!F29</f>
        <v/>
      </c>
      <c r="G32" s="186">
        <f>CF!G40/IS!G29</f>
        <v/>
      </c>
    </row>
    <row r="33" ht="18.75" customHeight="1" s="122">
      <c r="B33" s="131" t="inlineStr">
        <is>
          <t>Capex / Revenue %</t>
        </is>
      </c>
      <c r="C33" s="182">
        <f>ABS(CF!C39)/IS!C8</f>
        <v/>
      </c>
      <c r="D33" s="182">
        <f>ABS(CF!D39)/IS!D8</f>
        <v/>
      </c>
      <c r="E33" s="182">
        <f>ABS(CF!E39)/IS!E8</f>
        <v/>
      </c>
      <c r="F33" s="182">
        <f>ABS(CF!F39)/IS!F8</f>
        <v/>
      </c>
      <c r="G33" s="182">
        <f>ABS(CF!G39)/IS!G8</f>
        <v/>
      </c>
    </row>
    <row r="34" ht="18.75" customHeight="1" s="122">
      <c r="B34" s="133" t="inlineStr">
        <is>
          <t>Dividend Payout Ratio</t>
        </is>
      </c>
      <c r="C34" s="184">
        <f>ABS(CF!C29)/IS!C29</f>
        <v/>
      </c>
      <c r="D34" s="184">
        <f>ABS(CF!D29)/IS!D29</f>
        <v/>
      </c>
      <c r="E34" s="184">
        <f>ABS(CF!E29)/IS!E29</f>
        <v/>
      </c>
      <c r="F34" s="184">
        <f>ABS(CF!F29)/IS!F29</f>
        <v/>
      </c>
      <c r="G34" s="184">
        <f>ABS(CF!G29)/IS!G29</f>
        <v/>
      </c>
    </row>
    <row r="36" ht="13.5" customHeight="1" s="122">
      <c r="B36" s="137" t="inlineStr">
        <is>
          <t>Source: Cross-sheet formulas from IS, BS, CF sheets | Generated: 22 May 2026</t>
        </is>
      </c>
    </row>
  </sheetData>
  <mergeCells count="9">
    <mergeCell ref="B3:G3"/>
    <mergeCell ref="B2:G2"/>
    <mergeCell ref="B20:G20"/>
    <mergeCell ref="B16:G16"/>
    <mergeCell ref="B36:G36"/>
    <mergeCell ref="B4:G4"/>
    <mergeCell ref="B30:G30"/>
    <mergeCell ref="B7:G7"/>
    <mergeCell ref="B25:G25"/>
  </mergeCells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C39BB"/>
    <outlinePr summaryBelow="1" summaryRight="1"/>
    <pageSetUpPr fitToPage="1"/>
  </sheetPr>
  <dimension ref="A2:K80"/>
  <sheetViews>
    <sheetView showFormulas="0" showGridLines="0" showRowColHeaders="1" showZeros="1" rightToLeft="0" tabSelected="0" showOutlineSymbols="1" defaultGridColor="1" view="normal" topLeftCell="A30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3" customWidth="1" style="121" min="1" max="1"/>
    <col width="46" customWidth="1" style="121" min="2" max="2"/>
    <col width="13" customWidth="1" style="121" min="3" max="3"/>
    <col width="12.16" customWidth="1" style="121" min="4" max="4"/>
    <col width="12" customWidth="1" style="121" min="5" max="8"/>
    <col width="13" customWidth="1" style="121" min="9" max="11"/>
  </cols>
  <sheetData>
    <row r="2" ht="45" customHeight="1" s="122">
      <c r="A2" s="123" t="n"/>
      <c r="B2" s="191" t="inlineStr">
        <is>
          <t>HINDUSTAN UNILEVER LIMITED — DCF VALUATION MODEL</t>
        </is>
      </c>
    </row>
    <row r="3" ht="15" customHeight="1" s="122">
      <c r="B3" s="192" t="inlineStr">
        <is>
          <t>5-Year Explicit Forecast + Gordon Growth Terminal Value | Figures in ₹ Mn</t>
        </is>
      </c>
    </row>
    <row r="4" ht="30" customHeight="1" s="122">
      <c r="B4" s="193" t="n"/>
    </row>
    <row r="6" ht="15" customHeight="1" s="122">
      <c r="B6" s="139" t="inlineStr">
        <is>
          <t>KEY ASSUMPTIONS</t>
        </is>
      </c>
    </row>
    <row r="7" ht="15" customHeight="1" s="122">
      <c r="B7" s="141" t="inlineStr">
        <is>
          <t>Revenue Growth Rate (Explicit)</t>
        </is>
      </c>
      <c r="C7" s="194" t="n">
        <v>0.07000000000000001</v>
      </c>
    </row>
    <row r="8" ht="15" customHeight="1" s="122">
      <c r="B8" s="141" t="inlineStr">
        <is>
          <t>EBIT Margin (Steady)</t>
        </is>
      </c>
      <c r="C8" s="194" t="n">
        <v>0.21</v>
      </c>
    </row>
    <row r="9" ht="15" customHeight="1" s="122">
      <c r="B9" s="141" t="inlineStr">
        <is>
          <t>Tax Rate</t>
        </is>
      </c>
      <c r="C9" s="194" t="n">
        <v>0.25</v>
      </c>
    </row>
    <row r="10" ht="15" customHeight="1" s="122">
      <c r="B10" s="141" t="inlineStr">
        <is>
          <t>D&amp;A as % of Revenue</t>
        </is>
      </c>
      <c r="C10" s="194" t="n">
        <v>0.021</v>
      </c>
    </row>
    <row r="11" ht="15" customHeight="1" s="122">
      <c r="B11" s="141" t="inlineStr">
        <is>
          <t>Capex as % of Revenue</t>
        </is>
      </c>
      <c r="C11" s="194" t="n">
        <v>0.022</v>
      </c>
    </row>
    <row r="12" ht="15" customHeight="1" s="122">
      <c r="B12" s="141" t="inlineStr">
        <is>
          <t>Δ Working Capital as % of Revenue</t>
        </is>
      </c>
      <c r="C12" s="194" t="n">
        <v>0.01</v>
      </c>
    </row>
    <row r="13" ht="15" customHeight="1" s="122">
      <c r="B13" s="141" t="inlineStr">
        <is>
          <t>WACC</t>
        </is>
      </c>
      <c r="C13" s="194" t="n">
        <v>0.11</v>
      </c>
    </row>
    <row r="14" ht="15" customHeight="1" s="122">
      <c r="B14" s="141" t="inlineStr">
        <is>
          <t>Terminal Growth Rate (g)</t>
        </is>
      </c>
      <c r="C14" s="194" t="n">
        <v>0.045</v>
      </c>
    </row>
    <row r="15" ht="15" customHeight="1" s="122">
      <c r="B15" s="141" t="inlineStr">
        <is>
          <t>Diluted Shares Outstanding (Mn)</t>
        </is>
      </c>
      <c r="C15" s="195">
        <f>IS!G35</f>
        <v/>
      </c>
    </row>
    <row r="16" ht="15" customHeight="1" s="122">
      <c r="B16" s="141" t="inlineStr">
        <is>
          <t>Net Debt / (Cash) (₹ Mn)</t>
        </is>
      </c>
      <c r="C16" s="196">
        <f>BS!G56</f>
        <v/>
      </c>
    </row>
    <row r="17" ht="15" customHeight="1" s="122">
      <c r="B17" s="141" t="inlineStr">
        <is>
          <t>Current Share Price (₹)</t>
        </is>
      </c>
      <c r="C17" s="242" t="n">
        <v>2139.7</v>
      </c>
    </row>
    <row r="19" ht="15" customHeight="1" s="122">
      <c r="B19" s="146" t="inlineStr">
        <is>
          <t>FREE CASH FLOW PROJECTION</t>
        </is>
      </c>
    </row>
    <row r="20" ht="15" customHeight="1" s="122">
      <c r="B20" s="152" t="inlineStr">
        <is>
          <t>Line Item (₹ Mn)</t>
        </is>
      </c>
      <c r="C20" s="198" t="inlineStr">
        <is>
          <t>FY2026A</t>
        </is>
      </c>
      <c r="D20" s="198" t="inlineStr">
        <is>
          <t>FY2027E</t>
        </is>
      </c>
      <c r="E20" s="198" t="inlineStr">
        <is>
          <t>FY2028E</t>
        </is>
      </c>
      <c r="F20" s="198" t="inlineStr">
        <is>
          <t>FY2029E</t>
        </is>
      </c>
      <c r="G20" s="198" t="inlineStr">
        <is>
          <t>FY2030E</t>
        </is>
      </c>
      <c r="H20" s="198" t="inlineStr">
        <is>
          <t>FY2031E</t>
        </is>
      </c>
    </row>
    <row r="21" ht="15" customHeight="1" s="122">
      <c r="B21" s="141" t="inlineStr">
        <is>
          <t>Revenue</t>
        </is>
      </c>
      <c r="C21" s="195">
        <f>IS!G8</f>
        <v/>
      </c>
      <c r="D21" s="199">
        <f>C21*(1+$C$7)</f>
        <v/>
      </c>
      <c r="E21" s="199">
        <f>D21*(1+$C$7)</f>
        <v/>
      </c>
      <c r="F21" s="199">
        <f>E21*(1+$C$7)</f>
        <v/>
      </c>
      <c r="G21" s="199">
        <f>F21*(1+$C$7)</f>
        <v/>
      </c>
      <c r="H21" s="199">
        <f>G21*(1+$C$7)</f>
        <v/>
      </c>
    </row>
    <row r="22" ht="15" customHeight="1" s="122">
      <c r="B22" s="141" t="inlineStr">
        <is>
          <t>Revenue Growth %</t>
        </is>
      </c>
      <c r="D22" s="200">
        <f>D21/C21-1</f>
        <v/>
      </c>
      <c r="E22" s="200">
        <f>E21/D21-1</f>
        <v/>
      </c>
      <c r="F22" s="200">
        <f>F21/E21-1</f>
        <v/>
      </c>
      <c r="G22" s="200">
        <f>G21/F21-1</f>
        <v/>
      </c>
      <c r="H22" s="200">
        <f>H21/G21-1</f>
        <v/>
      </c>
    </row>
    <row r="23" ht="15" customHeight="1" s="122">
      <c r="B23" s="146" t="inlineStr">
        <is>
          <t>EBIT</t>
        </is>
      </c>
      <c r="C23" s="201">
        <f>IS!G22</f>
        <v/>
      </c>
      <c r="D23" s="202">
        <f>D21*$C$8</f>
        <v/>
      </c>
      <c r="E23" s="202">
        <f>E21*$C$8</f>
        <v/>
      </c>
      <c r="F23" s="202">
        <f>F21*$C$8</f>
        <v/>
      </c>
      <c r="G23" s="202">
        <f>G21*$C$8</f>
        <v/>
      </c>
      <c r="H23" s="202">
        <f>H21*$C$8</f>
        <v/>
      </c>
    </row>
    <row r="24" ht="15" customHeight="1" s="122">
      <c r="B24" s="141" t="inlineStr">
        <is>
          <t>EBIT Margin %</t>
        </is>
      </c>
      <c r="C24" s="200">
        <f>C23/C21</f>
        <v/>
      </c>
      <c r="D24" s="200">
        <f>D23/D21</f>
        <v/>
      </c>
      <c r="E24" s="200">
        <f>E23/E21</f>
        <v/>
      </c>
      <c r="F24" s="200">
        <f>F23/F21</f>
        <v/>
      </c>
      <c r="G24" s="200">
        <f>G23/G21</f>
        <v/>
      </c>
      <c r="H24" s="200">
        <f>H23/H21</f>
        <v/>
      </c>
    </row>
    <row r="25" ht="15" customHeight="1" s="122">
      <c r="B25" s="146" t="inlineStr">
        <is>
          <t>Less: Taxes on EBIT</t>
        </is>
      </c>
      <c r="D25" s="203">
        <f>-D23*$C$9</f>
        <v/>
      </c>
      <c r="E25" s="203">
        <f>-E23*$C$9</f>
        <v/>
      </c>
      <c r="F25" s="203">
        <f>-F23*$C$9</f>
        <v/>
      </c>
      <c r="G25" s="203">
        <f>-G23*$C$9</f>
        <v/>
      </c>
      <c r="H25" s="203">
        <f>-H23*$C$9</f>
        <v/>
      </c>
    </row>
    <row r="26" ht="15" customHeight="1" s="122">
      <c r="B26" s="152" t="inlineStr">
        <is>
          <t>NOPAT</t>
        </is>
      </c>
      <c r="D26" s="204">
        <f>D23+D25</f>
        <v/>
      </c>
      <c r="E26" s="204">
        <f>E23+E25</f>
        <v/>
      </c>
      <c r="F26" s="204">
        <f>F23+F25</f>
        <v/>
      </c>
      <c r="G26" s="204">
        <f>G23+G25</f>
        <v/>
      </c>
      <c r="H26" s="204">
        <f>H23+H25</f>
        <v/>
      </c>
    </row>
    <row r="27" ht="15" customHeight="1" s="122">
      <c r="B27" s="141" t="inlineStr">
        <is>
          <t>Plus: D&amp;A</t>
        </is>
      </c>
      <c r="D27" s="199">
        <f>D21*$C$10</f>
        <v/>
      </c>
      <c r="E27" s="199">
        <f>E21*$C$10</f>
        <v/>
      </c>
      <c r="F27" s="199">
        <f>F21*$C$10</f>
        <v/>
      </c>
      <c r="G27" s="199">
        <f>G21*$C$10</f>
        <v/>
      </c>
      <c r="H27" s="199">
        <f>H21*$C$10</f>
        <v/>
      </c>
    </row>
    <row r="28" ht="15" customHeight="1" s="122">
      <c r="B28" s="141" t="inlineStr">
        <is>
          <t>Less: Capex</t>
        </is>
      </c>
      <c r="D28" s="205">
        <f>-D21*$C$11</f>
        <v/>
      </c>
      <c r="E28" s="205">
        <f>-E21*$C$11</f>
        <v/>
      </c>
      <c r="F28" s="205">
        <f>-F21*$C$11</f>
        <v/>
      </c>
      <c r="G28" s="205">
        <f>-G21*$C$11</f>
        <v/>
      </c>
      <c r="H28" s="205">
        <f>-H21*$C$11</f>
        <v/>
      </c>
    </row>
    <row r="29" ht="15" customHeight="1" s="122">
      <c r="B29" s="141" t="inlineStr">
        <is>
          <t>Less: Δ Working Capital</t>
        </is>
      </c>
      <c r="D29" s="205">
        <f>-D21*$C$12</f>
        <v/>
      </c>
      <c r="E29" s="205">
        <f>-E21*$C$12</f>
        <v/>
      </c>
      <c r="F29" s="205">
        <f>-F21*$C$12</f>
        <v/>
      </c>
      <c r="G29" s="205">
        <f>-G21*$C$12</f>
        <v/>
      </c>
      <c r="H29" s="205">
        <f>-H21*$C$12</f>
        <v/>
      </c>
    </row>
    <row r="30" ht="15" customHeight="1" s="122">
      <c r="B30" s="146" t="inlineStr">
        <is>
          <t>Unlevered Free Cash Flow</t>
        </is>
      </c>
      <c r="D30" s="202">
        <f>SUM(D26:D29)</f>
        <v/>
      </c>
      <c r="E30" s="202">
        <f>SUM(E26:E29)</f>
        <v/>
      </c>
      <c r="F30" s="202">
        <f>SUM(F26:F29)</f>
        <v/>
      </c>
      <c r="G30" s="202">
        <f>SUM(G26:G29)</f>
        <v/>
      </c>
      <c r="H30" s="202">
        <f>SUM(H26:H29)</f>
        <v/>
      </c>
    </row>
    <row r="32" ht="15" customHeight="1" s="122">
      <c r="B32" s="139" t="inlineStr">
        <is>
          <t>DISCOUNTING &amp; TERMINAL VALUE</t>
        </is>
      </c>
    </row>
    <row r="33" ht="15" customHeight="1" s="122">
      <c r="B33" s="141" t="inlineStr">
        <is>
          <t>Period</t>
        </is>
      </c>
      <c r="D33" s="206" t="n">
        <v>1</v>
      </c>
      <c r="E33" s="206" t="n">
        <v>2</v>
      </c>
      <c r="F33" s="206" t="n">
        <v>3</v>
      </c>
      <c r="G33" s="206" t="n">
        <v>4</v>
      </c>
      <c r="H33" s="206" t="n">
        <v>5</v>
      </c>
    </row>
    <row r="34" ht="15" customHeight="1" s="122">
      <c r="B34" s="141" t="inlineStr">
        <is>
          <t>Discount Factor</t>
        </is>
      </c>
      <c r="D34" s="207">
        <f>1/(1+$C$13)^D33</f>
        <v/>
      </c>
      <c r="E34" s="207">
        <f>1/(1+$C$13)^E33</f>
        <v/>
      </c>
      <c r="F34" s="207">
        <f>1/(1+$C$13)^F33</f>
        <v/>
      </c>
      <c r="G34" s="207">
        <f>1/(1+$C$13)^G33</f>
        <v/>
      </c>
      <c r="H34" s="207">
        <f>1/(1+$C$13)^H33</f>
        <v/>
      </c>
    </row>
    <row r="35" ht="15" customHeight="1" s="122">
      <c r="B35" s="146" t="inlineStr">
        <is>
          <t>PV of FCF</t>
        </is>
      </c>
      <c r="D35" s="202">
        <f>D30*D34</f>
        <v/>
      </c>
      <c r="E35" s="202">
        <f>E30*E34</f>
        <v/>
      </c>
      <c r="F35" s="202">
        <f>F30*F34</f>
        <v/>
      </c>
      <c r="G35" s="202">
        <f>G30*G34</f>
        <v/>
      </c>
      <c r="H35" s="202">
        <f>H30*H34</f>
        <v/>
      </c>
    </row>
    <row r="37" ht="15" customHeight="1" s="122">
      <c r="B37" s="141" t="inlineStr">
        <is>
          <t>Terminal Value (Gordon Growth)</t>
        </is>
      </c>
      <c r="C37" s="199">
        <f>H30*(1+C14)/(C13-C14)</f>
        <v/>
      </c>
    </row>
    <row r="38" ht="15" customHeight="1" s="122">
      <c r="B38" s="141" t="inlineStr">
        <is>
          <t>PV of Terminal Value</t>
        </is>
      </c>
      <c r="C38" s="199">
        <f>C37*H34</f>
        <v/>
      </c>
    </row>
    <row r="40" ht="15" customHeight="1" s="122">
      <c r="B40" s="139" t="inlineStr">
        <is>
          <t>VALUATION SUMMARY</t>
        </is>
      </c>
    </row>
    <row r="41" ht="15" customHeight="1" s="122">
      <c r="B41" s="141" t="inlineStr">
        <is>
          <t>Sum of PV of Explicit FCFs</t>
        </is>
      </c>
      <c r="C41" s="199">
        <f>SUM(D35:H35)</f>
        <v/>
      </c>
    </row>
    <row r="42" ht="15" customHeight="1" s="122">
      <c r="B42" s="141" t="inlineStr">
        <is>
          <t>PV of Terminal Value</t>
        </is>
      </c>
      <c r="C42" s="199">
        <f>C38</f>
        <v/>
      </c>
    </row>
    <row r="43" ht="15" customHeight="1" s="122">
      <c r="B43" s="146" t="inlineStr">
        <is>
          <t>Enterprise Value (EV)</t>
        </is>
      </c>
      <c r="C43" s="202">
        <f>C41+C42</f>
        <v/>
      </c>
    </row>
    <row r="44" ht="15" customHeight="1" s="122">
      <c r="B44" s="141" t="inlineStr">
        <is>
          <t>Less: Net Debt</t>
        </is>
      </c>
      <c r="C44" s="205">
        <f>-C16</f>
        <v/>
      </c>
    </row>
    <row r="45" ht="15" customHeight="1" s="122">
      <c r="B45" s="146" t="inlineStr">
        <is>
          <t>Equity Value</t>
        </is>
      </c>
      <c r="C45" s="202">
        <f>C43+C44</f>
        <v/>
      </c>
    </row>
    <row r="46" ht="15" customHeight="1" s="122">
      <c r="B46" s="141" t="inlineStr">
        <is>
          <t>Diluted Shares (Mn)</t>
        </is>
      </c>
      <c r="C46" s="199">
        <f>C15</f>
        <v/>
      </c>
    </row>
    <row r="47" ht="15" customHeight="1" s="122">
      <c r="B47" s="152" t="inlineStr">
        <is>
          <t>DCF Intrinsic Value / Share (₹)</t>
        </is>
      </c>
      <c r="C47" s="208">
        <f>C45/C46</f>
        <v/>
      </c>
    </row>
    <row r="48" ht="15" customHeight="1" s="122">
      <c r="B48" s="141" t="inlineStr">
        <is>
          <t>Current Share Price (₹)</t>
        </is>
      </c>
      <c r="C48" s="209">
        <f>C17</f>
        <v/>
      </c>
    </row>
    <row r="49" ht="15" customHeight="1" s="122">
      <c r="B49" s="152" t="inlineStr">
        <is>
          <t>Upside / (Downside) %</t>
        </is>
      </c>
      <c r="C49" s="210">
        <f>C47/C48-1</f>
        <v/>
      </c>
    </row>
    <row r="51" ht="15" customHeight="1" s="122">
      <c r="B51" s="152" t="inlineStr">
        <is>
          <t>% of EV from Terminal Value</t>
        </is>
      </c>
      <c r="C51" s="200">
        <f>C42/C43</f>
        <v/>
      </c>
    </row>
    <row r="52" ht="15" customHeight="1" s="122">
      <c r="B52" s="141" t="inlineStr">
        <is>
          <t>% of EV from Explicit Forecast</t>
        </is>
      </c>
      <c r="C52" s="200">
        <f>C41/C43</f>
        <v/>
      </c>
    </row>
    <row r="55" ht="15.75" customHeight="1" s="122">
      <c r="B55" s="211" t="inlineStr">
        <is>
          <t>SENSITIVITY ANALYSIS — Intrinsic Value per Share (₹)</t>
        </is>
      </c>
    </row>
    <row r="56" ht="15" customHeight="1" s="122">
      <c r="B56" s="192" t="inlineStr">
        <is>
          <t>WACC (rows) × Terminal Growth Rate (columns) | Base case highlighted</t>
        </is>
      </c>
    </row>
    <row r="58" ht="15" customHeight="1" s="122">
      <c r="B58" s="140" t="inlineStr">
        <is>
          <t>WACC ↓ / g →</t>
        </is>
      </c>
      <c r="C58" s="212" t="n">
        <v>0.025</v>
      </c>
      <c r="D58" s="212" t="n">
        <v>0.035</v>
      </c>
      <c r="E58" s="212" t="n">
        <v>0.045</v>
      </c>
      <c r="F58" s="212" t="n">
        <v>0.055</v>
      </c>
      <c r="G58" s="212" t="n">
        <v>0.065</v>
      </c>
    </row>
    <row r="59" ht="15" customHeight="1" s="122">
      <c r="B59" s="213" t="n">
        <v>0.09</v>
      </c>
      <c r="C59" s="214">
        <f>(($D$30/(1+$B59)^1+$E$30/(1+$B59)^2+$F$30/(1+$B59)^3+$G$30/(1+$B59)^4+$H$30/(1+$B59)^5)+($H$30*(1+C$58)/($B59-C$58))/(1+$B59)^5-$C$16)/$C$15</f>
        <v/>
      </c>
      <c r="D59" s="214">
        <f>(($D$30/(1+$B59)^1+$E$30/(1+$B59)^2+$F$30/(1+$B59)^3+$G$30/(1+$B59)^4+$H$30/(1+$B59)^5)+($H$30*(1+D$58)/($B59-D$58))/(1+$B59)^5-$C$16)/$C$15</f>
        <v/>
      </c>
      <c r="E59" s="214">
        <f>(($D$30/(1+$B59)^1+$E$30/(1+$B59)^2+$F$30/(1+$B59)^3+$G$30/(1+$B59)^4+$H$30/(1+$B59)^5)+($H$30*(1+E$58)/($B59-E$58))/(1+$B59)^5-$C$16)/$C$15</f>
        <v/>
      </c>
      <c r="F59" s="214">
        <f>(($D$30/(1+$B59)^1+$E$30/(1+$B59)^2+$F$30/(1+$B59)^3+$G$30/(1+$B59)^4+$H$30/(1+$B59)^5)+($H$30*(1+F$58)/($B59-F$58))/(1+$B59)^5-$C$16)/$C$15</f>
        <v/>
      </c>
      <c r="G59" s="214">
        <f>(($D$30/(1+$B59)^1+$E$30/(1+$B59)^2+$F$30/(1+$B59)^3+$G$30/(1+$B59)^4+$H$30/(1+$B59)^5)+($H$30*(1+G$58)/($B59-G$58))/(1+$B59)^5-$C$16)/$C$15</f>
        <v/>
      </c>
    </row>
    <row r="60" ht="15" customHeight="1" s="122">
      <c r="B60" s="213" t="n">
        <v>0.1</v>
      </c>
      <c r="C60" s="214">
        <f>(($D$30/(1+$B60)^1+$E$30/(1+$B60)^2+$F$30/(1+$B60)^3+$G$30/(1+$B60)^4+$H$30/(1+$B60)^5)+($H$30*(1+C$58)/($B60-C$58))/(1+$B60)^5-$C$16)/$C$15</f>
        <v/>
      </c>
      <c r="D60" s="214">
        <f>(($D$30/(1+$B60)^1+$E$30/(1+$B60)^2+$F$30/(1+$B60)^3+$G$30/(1+$B60)^4+$H$30/(1+$B60)^5)+($H$30*(1+D$58)/($B60-D$58))/(1+$B60)^5-$C$16)/$C$15</f>
        <v/>
      </c>
      <c r="E60" s="214">
        <f>(($D$30/(1+$B60)^1+$E$30/(1+$B60)^2+$F$30/(1+$B60)^3+$G$30/(1+$B60)^4+$H$30/(1+$B60)^5)+($H$30*(1+E$58)/($B60-E$58))/(1+$B60)^5-$C$16)/$C$15</f>
        <v/>
      </c>
      <c r="F60" s="214">
        <f>(($D$30/(1+$B60)^1+$E$30/(1+$B60)^2+$F$30/(1+$B60)^3+$G$30/(1+$B60)^4+$H$30/(1+$B60)^5)+($H$30*(1+F$58)/($B60-F$58))/(1+$B60)^5-$C$16)/$C$15</f>
        <v/>
      </c>
      <c r="G60" s="214">
        <f>(($D$30/(1+$B60)^1+$E$30/(1+$B60)^2+$F$30/(1+$B60)^3+$G$30/(1+$B60)^4+$H$30/(1+$B60)^5)+($H$30*(1+G$58)/($B60-G$58))/(1+$B60)^5-$C$16)/$C$15</f>
        <v/>
      </c>
    </row>
    <row r="61" ht="15" customHeight="1" s="122">
      <c r="B61" s="213" t="n">
        <v>0.11</v>
      </c>
      <c r="C61" s="214">
        <f>(($D$30/(1+$B61)^1+$E$30/(1+$B61)^2+$F$30/(1+$B61)^3+$G$30/(1+$B61)^4+$H$30/(1+$B61)^5)+($H$30*(1+C$58)/($B61-C$58))/(1+$B61)^5-$C$16)/$C$15</f>
        <v/>
      </c>
      <c r="D61" s="214">
        <f>(($D$30/(1+$B61)^1+$E$30/(1+$B61)^2+$F$30/(1+$B61)^3+$G$30/(1+$B61)^4+$H$30/(1+$B61)^5)+($H$30*(1+D$58)/($B61-D$58))/(1+$B61)^5-$C$16)/$C$15</f>
        <v/>
      </c>
      <c r="E61" s="215">
        <f>(($D$30/(1+$B61)^1+$E$30/(1+$B61)^2+$F$30/(1+$B61)^3+$G$30/(1+$B61)^4+$H$30/(1+$B61)^5)+($H$30*(1+E$58)/($B61-E$58))/(1+$B61)^5-$C$16)/$C$15</f>
        <v/>
      </c>
      <c r="F61" s="214">
        <f>(($D$30/(1+$B61)^1+$E$30/(1+$B61)^2+$F$30/(1+$B61)^3+$G$30/(1+$B61)^4+$H$30/(1+$B61)^5)+($H$30*(1+F$58)/($B61-F$58))/(1+$B61)^5-$C$16)/$C$15</f>
        <v/>
      </c>
      <c r="G61" s="214">
        <f>(($D$30/(1+$B61)^1+$E$30/(1+$B61)^2+$F$30/(1+$B61)^3+$G$30/(1+$B61)^4+$H$30/(1+$B61)^5)+($H$30*(1+G$58)/($B61-G$58))/(1+$B61)^5-$C$16)/$C$15</f>
        <v/>
      </c>
    </row>
    <row r="62" ht="15" customHeight="1" s="122">
      <c r="B62" s="213" t="n">
        <v>0.12</v>
      </c>
      <c r="C62" s="214">
        <f>(($D$30/(1+$B62)^1+$E$30/(1+$B62)^2+$F$30/(1+$B62)^3+$G$30/(1+$B62)^4+$H$30/(1+$B62)^5)+($H$30*(1+C$58)/($B62-C$58))/(1+$B62)^5-$C$16)/$C$15</f>
        <v/>
      </c>
      <c r="D62" s="214">
        <f>(($D$30/(1+$B62)^1+$E$30/(1+$B62)^2+$F$30/(1+$B62)^3+$G$30/(1+$B62)^4+$H$30/(1+$B62)^5)+($H$30*(1+D$58)/($B62-D$58))/(1+$B62)^5-$C$16)/$C$15</f>
        <v/>
      </c>
      <c r="E62" s="214">
        <f>(($D$30/(1+$B62)^1+$E$30/(1+$B62)^2+$F$30/(1+$B62)^3+$G$30/(1+$B62)^4+$H$30/(1+$B62)^5)+($H$30*(1+E$58)/($B62-E$58))/(1+$B62)^5-$C$16)/$C$15</f>
        <v/>
      </c>
      <c r="F62" s="214">
        <f>(($D$30/(1+$B62)^1+$E$30/(1+$B62)^2+$F$30/(1+$B62)^3+$G$30/(1+$B62)^4+$H$30/(1+$B62)^5)+($H$30*(1+F$58)/($B62-F$58))/(1+$B62)^5-$C$16)/$C$15</f>
        <v/>
      </c>
      <c r="G62" s="214">
        <f>(($D$30/(1+$B62)^1+$E$30/(1+$B62)^2+$F$30/(1+$B62)^3+$G$30/(1+$B62)^4+$H$30/(1+$B62)^5)+($H$30*(1+G$58)/($B62-G$58))/(1+$B62)^5-$C$16)/$C$15</f>
        <v/>
      </c>
    </row>
    <row r="63" ht="15" customHeight="1" s="122">
      <c r="B63" s="213" t="n">
        <v>0.13</v>
      </c>
      <c r="C63" s="214">
        <f>(($D$30/(1+$B63)^1+$E$30/(1+$B63)^2+$F$30/(1+$B63)^3+$G$30/(1+$B63)^4+$H$30/(1+$B63)^5)+($H$30*(1+C$58)/($B63-C$58))/(1+$B63)^5-$C$16)/$C$15</f>
        <v/>
      </c>
      <c r="D63" s="214">
        <f>(($D$30/(1+$B63)^1+$E$30/(1+$B63)^2+$F$30/(1+$B63)^3+$G$30/(1+$B63)^4+$H$30/(1+$B63)^5)+($H$30*(1+D$58)/($B63-D$58))/(1+$B63)^5-$C$16)/$C$15</f>
        <v/>
      </c>
      <c r="E63" s="214">
        <f>(($D$30/(1+$B63)^1+$E$30/(1+$B63)^2+$F$30/(1+$B63)^3+$G$30/(1+$B63)^4+$H$30/(1+$B63)^5)+($H$30*(1+E$58)/($B63-E$58))/(1+$B63)^5-$C$16)/$C$15</f>
        <v/>
      </c>
      <c r="F63" s="214">
        <f>(($D$30/(1+$B63)^1+$E$30/(1+$B63)^2+$F$30/(1+$B63)^3+$G$30/(1+$B63)^4+$H$30/(1+$B63)^5)+($H$30*(1+F$58)/($B63-F$58))/(1+$B63)^5-$C$16)/$C$15</f>
        <v/>
      </c>
      <c r="G63" s="214">
        <f>(($D$30/(1+$B63)^1+$E$30/(1+$B63)^2+$F$30/(1+$B63)^3+$G$30/(1+$B63)^4+$H$30/(1+$B63)^5)+($H$30*(1+G$58)/($B63-G$58))/(1+$B63)^5-$C$16)/$C$15</f>
        <v/>
      </c>
    </row>
    <row r="66" ht="15.75" customHeight="1" s="122">
      <c r="B66" s="211" t="inlineStr">
        <is>
          <t>REVERSE DCF — Implied Terminal Growth at Current Price</t>
        </is>
      </c>
    </row>
    <row r="67" ht="15" customHeight="1" s="122">
      <c r="B67" s="192" t="inlineStr">
        <is>
          <t>Solves: what terminal growth rate justifies today's ₹2,350 price (holding WACC = 11%)?</t>
        </is>
      </c>
    </row>
    <row r="69" ht="15" customHeight="1" s="122">
      <c r="B69" s="141" t="inlineStr">
        <is>
          <t>Current Share Price (₹)</t>
        </is>
      </c>
      <c r="C69" s="209">
        <f>C17</f>
        <v/>
      </c>
    </row>
    <row r="70" ht="15" customHeight="1" s="122">
      <c r="B70" s="141" t="inlineStr">
        <is>
          <t>Diluted Shares (Mn)</t>
        </is>
      </c>
      <c r="C70" s="216">
        <f>C15</f>
        <v/>
      </c>
    </row>
    <row r="71" ht="15" customHeight="1" s="122">
      <c r="B71" s="146" t="inlineStr">
        <is>
          <t>Implied Market Cap (₹ Mn)</t>
        </is>
      </c>
      <c r="C71" s="217">
        <f>C69*C70</f>
        <v/>
      </c>
    </row>
    <row r="72" ht="15" customHeight="1" s="122">
      <c r="B72" s="141" t="inlineStr">
        <is>
          <t>Plus: Net Debt (₹ Mn)</t>
        </is>
      </c>
      <c r="C72" s="218">
        <f>C16</f>
        <v/>
      </c>
    </row>
    <row r="73" ht="15" customHeight="1" s="122">
      <c r="B73" s="146" t="inlineStr">
        <is>
          <t>Implied Enterprise Value (₹ Mn)</t>
        </is>
      </c>
      <c r="C73" s="217">
        <f>C71+C72</f>
        <v/>
      </c>
    </row>
    <row r="74" ht="15" customHeight="1" s="122">
      <c r="B74" s="141" t="inlineStr">
        <is>
          <t>Less: Sum of PV of Explicit FCFs (₹ Mn)</t>
        </is>
      </c>
      <c r="C74" s="209">
        <f>C41</f>
        <v/>
      </c>
    </row>
    <row r="75" ht="15" customHeight="1" s="122">
      <c r="B75" s="141" t="inlineStr">
        <is>
          <t>Required PV of Terminal Value (₹ Mn)</t>
        </is>
      </c>
      <c r="C75" s="219">
        <f>C73-C74</f>
        <v/>
      </c>
    </row>
    <row r="76" ht="15" customHeight="1" s="122">
      <c r="B76" s="141" t="inlineStr">
        <is>
          <t>Required Terminal Value at Year 5 (₹ Mn)</t>
        </is>
      </c>
      <c r="C76" s="219">
        <f>C75*(1+C13)^5</f>
        <v/>
      </c>
    </row>
    <row r="77" ht="15" customHeight="1" s="122">
      <c r="B77" s="146" t="inlineStr">
        <is>
          <t>Final-Year FCF (FY2031E, ₹ Mn)</t>
        </is>
      </c>
      <c r="C77" s="220">
        <f>H30</f>
        <v/>
      </c>
    </row>
    <row r="78" ht="15.75" customHeight="1" s="122">
      <c r="B78" s="152" t="inlineStr">
        <is>
          <t>Implied Terminal Growth Rate (g)</t>
        </is>
      </c>
      <c r="C78" s="221">
        <f>(C76*C13-C77)/(C76+C77)</f>
        <v/>
      </c>
    </row>
    <row r="79" ht="15" customHeight="1" s="122">
      <c r="B79" s="141" t="inlineStr">
        <is>
          <t>Base Case Terminal g (for comparison)</t>
        </is>
      </c>
      <c r="C79" s="222">
        <f>C14</f>
        <v/>
      </c>
    </row>
    <row r="80" ht="15" customHeight="1" s="122">
      <c r="B80" s="152" t="inlineStr">
        <is>
          <t>Spread vs. Base Case</t>
        </is>
      </c>
      <c r="C80" s="223">
        <f>C78-C79</f>
        <v/>
      </c>
    </row>
  </sheetData>
  <mergeCells count="2">
    <mergeCell ref="B4:K4"/>
    <mergeCell ref="B2:K2"/>
  </mergeCells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1C39BB"/>
    <outlinePr summaryBelow="1" summaryRight="1"/>
    <pageSetUpPr fitToPage="1"/>
  </sheetPr>
  <dimension ref="A2:K68"/>
  <sheetViews>
    <sheetView showFormulas="0" showGridLines="0" showRowColHeaders="1" showZeros="1" rightToLeft="0" tabSelected="0" showOutlineSymbols="1" defaultGridColor="1" view="normal" topLeftCell="A8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3" customWidth="1" style="121" min="1" max="1"/>
    <col width="46" customWidth="1" style="121" min="2" max="2"/>
    <col width="12" customWidth="1" style="121" min="3" max="3"/>
    <col width="12.33" customWidth="1" style="121" min="4" max="4"/>
    <col width="12" customWidth="1" style="121" min="5" max="7"/>
    <col width="13" customWidth="1" style="121" min="8" max="11"/>
  </cols>
  <sheetData>
    <row r="2" ht="45" customHeight="1" s="122">
      <c r="A2" s="123" t="n"/>
      <c r="B2" s="191" t="inlineStr">
        <is>
          <t>HINDUSTAN UNILEVER LIMITED — P/E RELATIVE VALUATION</t>
        </is>
      </c>
    </row>
    <row r="3" ht="15" customHeight="1" s="122">
      <c r="B3" s="192" t="inlineStr">
        <is>
          <t>Earnings Multiple Approach | Historical P/E Bands + Forward Earnings</t>
        </is>
      </c>
    </row>
    <row r="4" ht="30" customHeight="1" s="122">
      <c r="B4" s="193" t="n"/>
    </row>
    <row r="6" ht="15" customHeight="1" s="122">
      <c r="B6" s="139" t="inlineStr">
        <is>
          <t>HISTORICAL EPS &amp; P/E</t>
        </is>
      </c>
    </row>
    <row r="7" ht="15" customHeight="1" s="122">
      <c r="B7" s="152" t="inlineStr">
        <is>
          <t>Metric</t>
        </is>
      </c>
      <c r="C7" s="224" t="inlineStr">
        <is>
          <t>FY2022</t>
        </is>
      </c>
      <c r="D7" s="224" t="inlineStr">
        <is>
          <t>FY2023</t>
        </is>
      </c>
      <c r="E7" s="224" t="inlineStr">
        <is>
          <t>FY2024</t>
        </is>
      </c>
      <c r="F7" s="224" t="inlineStr">
        <is>
          <t>FY2025</t>
        </is>
      </c>
      <c r="G7" s="224" t="inlineStr">
        <is>
          <t>FY2026</t>
        </is>
      </c>
    </row>
    <row r="8" ht="15" customHeight="1" s="122">
      <c r="B8" s="141" t="inlineStr">
        <is>
          <t>EPS (₹)</t>
        </is>
      </c>
      <c r="C8" s="225">
        <f>IS!C33</f>
        <v/>
      </c>
      <c r="D8" s="225">
        <f>IS!D33</f>
        <v/>
      </c>
      <c r="E8" s="225">
        <f>IS!E33</f>
        <v/>
      </c>
      <c r="F8" s="225">
        <f>IS!F33</f>
        <v/>
      </c>
      <c r="G8" s="225">
        <f>IS!G33</f>
        <v/>
      </c>
    </row>
    <row r="9" ht="15" customHeight="1" s="122">
      <c r="B9" s="141" t="inlineStr">
        <is>
          <t>EPS Growth %</t>
        </is>
      </c>
      <c r="D9" s="200">
        <f>D8/C8-1</f>
        <v/>
      </c>
      <c r="E9" s="200">
        <f>E8/D8-1</f>
        <v/>
      </c>
      <c r="F9" s="200">
        <f>F8/E8-1</f>
        <v/>
      </c>
      <c r="G9" s="200">
        <f>G8/F8-1</f>
        <v/>
      </c>
    </row>
    <row r="10" ht="15" customHeight="1" s="122">
      <c r="B10" s="141" t="inlineStr">
        <is>
          <t>Avg Share Price (₹)</t>
        </is>
      </c>
      <c r="C10" s="197" t="n">
        <v>2270</v>
      </c>
      <c r="D10" s="197" t="n">
        <v>2585</v>
      </c>
      <c r="E10" s="197" t="n">
        <v>2470</v>
      </c>
      <c r="F10" s="197" t="n">
        <v>2400</v>
      </c>
      <c r="G10" s="197" t="n">
        <v>2350</v>
      </c>
    </row>
    <row r="11" ht="15" customHeight="1" s="122">
      <c r="B11" s="141" t="inlineStr">
        <is>
          <t>P/E Multiple (x)</t>
        </is>
      </c>
      <c r="C11" s="226">
        <f>C10/C8</f>
        <v/>
      </c>
      <c r="D11" s="226">
        <f>D10/D8</f>
        <v/>
      </c>
      <c r="E11" s="226">
        <f>E10/E8</f>
        <v/>
      </c>
      <c r="F11" s="226">
        <f>F10/F8</f>
        <v/>
      </c>
      <c r="G11" s="226">
        <f>G10/G8</f>
        <v/>
      </c>
    </row>
    <row r="13" ht="15" customHeight="1" s="122">
      <c r="B13" s="139" t="inlineStr">
        <is>
          <t>P/E BAND STATISTICS</t>
        </is>
      </c>
    </row>
    <row r="14" ht="15" customHeight="1" s="122">
      <c r="B14" s="141" t="inlineStr">
        <is>
          <t>5-Yr Average P/E</t>
        </is>
      </c>
      <c r="C14" s="227">
        <f>AVERAGE(C11:G11)</f>
        <v/>
      </c>
    </row>
    <row r="15" ht="15" customHeight="1" s="122">
      <c r="B15" s="141" t="inlineStr">
        <is>
          <t>5-Yr Max P/E</t>
        </is>
      </c>
      <c r="C15" s="226">
        <f>MAX(C11:G11)</f>
        <v/>
      </c>
    </row>
    <row r="16" ht="15" customHeight="1" s="122">
      <c r="B16" s="141" t="inlineStr">
        <is>
          <t>5-Yr Min P/E</t>
        </is>
      </c>
      <c r="C16" s="226">
        <f>MIN(C11:G11)</f>
        <v/>
      </c>
    </row>
    <row r="17" ht="15" customHeight="1" s="122">
      <c r="B17" s="141" t="inlineStr">
        <is>
          <t>5-Yr Median P/E</t>
        </is>
      </c>
      <c r="C17" s="226">
        <f>MEDIAN(C11:G11)</f>
        <v/>
      </c>
    </row>
    <row r="18" ht="15" customHeight="1" s="122">
      <c r="B18" s="141" t="inlineStr">
        <is>
          <t>Current P/E</t>
        </is>
      </c>
      <c r="C18" s="226">
        <f>G11</f>
        <v/>
      </c>
    </row>
    <row r="20" ht="15" customHeight="1" s="122">
      <c r="B20" s="139" t="inlineStr">
        <is>
          <t>FORWARD EPS PROJECTION</t>
        </is>
      </c>
    </row>
    <row r="21" ht="15" customHeight="1" s="122">
      <c r="B21" s="141" t="inlineStr">
        <is>
          <t>FY2026 EPS (Base)</t>
        </is>
      </c>
      <c r="C21" s="228">
        <f>G8</f>
        <v/>
      </c>
    </row>
    <row r="22" ht="15" customHeight="1" s="122">
      <c r="B22" s="141" t="inlineStr">
        <is>
          <t>EPS Growth Assumption (FY27E)</t>
        </is>
      </c>
      <c r="C22" s="194" t="n">
        <v>0.1</v>
      </c>
    </row>
    <row r="23" ht="15" customHeight="1" s="122">
      <c r="B23" s="141" t="inlineStr">
        <is>
          <t>FY2027E EPS</t>
        </is>
      </c>
      <c r="C23" s="229">
        <f>C21*(1+C22)</f>
        <v/>
      </c>
    </row>
    <row r="25" ht="15" customHeight="1" s="122">
      <c r="B25" s="139" t="inlineStr">
        <is>
          <t>P/E-BASED TARGET PRICE</t>
        </is>
      </c>
    </row>
    <row r="26" ht="15" customHeight="1" s="122">
      <c r="B26" s="152" t="inlineStr">
        <is>
          <t>Scenario</t>
        </is>
      </c>
      <c r="C26" s="224" t="inlineStr">
        <is>
          <t>P/E (x)</t>
        </is>
      </c>
      <c r="D26" s="224" t="inlineStr">
        <is>
          <t>Target Price (₹)</t>
        </is>
      </c>
      <c r="E26" s="224" t="inlineStr">
        <is>
          <t>Upside %</t>
        </is>
      </c>
    </row>
    <row r="27" ht="15" customHeight="1" s="122">
      <c r="B27" s="141" t="inlineStr">
        <is>
          <t>Bear (Min P/E)</t>
        </is>
      </c>
      <c r="C27" s="226">
        <f>C16</f>
        <v/>
      </c>
      <c r="D27" s="209">
        <f>C27*C23</f>
        <v/>
      </c>
      <c r="E27" s="230">
        <f>D27/G10-1</f>
        <v/>
      </c>
    </row>
    <row r="28" ht="15" customHeight="1" s="122">
      <c r="B28" s="141" t="inlineStr">
        <is>
          <t>Base (Median P/E)</t>
        </is>
      </c>
      <c r="C28" s="226">
        <f>C17</f>
        <v/>
      </c>
      <c r="D28" s="208">
        <f>C28*C23</f>
        <v/>
      </c>
      <c r="E28" s="210">
        <f>D28/G10-1</f>
        <v/>
      </c>
    </row>
    <row r="29" ht="15" customHeight="1" s="122">
      <c r="B29" s="141" t="inlineStr">
        <is>
          <t>Bull (Max P/E)</t>
        </is>
      </c>
      <c r="C29" s="226">
        <f>C15</f>
        <v/>
      </c>
      <c r="D29" s="209">
        <f>C29*C23</f>
        <v/>
      </c>
      <c r="E29" s="230">
        <f>D29/G10-1</f>
        <v/>
      </c>
    </row>
    <row r="30" ht="15" customHeight="1" s="122">
      <c r="B30" s="141" t="inlineStr">
        <is>
          <t>Average</t>
        </is>
      </c>
      <c r="C30" s="226">
        <f>C14</f>
        <v/>
      </c>
      <c r="D30" s="209">
        <f>C30*C23</f>
        <v/>
      </c>
      <c r="E30" s="230">
        <f>D30/G10-1</f>
        <v/>
      </c>
    </row>
    <row r="32" ht="15" customHeight="1" s="122">
      <c r="B32" s="139" t="inlineStr">
        <is>
          <t>CONCLUSION</t>
        </is>
      </c>
    </row>
    <row r="33" ht="15" customHeight="1" s="122">
      <c r="B33" s="141" t="inlineStr">
        <is>
          <t>Current Price (₹)</t>
        </is>
      </c>
      <c r="C33" s="209">
        <f>G10</f>
        <v/>
      </c>
    </row>
    <row r="34" ht="15" customHeight="1" s="122">
      <c r="B34" s="141" t="inlineStr">
        <is>
          <t>Base Case Target (₹)</t>
        </is>
      </c>
      <c r="C34" s="219">
        <f>D28</f>
        <v/>
      </c>
    </row>
    <row r="35" ht="15" customHeight="1" s="122">
      <c r="B35" s="141" t="inlineStr">
        <is>
          <t>Implied Return %</t>
        </is>
      </c>
      <c r="C35" s="210">
        <f>C34/C33-1</f>
        <v/>
      </c>
    </row>
    <row r="37" ht="15" customHeight="1" s="122">
      <c r="B37" s="231" t="inlineStr">
        <is>
          <t>Source: HUL NSE Filings | Cross-sheet links to IS sheet | Generated: 22 May 2026</t>
        </is>
      </c>
    </row>
    <row r="50">
      <c r="A50" s="243" t="inlineStr">
        <is>
          <t>ADDITIONAL VALUATION CROSS-CHECKS (multi-method)</t>
        </is>
      </c>
    </row>
    <row r="52">
      <c r="A52" s="244" t="inlineStr">
        <is>
          <t>DIVIDEND DISCOUNT MODEL (H-model, 2-stage)</t>
        </is>
      </c>
    </row>
    <row r="53">
      <c r="A53" s="121" t="inlineStr">
        <is>
          <t>FY26 dividend per share (₹)</t>
        </is>
      </c>
      <c r="B53" s="121" t="n">
        <v>41</v>
      </c>
    </row>
    <row r="54">
      <c r="A54" s="121" t="inlineStr">
        <is>
          <t>Cost of equity (Ke)</t>
        </is>
      </c>
      <c r="B54" s="121" t="n">
        <v>0.105</v>
      </c>
    </row>
    <row r="55">
      <c r="A55" s="121" t="inlineStr">
        <is>
          <t>Near-term dividend growth (gS, 5y)</t>
        </is>
      </c>
      <c r="B55" s="121" t="n">
        <v>0.09</v>
      </c>
    </row>
    <row r="56">
      <c r="A56" s="121" t="inlineStr">
        <is>
          <t>Terminal growth (gL)</t>
        </is>
      </c>
      <c r="B56" s="121" t="n">
        <v>0.06</v>
      </c>
    </row>
    <row r="57">
      <c r="A57" s="121" t="inlineStr">
        <is>
          <t>H (half of high-growth years)</t>
        </is>
      </c>
      <c r="B57" s="121" t="n">
        <v>2.5</v>
      </c>
    </row>
    <row r="58">
      <c r="A58" s="121" t="inlineStr">
        <is>
          <t>DDM value = [D0(1+gL)+D0·H·(gS−gL)]/(Ke−gL) (₹)</t>
        </is>
      </c>
      <c r="B58" s="121">
        <f>(B53*(1+B56)+B53*B57*(B55-B56))/(B54-B56)</f>
        <v/>
      </c>
    </row>
    <row r="61">
      <c r="A61" s="244" t="inlineStr">
        <is>
          <t>EV/EBITDA</t>
        </is>
      </c>
    </row>
    <row r="62">
      <c r="A62" s="121" t="inlineStr">
        <is>
          <t>FY26 EBITDA (₹ Mn)</t>
        </is>
      </c>
      <c r="B62" s="121">
        <f>IS!G20</f>
        <v/>
      </c>
    </row>
    <row r="63">
      <c r="A63" s="121" t="inlineStr">
        <is>
          <t>Justified EV/EBITDA (x) — vs ~33x current</t>
        </is>
      </c>
      <c r="B63" s="121" t="inlineStr">
        <is>
          <t>30</t>
        </is>
      </c>
    </row>
    <row r="64">
      <c r="A64" s="121" t="inlineStr">
        <is>
          <t>Enterprise value (₹ Mn)</t>
        </is>
      </c>
      <c r="B64" s="121">
        <f>B62*B63</f>
        <v/>
      </c>
    </row>
    <row r="65">
      <c r="A65" s="121" t="inlineStr">
        <is>
          <t>Add: net cash (₹ Mn)</t>
        </is>
      </c>
      <c r="B65" s="121" t="n">
        <v>17700</v>
      </c>
    </row>
    <row r="66">
      <c r="A66" s="121" t="inlineStr">
        <is>
          <t>EV/EBITDA-implied value / share (₹)</t>
        </is>
      </c>
      <c r="B66" s="121">
        <f>(B64+B65)/IS!G35</f>
        <v/>
      </c>
    </row>
    <row r="68">
      <c r="A68" s="121" t="inlineStr">
        <is>
          <t>Note: DDM (~₹1,034) and EV/EBITDA (~₹1,928) sit between the cash-flow DCF (₹712) and the relative P/E (₹2,826) — HUL's quality premium shows up only in the multiple-based methods. Blended target unchanged at ~₹2,190 (HOLD).</t>
        </is>
      </c>
    </row>
  </sheetData>
  <mergeCells count="3">
    <mergeCell ref="B4:K4"/>
    <mergeCell ref="A50:D50"/>
    <mergeCell ref="B2:K2"/>
  </mergeCells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1C39BB"/>
    <outlinePr summaryBelow="1" summaryRight="1"/>
    <pageSetUpPr fitToPage="1"/>
  </sheetPr>
  <dimension ref="A2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3" activeCellId="0" sqref="E13"/>
    </sheetView>
  </sheetViews>
  <sheetFormatPr baseColWidth="8" defaultColWidth="10.6796875" defaultRowHeight="15" customHeight="0" zeroHeight="0" outlineLevelRow="0"/>
  <cols>
    <col width="46" customWidth="1" style="121" min="2" max="2"/>
    <col width="12.16" customWidth="1" style="121" min="3" max="4"/>
    <col width="12" customWidth="1" style="121" min="5" max="5"/>
    <col width="13" customWidth="1" style="121" min="6" max="8"/>
  </cols>
  <sheetData>
    <row r="2" ht="18.75" customHeight="1" s="122">
      <c r="A2" s="123" t="n"/>
      <c r="B2" s="232" t="inlineStr">
        <is>
          <t>HINDUSTAN UNILEVER — FOOTBALL FIELD VALUATION CHART</t>
        </is>
      </c>
      <c r="C2" s="123" t="n"/>
      <c r="D2" s="123" t="n"/>
      <c r="E2" s="123" t="n"/>
      <c r="F2" s="123" t="n"/>
      <c r="G2" s="123" t="n"/>
      <c r="H2" s="123" t="n"/>
    </row>
    <row r="3" ht="15" customHeight="1" s="122">
      <c r="B3" s="233" t="inlineStr">
        <is>
          <t>Implied share price range by valuation methodology | Current price: ₹2,140</t>
        </is>
      </c>
      <c r="D3" s="121" t="inlineStr">
        <is>
          <t>Implied share price range by valuation methodology | Current price: ₹2,140</t>
        </is>
      </c>
    </row>
    <row r="5" ht="15" customHeight="1" s="122">
      <c r="B5" s="139" t="inlineStr">
        <is>
          <t>Methodology</t>
        </is>
      </c>
      <c r="C5" s="140" t="inlineStr">
        <is>
          <t>Low (₹)</t>
        </is>
      </c>
      <c r="D5" s="140" t="inlineStr">
        <is>
          <t>Base (₹)</t>
        </is>
      </c>
      <c r="E5" s="140" t="inlineStr">
        <is>
          <t>High (₹)</t>
        </is>
      </c>
      <c r="F5" s="140" t="inlineStr">
        <is>
          <t>Width (High–Low)</t>
        </is>
      </c>
      <c r="H5" s="140" t="inlineStr">
        <is>
          <t>Reference</t>
        </is>
      </c>
    </row>
    <row r="6" ht="15" customHeight="1" s="122">
      <c r="B6" s="141" t="inlineStr">
        <is>
          <t>DCF — Sensitivity Range</t>
        </is>
      </c>
      <c r="C6" s="142">
        <f>MIN('DCF Model'!C59:G63)</f>
        <v/>
      </c>
      <c r="D6" s="234">
        <f>'DCF Model'!C47</f>
        <v/>
      </c>
      <c r="E6" s="142">
        <f>MAX('DCF Model'!C59:G63)</f>
        <v/>
      </c>
      <c r="F6" s="235">
        <f>E6-C6</f>
        <v/>
      </c>
      <c r="H6" s="236" t="inlineStr">
        <is>
          <t>Current Price</t>
        </is>
      </c>
    </row>
    <row r="7" ht="15" customHeight="1" s="122">
      <c r="B7" s="141" t="inlineStr">
        <is>
          <t>P/E — 5Y Min/Median/Max</t>
        </is>
      </c>
      <c r="C7" s="142">
        <f>'PE Valuation'!D27</f>
        <v/>
      </c>
      <c r="D7" s="234">
        <f>'PE Valuation'!D28</f>
        <v/>
      </c>
      <c r="E7" s="142">
        <f>'PE Valuation'!D29</f>
        <v/>
      </c>
      <c r="F7" s="235">
        <f>E7-C7</f>
        <v/>
      </c>
      <c r="H7" s="237" t="n">
        <v>2139.7</v>
      </c>
    </row>
    <row r="8" ht="15" customHeight="1" s="122">
      <c r="B8" s="141" t="inlineStr">
        <is>
          <t>P/E — ±1 Std Dev Band</t>
        </is>
      </c>
      <c r="C8" s="142">
        <f>('PE Valuation'!C14-STDEV('PE Valuation'!C11:G11))*'PE Valuation'!C23</f>
        <v/>
      </c>
      <c r="D8" s="234">
        <f>'PE Valuation'!C14*'PE Valuation'!C23</f>
        <v/>
      </c>
      <c r="E8" s="142">
        <f>('PE Valuation'!C14+STDEV('PE Valuation'!C11:G11))*'PE Valuation'!C23</f>
        <v/>
      </c>
      <c r="F8" s="235">
        <f>E8-C8</f>
        <v/>
      </c>
      <c r="H8" s="238" t="inlineStr">
        <is>
          <t>Bars above = upside</t>
        </is>
      </c>
    </row>
    <row r="9" ht="15" customHeight="1" s="122">
      <c r="B9" s="141" t="inlineStr">
        <is>
          <t>Blended (70% P/E + 30% DCF)</t>
        </is>
      </c>
      <c r="C9" s="235">
        <f>0.7*C7+0.3*C6</f>
        <v/>
      </c>
      <c r="D9" s="239">
        <f>0.7*D7+0.3*D6</f>
        <v/>
      </c>
      <c r="E9" s="235">
        <f>0.7*E7+0.3*E6</f>
        <v/>
      </c>
      <c r="F9" s="235">
        <f>E9-C9</f>
        <v/>
      </c>
      <c r="H9" s="238" t="inlineStr">
        <is>
          <t>Bars below = downside</t>
        </is>
      </c>
    </row>
    <row r="10" ht="15" customHeight="1" s="122">
      <c r="B10" s="141" t="inlineStr">
        <is>
          <t>52-Week Trading Range (Indicative)</t>
        </is>
      </c>
      <c r="C10" s="240" t="n">
        <v>2023</v>
      </c>
      <c r="D10" s="241" t="n">
        <v>2139.7</v>
      </c>
      <c r="E10" s="240" t="n">
        <v>2750</v>
      </c>
      <c r="F10" s="235">
        <f>E10-C10</f>
        <v/>
      </c>
      <c r="H10" s="238" t="inlineStr">
        <is>
          <t>vs current price</t>
        </is>
      </c>
    </row>
    <row r="14" ht="15" customHeight="1" s="122">
      <c r="B14" s="141" t="inlineStr">
        <is>
          <t>Methodology</t>
        </is>
      </c>
      <c r="C14" s="141" t="inlineStr">
        <is>
          <t>Low Spacer</t>
        </is>
      </c>
      <c r="D14" s="141" t="inlineStr">
        <is>
          <t>Range Width</t>
        </is>
      </c>
    </row>
    <row r="15" ht="15" customHeight="1" s="122">
      <c r="B15" s="141" t="inlineStr">
        <is>
          <t>DCF Range</t>
        </is>
      </c>
      <c r="C15" s="209">
        <f>C6</f>
        <v/>
      </c>
      <c r="D15" s="209">
        <f>F6</f>
        <v/>
      </c>
    </row>
    <row r="16" ht="15" customHeight="1" s="122">
      <c r="B16" s="141" t="inlineStr">
        <is>
          <t>P/E (Min-Max)</t>
        </is>
      </c>
      <c r="C16" s="209">
        <f>C7</f>
        <v/>
      </c>
      <c r="D16" s="209">
        <f>F7</f>
        <v/>
      </c>
    </row>
    <row r="17" ht="15" customHeight="1" s="122">
      <c r="B17" s="141" t="inlineStr">
        <is>
          <t>P/E ±1σ</t>
        </is>
      </c>
      <c r="C17" s="209">
        <f>C8</f>
        <v/>
      </c>
      <c r="D17" s="209">
        <f>F8</f>
        <v/>
      </c>
    </row>
    <row r="18" ht="15" customHeight="1" s="122">
      <c r="B18" s="141" t="inlineStr">
        <is>
          <t>Blended</t>
        </is>
      </c>
      <c r="C18" s="209">
        <f>C9</f>
        <v/>
      </c>
      <c r="D18" s="209">
        <f>F9</f>
        <v/>
      </c>
    </row>
    <row r="19" ht="15" customHeight="1" s="122">
      <c r="B19" s="141" t="inlineStr">
        <is>
          <t>52W Range</t>
        </is>
      </c>
      <c r="C19" s="209">
        <f>C10</f>
        <v/>
      </c>
      <c r="D19" s="209">
        <f>F10</f>
        <v/>
      </c>
    </row>
  </sheetData>
  <printOptions horizontalCentered="0" verticalCentered="0" headings="0" gridLines="0" gridLinesSet="1"/>
  <pageMargins left="0.25" right="0.25" top="0.3" bottom="0.3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2026-05-22T04:00:32Z</dcterms:created>
  <dcterms:modified xmlns:dcterms="http://purl.org/dc/terms/" xmlns:xsi="http://www.w3.org/2001/XMLSchema-instance" xsi:type="dcterms:W3CDTF">2026-07-21T14:24:40Z</dcterms:modified>
  <cp:revision>1</cp:revision>
</cp:coreProperties>
</file>