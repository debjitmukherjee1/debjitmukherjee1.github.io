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" sheetId="3" state="visible" r:id="rId3"/>
    <sheet xmlns:r="http://schemas.openxmlformats.org/officeDocument/2006/relationships" name="Peer Comp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#,##0;\(#,##0\)"/>
    <numFmt numFmtId="165" formatCode="0.0&quot;x&quot;"/>
    <numFmt numFmtId="166" formatCode="0.0%"/>
  </numFmts>
  <fonts count="2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2"/>
    </font>
    <font>
      <name val="Arial"/>
      <charset val="1"/>
      <family val="0"/>
      <color rgb="FF1F1F1F"/>
      <sz val="10"/>
    </font>
    <font>
      <name val="Calibri"/>
      <charset val="1"/>
      <family val="2"/>
      <b val="1"/>
      <color theme="1"/>
      <sz val="14"/>
    </font>
    <font>
      <name val="Arial"/>
      <charset val="1"/>
      <family val="0"/>
      <b val="1"/>
      <color rgb="FF1F1F1F"/>
      <sz val="16"/>
    </font>
    <font>
      <name val="Arial"/>
      <charset val="1"/>
      <family val="0"/>
      <b val="1"/>
      <color rgb="FF232F3E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FFFFFF"/>
      <sz val="10"/>
    </font>
    <font>
      <name val="Arial"/>
      <charset val="1"/>
      <family val="0"/>
      <color rgb="FF008000"/>
      <sz val="10"/>
    </font>
    <font>
      <name val="Arial"/>
      <color rgb="FF0000FF"/>
      <sz val="10"/>
    </font>
    <font>
      <name val="Calibri"/>
      <b val="1"/>
      <color rgb="00FFFFFF"/>
      <sz val="14"/>
    </font>
    <font>
      <name val="Calibri"/>
      <i val="1"/>
      <color rgb="00595959"/>
      <sz val="9.5"/>
    </font>
    <font>
      <name val="Calibri"/>
      <b val="1"/>
      <color rgb="00FFFFFF"/>
      <sz val="10.5"/>
    </font>
    <font>
      <b val="1"/>
    </font>
    <font>
      <b val="1"/>
      <color rgb="00FFFFFF"/>
    </font>
    <font>
      <i val="1"/>
      <color rgb="00595959"/>
      <sz val="9.5"/>
    </font>
  </fonts>
  <fills count="9">
    <fill>
      <patternFill/>
    </fill>
    <fill>
      <patternFill patternType="gray125"/>
    </fill>
    <fill>
      <patternFill patternType="solid">
        <fgColor rgb="FF232F3E"/>
        <bgColor rgb="FF1F1F1F"/>
      </patternFill>
    </fill>
    <fill>
      <patternFill patternType="solid">
        <fgColor rgb="FFFBF4EA"/>
        <bgColor rgb="FFFDEBD0"/>
      </patternFill>
    </fill>
    <fill>
      <patternFill patternType="solid">
        <fgColor rgb="FFFDEBD0"/>
        <bgColor rgb="FFFBF4EA"/>
      </patternFill>
    </fill>
    <fill>
      <patternFill patternType="solid">
        <fgColor rgb="FF37475A"/>
        <bgColor rgb="FF232F3E"/>
      </patternFill>
    </fill>
    <fill>
      <patternFill patternType="solid">
        <fgColor theme="0"/>
        <bgColor rgb="FFFBF4EA"/>
      </patternFill>
    </fill>
    <fill>
      <patternFill patternType="solid">
        <fgColor rgb="00232F3E"/>
      </patternFill>
    </fill>
    <fill>
      <patternFill patternType="solid">
        <fgColor rgb="00EEF2F8"/>
      </patternFill>
    </fill>
  </fills>
  <borders count="1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FF9900"/>
      </top>
      <bottom style="thin">
        <color rgb="FFFF9900"/>
      </bottom>
      <diagonal/>
    </border>
    <border>
      <left/>
      <right/>
      <top style="thin">
        <color rgb="FFDDDDDD"/>
      </top>
      <bottom/>
      <diagonal/>
    </border>
    <border>
      <left/>
      <right style="thin">
        <color rgb="FFDDDDDD"/>
      </right>
      <top style="thin">
        <color rgb="FFDDDDDD"/>
      </top>
      <bottom/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/>
      <right/>
      <top style="thin">
        <color rgb="00DDDDDD"/>
      </top>
      <bottom/>
      <diagonal/>
    </border>
    <border>
      <left/>
      <right style="thin">
        <color rgb="00DDDDDD"/>
      </right>
      <top style="thin">
        <color rgb="00DDDDDD"/>
      </top>
      <bottom/>
      <diagonal/>
    </border>
    <border>
      <left/>
      <right/>
      <top style="thin">
        <color rgb="00DDDDDD"/>
      </top>
      <bottom style="thin">
        <color rgb="00DDDDDD"/>
      </bottom>
      <diagonal/>
    </border>
    <border>
      <left/>
      <right style="thin">
        <color rgb="00DDDDDD"/>
      </right>
      <top style="thin">
        <color rgb="00DDDDDD"/>
      </top>
      <bottom style="thin">
        <color rgb="00DDDDDD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general" vertical="bottom"/>
    </xf>
    <xf numFmtId="2" fontId="6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7" fillId="3" borderId="1" applyAlignment="1" pivotButton="0" quotePrefix="0" xfId="0">
      <alignment horizontal="center" vertical="bottom"/>
    </xf>
    <xf numFmtId="0" fontId="8" fillId="4" borderId="2" applyAlignment="1" pivotButton="0" quotePrefix="0" xfId="0">
      <alignment horizontal="general" vertical="bottom"/>
    </xf>
    <xf numFmtId="164" fontId="8" fillId="4" borderId="2" applyAlignment="1" pivotButton="0" quotePrefix="0" xfId="0">
      <alignment horizontal="general" vertical="bottom"/>
    </xf>
    <xf numFmtId="164" fontId="5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164" fontId="9" fillId="3" borderId="1" applyAlignment="1" pivotButton="0" quotePrefix="0" xfId="0">
      <alignment horizontal="general" vertical="bottom"/>
    </xf>
    <xf numFmtId="2" fontId="0" fillId="0" borderId="1" applyAlignment="1" pivotButton="0" quotePrefix="0" xfId="0">
      <alignment horizontal="general" vertical="bottom"/>
    </xf>
    <xf numFmtId="0" fontId="10" fillId="5" borderId="1" applyAlignment="1" pivotButton="0" quotePrefix="0" xfId="0">
      <alignment horizontal="general" vertical="bottom"/>
    </xf>
    <xf numFmtId="2" fontId="11" fillId="5" borderId="1" applyAlignment="1" pivotButton="0" quotePrefix="0" xfId="0">
      <alignment horizontal="general" vertical="bottom"/>
    </xf>
    <xf numFmtId="0" fontId="11" fillId="5" borderId="1" applyAlignment="1" pivotButton="0" quotePrefix="0" xfId="0">
      <alignment horizontal="general" vertical="bottom"/>
    </xf>
    <xf numFmtId="164" fontId="9" fillId="0" borderId="1" applyAlignment="1" pivotButton="0" quotePrefix="0" xfId="0">
      <alignment horizontal="general" vertical="bottom"/>
    </xf>
    <xf numFmtId="10" fontId="5" fillId="0" borderId="1" applyAlignment="1" pivotButton="0" quotePrefix="0" xfId="0">
      <alignment horizontal="general" vertical="bottom"/>
    </xf>
    <xf numFmtId="10" fontId="9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10" fontId="5" fillId="3" borderId="1" applyAlignment="1" pivotButton="0" quotePrefix="0" xfId="0">
      <alignment horizontal="general" vertical="bottom"/>
    </xf>
    <xf numFmtId="10" fontId="9" fillId="3" borderId="1" applyAlignment="1" pivotButton="0" quotePrefix="0" xfId="0">
      <alignment horizontal="general" vertical="bottom"/>
    </xf>
    <xf numFmtId="0" fontId="4" fillId="2" borderId="1" applyAlignment="1" pivotButton="0" quotePrefix="0" xfId="0">
      <alignment horizontal="general" vertical="bottom"/>
    </xf>
    <xf numFmtId="0" fontId="10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9" fillId="3" borderId="1" applyAlignment="1" pivotButton="0" quotePrefix="0" xfId="0">
      <alignment horizontal="general" vertical="bottom"/>
    </xf>
    <xf numFmtId="0" fontId="0" fillId="6" borderId="1" applyAlignment="1" pivotButton="0" quotePrefix="0" xfId="0">
      <alignment horizontal="general" vertical="bottom"/>
    </xf>
    <xf numFmtId="10" fontId="12" fillId="3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general" vertical="bottom"/>
    </xf>
    <xf numFmtId="2" fontId="6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7" fillId="3" borderId="1" applyAlignment="1" pivotButton="0" quotePrefix="0" xfId="0">
      <alignment horizontal="center" vertical="bottom"/>
    </xf>
    <xf numFmtId="0" fontId="0" fillId="0" borderId="5" pivotButton="0" quotePrefix="0" xfId="0"/>
    <xf numFmtId="0" fontId="0" fillId="0" borderId="6" pivotButton="0" quotePrefix="0" xfId="0"/>
    <xf numFmtId="0" fontId="8" fillId="4" borderId="2" applyAlignment="1" pivotButton="0" quotePrefix="0" xfId="0">
      <alignment horizontal="general" vertical="bottom"/>
    </xf>
    <xf numFmtId="164" fontId="8" fillId="4" borderId="2" applyAlignment="1" pivotButton="0" quotePrefix="0" xfId="0">
      <alignment horizontal="general" vertical="bottom"/>
    </xf>
    <xf numFmtId="164" fontId="13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164" fontId="9" fillId="3" borderId="1" applyAlignment="1" pivotButton="0" quotePrefix="0" xfId="0">
      <alignment horizontal="general" vertical="bottom"/>
    </xf>
    <xf numFmtId="2" fontId="0" fillId="0" borderId="1" applyAlignment="1" pivotButton="0" quotePrefix="0" xfId="0">
      <alignment horizontal="general" vertical="bottom"/>
    </xf>
    <xf numFmtId="0" fontId="10" fillId="5" borderId="1" applyAlignment="1" pivotButton="0" quotePrefix="0" xfId="0">
      <alignment horizontal="general" vertical="bottom"/>
    </xf>
    <xf numFmtId="2" fontId="11" fillId="5" borderId="1" applyAlignment="1" pivotButton="0" quotePrefix="0" xfId="0">
      <alignment horizontal="general" vertical="bottom"/>
    </xf>
    <xf numFmtId="0" fontId="11" fillId="5" borderId="1" applyAlignment="1" pivotButton="0" quotePrefix="0" xfId="0">
      <alignment horizontal="general" vertical="bottom"/>
    </xf>
    <xf numFmtId="164" fontId="9" fillId="0" borderId="1" applyAlignment="1" pivotButton="0" quotePrefix="0" xfId="0">
      <alignment horizontal="general" vertical="bottom"/>
    </xf>
    <xf numFmtId="10" fontId="5" fillId="0" borderId="1" applyAlignment="1" pivotButton="0" quotePrefix="0" xfId="0">
      <alignment horizontal="general" vertical="bottom"/>
    </xf>
    <xf numFmtId="10" fontId="9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10" fontId="5" fillId="3" borderId="1" applyAlignment="1" pivotButton="0" quotePrefix="0" xfId="0">
      <alignment horizontal="general" vertical="bottom"/>
    </xf>
    <xf numFmtId="10" fontId="9" fillId="3" borderId="1" applyAlignment="1" pivotButton="0" quotePrefix="0" xfId="0">
      <alignment horizontal="general" vertical="bottom"/>
    </xf>
    <xf numFmtId="0" fontId="4" fillId="2" borderId="1" applyAlignment="1" pivotButton="0" quotePrefix="0" xfId="0">
      <alignment horizontal="general" vertical="bottom"/>
    </xf>
    <xf numFmtId="0" fontId="10" fillId="2" borderId="1" applyAlignment="1" pivotButton="0" quotePrefix="0" xfId="0">
      <alignment horizontal="general" vertical="bottom"/>
    </xf>
    <xf numFmtId="164" fontId="13" fillId="3" borderId="1" applyAlignment="1" pivotButton="0" quotePrefix="0" xfId="0">
      <alignment horizontal="general" vertical="bottom"/>
    </xf>
    <xf numFmtId="0" fontId="9" fillId="3" borderId="1" applyAlignment="1" pivotButton="0" quotePrefix="0" xfId="0">
      <alignment horizontal="general" vertical="bottom"/>
    </xf>
    <xf numFmtId="0" fontId="0" fillId="6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164" fontId="5" fillId="0" borderId="1" applyAlignment="1" pivotButton="0" quotePrefix="0" xfId="0">
      <alignment horizontal="general" vertical="bottom"/>
    </xf>
    <xf numFmtId="10" fontId="12" fillId="3" borderId="1" applyAlignment="1" pivotButton="0" quotePrefix="0" xfId="0">
      <alignment horizontal="general" vertical="bottom"/>
    </xf>
    <xf numFmtId="0" fontId="14" fillId="7" borderId="0" applyAlignment="1" pivotButton="0" quotePrefix="0" xfId="0">
      <alignment horizontal="left" vertical="center" indent="1"/>
    </xf>
    <xf numFmtId="0" fontId="15" fillId="0" borderId="0" pivotButton="0" quotePrefix="0" xfId="0"/>
    <xf numFmtId="0" fontId="16" fillId="7" borderId="7" applyAlignment="1" pivotButton="0" quotePrefix="0" xfId="0">
      <alignment horizontal="left"/>
    </xf>
    <xf numFmtId="0" fontId="16" fillId="7" borderId="7" applyAlignment="1" pivotButton="0" quotePrefix="0" xfId="0">
      <alignment horizontal="center"/>
    </xf>
    <xf numFmtId="0" fontId="17" fillId="0" borderId="7" pivotButton="0" quotePrefix="0" xfId="0"/>
    <xf numFmtId="4" fontId="17" fillId="0" borderId="7" pivotButton="0" quotePrefix="0" xfId="0"/>
    <xf numFmtId="165" fontId="17" fillId="0" borderId="7" pivotButton="0" quotePrefix="0" xfId="0"/>
    <xf numFmtId="0" fontId="0" fillId="8" borderId="7" pivotButton="0" quotePrefix="0" xfId="0"/>
    <xf numFmtId="4" fontId="0" fillId="8" borderId="7" pivotButton="0" quotePrefix="0" xfId="0"/>
    <xf numFmtId="165" fontId="0" fillId="8" borderId="7" pivotButton="0" quotePrefix="0" xfId="0"/>
    <xf numFmtId="0" fontId="0" fillId="0" borderId="7" pivotButton="0" quotePrefix="0" xfId="0"/>
    <xf numFmtId="4" fontId="0" fillId="0" borderId="7" pivotButton="0" quotePrefix="0" xfId="0"/>
    <xf numFmtId="165" fontId="0" fillId="0" borderId="7" pivotButton="0" quotePrefix="0" xfId="0"/>
    <xf numFmtId="0" fontId="18" fillId="7" borderId="7" pivotButton="0" quotePrefix="0" xfId="0"/>
    <xf numFmtId="0" fontId="0" fillId="0" borderId="10" pivotButton="0" quotePrefix="0" xfId="0"/>
    <xf numFmtId="0" fontId="0" fillId="0" borderId="11" pivotButton="0" quotePrefix="0" xfId="0"/>
    <xf numFmtId="166" fontId="0" fillId="0" borderId="7" pivotButton="0" quotePrefix="0" xfId="0"/>
    <xf numFmtId="0" fontId="19" fillId="0" borderId="0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F4EA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BD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1F1F1F"/>
      <rgbColor rgb="FF993300"/>
      <rgbColor rgb="FF993366"/>
      <rgbColor rgb="FF37475A"/>
      <rgbColor rgb="FF232F3E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232F3E"/>
    <outlinePr summaryBelow="1" summaryRight="1"/>
    <pageSetUpPr fitToPage="0"/>
  </sheetPr>
  <dimension ref="A1:O39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I3" activeCellId="0" sqref="I3"/>
    </sheetView>
  </sheetViews>
  <sheetFormatPr baseColWidth="8" defaultColWidth="8.83203125" defaultRowHeight="15" customHeight="0" zeroHeight="0" outlineLevelRow="0"/>
  <cols>
    <col width="33.67" customWidth="1" style="29" min="1" max="1"/>
    <col width="13" customWidth="1" style="29" min="2" max="15"/>
  </cols>
  <sheetData>
    <row r="1" ht="18" customHeight="1" s="30">
      <c r="A1" s="31" t="n"/>
      <c r="B1" s="32" t="n">
        <v>2020</v>
      </c>
      <c r="C1" s="31" t="n">
        <v>2021</v>
      </c>
      <c r="D1" s="31" t="n">
        <v>2022</v>
      </c>
      <c r="E1" s="31" t="n">
        <v>2023</v>
      </c>
      <c r="F1" s="31" t="n">
        <v>2024</v>
      </c>
      <c r="G1" s="31" t="n">
        <v>2025</v>
      </c>
      <c r="H1" s="31" t="n"/>
      <c r="I1" s="31" t="n"/>
    </row>
    <row r="2" ht="21" customHeight="1" s="30">
      <c r="A2" s="33" t="inlineStr">
        <is>
          <t>Revenue</t>
        </is>
      </c>
      <c r="B2" s="34" t="n"/>
      <c r="C2" s="34" t="n"/>
      <c r="D2" s="34" t="n"/>
      <c r="E2" s="34" t="n"/>
      <c r="F2" s="34" t="n"/>
      <c r="G2" s="34" t="n"/>
      <c r="H2" s="35" t="n"/>
      <c r="I2" s="36" t="inlineStr">
        <is>
          <t>Note: All units are in USD millions</t>
        </is>
      </c>
      <c r="J2" s="37" t="n"/>
      <c r="K2" s="37" t="n"/>
      <c r="L2" s="37" t="n"/>
      <c r="M2" s="37" t="n"/>
      <c r="N2" s="37" t="n"/>
      <c r="O2" s="38" t="n"/>
    </row>
    <row r="3" ht="15" customHeight="1" s="30">
      <c r="A3" s="39" t="inlineStr">
        <is>
          <t>Total Revenue</t>
        </is>
      </c>
      <c r="B3" s="40">
        <f>B4+B5</f>
        <v/>
      </c>
      <c r="C3" s="40">
        <f>C4+C5</f>
        <v/>
      </c>
      <c r="D3" s="40">
        <f>D4+D5</f>
        <v/>
      </c>
      <c r="E3" s="40">
        <f>E4+E5</f>
        <v/>
      </c>
      <c r="F3" s="40" t="n">
        <v>637960</v>
      </c>
      <c r="G3" s="40" t="n">
        <v>716924</v>
      </c>
      <c r="H3" s="39" t="n"/>
      <c r="I3" s="39" t="n"/>
    </row>
    <row r="4" ht="15" customHeight="1" s="30">
      <c r="A4" s="33" t="inlineStr">
        <is>
          <t>Product Sales</t>
        </is>
      </c>
      <c r="B4" s="41" t="n">
        <v>215915</v>
      </c>
      <c r="C4" s="41" t="n">
        <v>241787</v>
      </c>
      <c r="D4" s="41" t="n">
        <v>242901</v>
      </c>
      <c r="E4" s="41" t="n">
        <v>255995</v>
      </c>
      <c r="F4" s="41" t="n">
        <v>271683</v>
      </c>
      <c r="G4" s="41" t="n">
        <v>296266</v>
      </c>
      <c r="H4" s="35" t="n"/>
      <c r="I4" s="35" t="n"/>
    </row>
    <row r="5" ht="15" customHeight="1" s="30">
      <c r="A5" s="42" t="inlineStr">
        <is>
          <t>Service Sales</t>
        </is>
      </c>
      <c r="B5" s="43" t="n">
        <v>170149</v>
      </c>
      <c r="C5" s="43" t="n">
        <v>228035</v>
      </c>
      <c r="D5" s="43" t="n">
        <v>271082</v>
      </c>
      <c r="E5" s="43" t="n">
        <v>318790</v>
      </c>
      <c r="F5" s="43" t="n">
        <v>366277</v>
      </c>
      <c r="G5" s="43" t="n">
        <v>420658</v>
      </c>
      <c r="H5" s="42" t="n"/>
      <c r="I5" s="42" t="n"/>
    </row>
    <row r="6" ht="15" customHeight="1" s="30">
      <c r="A6" s="35" t="n"/>
      <c r="B6" s="44" t="n"/>
      <c r="C6" s="44" t="n"/>
      <c r="D6" s="44" t="n"/>
      <c r="E6" s="44" t="n"/>
      <c r="F6" s="44" t="n"/>
      <c r="G6" s="44" t="n"/>
      <c r="H6" s="35" t="n"/>
      <c r="I6" s="35" t="n"/>
    </row>
    <row r="7" ht="15" customHeight="1" s="30">
      <c r="A7" s="45" t="inlineStr">
        <is>
          <t>Cost of Revenue</t>
        </is>
      </c>
      <c r="B7" s="46" t="n"/>
      <c r="C7" s="46" t="n"/>
      <c r="D7" s="46" t="n"/>
      <c r="E7" s="46" t="n"/>
      <c r="F7" s="46" t="n"/>
      <c r="G7" s="46" t="n"/>
      <c r="H7" s="47" t="n"/>
      <c r="I7" s="47" t="n"/>
    </row>
    <row r="8" ht="15" customHeight="1" s="30">
      <c r="A8" s="33" t="inlineStr">
        <is>
          <t>Cost of Sales</t>
        </is>
      </c>
      <c r="B8" s="48" t="n">
        <v>233307</v>
      </c>
      <c r="C8" s="48" t="n">
        <v>272383</v>
      </c>
      <c r="D8" s="48" t="n">
        <v>288831</v>
      </c>
      <c r="E8" s="48" t="n">
        <v>304739</v>
      </c>
      <c r="F8" s="48" t="n">
        <v>326293</v>
      </c>
      <c r="G8" s="48" t="n">
        <v>356414</v>
      </c>
      <c r="H8" s="35" t="n"/>
      <c r="I8" s="35" t="n"/>
    </row>
    <row r="9" ht="15" customHeight="1" s="30">
      <c r="A9" s="35" t="n"/>
      <c r="B9" s="44" t="n"/>
      <c r="C9" s="44" t="n"/>
      <c r="D9" s="44" t="n"/>
      <c r="E9" s="44" t="n"/>
      <c r="F9" s="44" t="n"/>
      <c r="G9" s="44" t="n"/>
      <c r="H9" s="35" t="n"/>
      <c r="I9" s="35" t="n"/>
    </row>
    <row r="10" ht="15" customHeight="1" s="30">
      <c r="A10" s="39" t="inlineStr">
        <is>
          <t>Gross Profit</t>
        </is>
      </c>
      <c r="B10" s="40">
        <f>B3-B8</f>
        <v/>
      </c>
      <c r="C10" s="40">
        <f>C3-C8</f>
        <v/>
      </c>
      <c r="D10" s="40">
        <f>D3-D8</f>
        <v/>
      </c>
      <c r="E10" s="40">
        <f>E3-E8</f>
        <v/>
      </c>
      <c r="F10" s="40" t="n">
        <v>311667</v>
      </c>
      <c r="G10" s="40" t="n">
        <v>360510</v>
      </c>
      <c r="H10" s="39" t="n"/>
      <c r="I10" s="39" t="n"/>
    </row>
    <row r="11" ht="15" customHeight="1" s="30">
      <c r="A11" s="33" t="inlineStr">
        <is>
          <t>Gross Margin %</t>
        </is>
      </c>
      <c r="B11" s="49">
        <f>B10/B3</f>
        <v/>
      </c>
      <c r="C11" s="49">
        <f>C10/C3</f>
        <v/>
      </c>
      <c r="D11" s="49">
        <f>D10/D3</f>
        <v/>
      </c>
      <c r="E11" s="49">
        <f>E10/E3</f>
        <v/>
      </c>
      <c r="F11" s="50" t="n">
        <v>0.488</v>
      </c>
      <c r="G11" s="50" t="n">
        <v>0.502856648682427</v>
      </c>
      <c r="H11" s="35" t="n"/>
      <c r="I11" s="35" t="n"/>
    </row>
    <row r="12" ht="15" customHeight="1" s="30">
      <c r="A12" s="35" t="n"/>
      <c r="B12" s="44" t="n"/>
      <c r="C12" s="44" t="n"/>
      <c r="D12" s="44" t="n"/>
      <c r="E12" s="44" t="n"/>
      <c r="F12" s="44" t="n"/>
      <c r="G12" s="44" t="n"/>
      <c r="H12" s="35" t="n"/>
      <c r="I12" s="35" t="n"/>
    </row>
    <row r="13" ht="15" customHeight="1" s="30">
      <c r="A13" s="45" t="inlineStr">
        <is>
          <t>Operating Expenses</t>
        </is>
      </c>
      <c r="B13" s="46" t="n"/>
      <c r="C13" s="46" t="n"/>
      <c r="D13" s="46" t="n"/>
      <c r="E13" s="46" t="n"/>
      <c r="F13" s="46" t="n"/>
      <c r="G13" s="46" t="n"/>
      <c r="H13" s="47" t="n"/>
      <c r="I13" s="47" t="n"/>
    </row>
    <row r="14" ht="15" customHeight="1" s="30">
      <c r="A14" s="33" t="inlineStr">
        <is>
          <t>Fulfillment</t>
        </is>
      </c>
      <c r="B14" s="48" t="n">
        <v>58517</v>
      </c>
      <c r="C14" s="48" t="n">
        <v>75111</v>
      </c>
      <c r="D14" s="48" t="n">
        <v>84299</v>
      </c>
      <c r="E14" s="48" t="n">
        <v>90619</v>
      </c>
      <c r="F14" s="48" t="n">
        <v>95178</v>
      </c>
      <c r="G14" s="48" t="n">
        <v>109074</v>
      </c>
      <c r="H14" s="35" t="n"/>
      <c r="I14" s="35" t="n"/>
    </row>
    <row r="15" ht="15" customHeight="1" s="30">
      <c r="A15" s="42" t="inlineStr">
        <is>
          <t>Technology and Content</t>
        </is>
      </c>
      <c r="B15" s="43" t="n">
        <v>42740</v>
      </c>
      <c r="C15" s="43" t="n">
        <v>56052</v>
      </c>
      <c r="D15" s="43" t="n">
        <v>73213</v>
      </c>
      <c r="E15" s="43" t="n">
        <v>85622</v>
      </c>
      <c r="F15" s="43" t="n">
        <v>94289</v>
      </c>
      <c r="G15" s="43" t="n">
        <v>108521</v>
      </c>
      <c r="H15" s="42" t="n"/>
      <c r="I15" s="42" t="n"/>
    </row>
    <row r="16" ht="15" customHeight="1" s="30">
      <c r="A16" s="33" t="inlineStr">
        <is>
          <t>Sales and Marketing</t>
        </is>
      </c>
      <c r="B16" s="48" t="n">
        <v>22008</v>
      </c>
      <c r="C16" s="48" t="n">
        <v>32551</v>
      </c>
      <c r="D16" s="48" t="n">
        <v>42238</v>
      </c>
      <c r="E16" s="48" t="n">
        <v>42813</v>
      </c>
      <c r="F16" s="48" t="n">
        <v>47108</v>
      </c>
      <c r="G16" s="48" t="n">
        <v>47129</v>
      </c>
      <c r="H16" s="35" t="n"/>
      <c r="I16" s="35" t="n"/>
    </row>
    <row r="17" ht="15" customHeight="1" s="30">
      <c r="A17" s="42" t="inlineStr">
        <is>
          <t>General and Administrative</t>
        </is>
      </c>
      <c r="B17" s="43" t="n">
        <v>8823</v>
      </c>
      <c r="C17" s="43" t="n">
        <v>8823</v>
      </c>
      <c r="D17" s="43" t="n">
        <v>8437</v>
      </c>
      <c r="E17" s="43" t="n">
        <v>8330</v>
      </c>
      <c r="F17" s="43" t="n">
        <v>9456</v>
      </c>
      <c r="G17" s="43" t="n">
        <v>11172</v>
      </c>
      <c r="H17" s="42" t="n"/>
      <c r="I17" s="42" t="n"/>
    </row>
    <row r="18" ht="15" customHeight="1" s="30">
      <c r="A18" s="33" t="inlineStr">
        <is>
          <t>Other Operating Expense</t>
        </is>
      </c>
      <c r="B18" s="48" t="n">
        <v>2044</v>
      </c>
      <c r="C18" s="48" t="n">
        <v>1263</v>
      </c>
      <c r="D18" s="48" t="n">
        <v>1263</v>
      </c>
      <c r="E18" s="51" t="n">
        <v>767</v>
      </c>
      <c r="F18" s="48" t="n">
        <v>1099</v>
      </c>
      <c r="G18" s="48" t="n">
        <v>4639</v>
      </c>
      <c r="H18" s="35" t="n"/>
      <c r="I18" s="35" t="n"/>
    </row>
    <row r="19" ht="15" customHeight="1" s="30">
      <c r="A19" s="39" t="inlineStr">
        <is>
          <t>Total Operating Expenses</t>
        </is>
      </c>
      <c r="B19" s="40" t="n">
        <v>133425</v>
      </c>
      <c r="C19" s="40">
        <f>SUM(C14:C18)</f>
        <v/>
      </c>
      <c r="D19" s="40">
        <f>SUM(D14:D18)</f>
        <v/>
      </c>
      <c r="E19" s="40">
        <f>SUM(E14:E18)</f>
        <v/>
      </c>
      <c r="F19" s="40" t="n">
        <v>247130</v>
      </c>
      <c r="G19" s="40" t="n">
        <v>280535</v>
      </c>
      <c r="H19" s="39" t="n"/>
      <c r="I19" s="39" t="n"/>
    </row>
    <row r="20" ht="15" customHeight="1" s="30">
      <c r="A20" s="35" t="n"/>
      <c r="B20" s="44" t="n"/>
      <c r="C20" s="44" t="n"/>
      <c r="D20" s="44" t="n"/>
      <c r="E20" s="44" t="n"/>
      <c r="F20" s="44" t="n"/>
      <c r="G20" s="44" t="n"/>
      <c r="H20" s="35" t="n"/>
      <c r="I20" s="35" t="n"/>
    </row>
    <row r="21" ht="15" customHeight="1" s="30">
      <c r="A21" s="39" t="inlineStr">
        <is>
          <t>Operating Income (EBIT)</t>
        </is>
      </c>
      <c r="B21" s="40" t="n">
        <v>22899</v>
      </c>
      <c r="C21" s="40" t="n">
        <v>24879</v>
      </c>
      <c r="D21" s="40" t="n">
        <v>12248</v>
      </c>
      <c r="E21" s="40" t="n">
        <v>36852</v>
      </c>
      <c r="F21" s="40" t="n">
        <v>68593</v>
      </c>
      <c r="G21" s="40" t="n">
        <v>79975</v>
      </c>
      <c r="H21" s="35" t="n"/>
      <c r="I21" s="35" t="n"/>
    </row>
    <row r="22" ht="15" customHeight="1" s="30">
      <c r="A22" s="42" t="inlineStr">
        <is>
          <t>Operating Margin %</t>
        </is>
      </c>
      <c r="B22" s="52">
        <f>B21/B3</f>
        <v/>
      </c>
      <c r="C22" s="52">
        <f>C21/C3</f>
        <v/>
      </c>
      <c r="D22" s="52">
        <f>D21/D3</f>
        <v/>
      </c>
      <c r="E22" s="52">
        <f>E21/E3</f>
        <v/>
      </c>
      <c r="F22" s="53" t="n">
        <v>0.107</v>
      </c>
      <c r="G22" s="53" t="n">
        <v>0.111552967957552</v>
      </c>
      <c r="H22" s="42" t="n"/>
      <c r="I22" s="42" t="n"/>
    </row>
    <row r="23" ht="15" customHeight="1" s="30">
      <c r="A23" s="35" t="n"/>
      <c r="B23" s="44" t="n"/>
      <c r="C23" s="44" t="n"/>
      <c r="D23" s="44" t="n"/>
      <c r="E23" s="44" t="n"/>
      <c r="F23" s="44" t="n"/>
      <c r="G23" s="44" t="n"/>
      <c r="H23" s="35" t="n"/>
      <c r="I23" s="35" t="n"/>
    </row>
    <row r="24" ht="15" customHeight="1" s="30">
      <c r="A24" s="45" t="inlineStr">
        <is>
          <t>Non-Operating Items</t>
        </is>
      </c>
      <c r="B24" s="46" t="n"/>
      <c r="C24" s="46" t="n"/>
      <c r="D24" s="46" t="n"/>
      <c r="E24" s="46" t="n"/>
      <c r="F24" s="46" t="n"/>
      <c r="G24" s="46" t="n"/>
      <c r="H24" s="47" t="n"/>
      <c r="I24" s="47" t="n"/>
    </row>
    <row r="25" ht="15" customHeight="1" s="30">
      <c r="A25" s="33" t="inlineStr">
        <is>
          <t>Interest Income</t>
        </is>
      </c>
      <c r="B25" s="51" t="n">
        <v>555</v>
      </c>
      <c r="C25" s="51" t="n">
        <v>448</v>
      </c>
      <c r="D25" s="51" t="n">
        <v>989</v>
      </c>
      <c r="E25" s="48" t="n">
        <v>2949</v>
      </c>
      <c r="F25" s="48" t="n">
        <v>4926</v>
      </c>
      <c r="G25" s="48" t="n">
        <v>4381</v>
      </c>
      <c r="H25" s="35" t="n"/>
      <c r="I25" s="35" t="n"/>
    </row>
    <row r="26" ht="15" customHeight="1" s="30">
      <c r="A26" s="42" t="inlineStr">
        <is>
          <t>Interest Expense</t>
        </is>
      </c>
      <c r="B26" s="43" t="n">
        <v>-1647</v>
      </c>
      <c r="C26" s="43" t="n">
        <v>-1809</v>
      </c>
      <c r="D26" s="43" t="n">
        <v>-2367</v>
      </c>
      <c r="E26" s="43" t="n">
        <v>-3057</v>
      </c>
      <c r="F26" s="43" t="n">
        <v>-2406</v>
      </c>
      <c r="G26" s="43" t="n">
        <v>-2274</v>
      </c>
      <c r="H26" s="42" t="n"/>
      <c r="I26" s="42" t="n"/>
    </row>
    <row r="27" ht="15" customHeight="1" s="30">
      <c r="A27" s="33" t="inlineStr">
        <is>
          <t>Other Income (Expense), net</t>
        </is>
      </c>
      <c r="B27" s="48" t="n">
        <v>2371</v>
      </c>
      <c r="C27" s="48" t="n">
        <v>14633</v>
      </c>
      <c r="D27" s="48" t="n">
        <v>16966</v>
      </c>
      <c r="E27" s="51" t="n">
        <v>-748</v>
      </c>
      <c r="F27" s="48" t="n">
        <v>2012</v>
      </c>
      <c r="G27" s="48" t="n">
        <v>15229</v>
      </c>
      <c r="H27" s="35" t="n"/>
      <c r="I27" s="35" t="n"/>
    </row>
    <row r="28" ht="15" customHeight="1" s="30">
      <c r="A28" s="35" t="n"/>
      <c r="B28" s="44" t="n"/>
      <c r="C28" s="44" t="n"/>
      <c r="D28" s="44" t="n"/>
      <c r="E28" s="44" t="n"/>
      <c r="F28" s="44" t="n"/>
      <c r="G28" s="44" t="n"/>
      <c r="H28" s="35" t="n"/>
      <c r="I28" s="35" t="n"/>
    </row>
    <row r="29" ht="15" customHeight="1" s="30">
      <c r="A29" s="39" t="inlineStr">
        <is>
          <t>Income Before Tax (EBT)</t>
        </is>
      </c>
      <c r="B29" s="40">
        <f>B21+B25+B26+B27</f>
        <v/>
      </c>
      <c r="C29" s="40">
        <f>C21+C25+C26+C27</f>
        <v/>
      </c>
      <c r="D29" s="40">
        <f>D21+D25+D26+D27</f>
        <v/>
      </c>
      <c r="E29" s="40" t="n">
        <v>36996</v>
      </c>
      <c r="F29" s="40" t="n">
        <v>73125</v>
      </c>
      <c r="G29" s="40" t="n">
        <v>97311</v>
      </c>
      <c r="H29" s="39" t="n"/>
      <c r="I29" s="39" t="n"/>
    </row>
    <row r="30" ht="15" customHeight="1" s="30">
      <c r="A30" s="33" t="inlineStr">
        <is>
          <t>Provision for Income Taxes</t>
        </is>
      </c>
      <c r="B30" s="48" t="n">
        <v>2863</v>
      </c>
      <c r="C30" s="48" t="n">
        <v>4791</v>
      </c>
      <c r="D30" s="48" t="n">
        <v>30558</v>
      </c>
      <c r="E30" s="48" t="n">
        <v>6566</v>
      </c>
      <c r="F30" s="48" t="n">
        <v>13877</v>
      </c>
      <c r="G30" s="48" t="n">
        <v>19087</v>
      </c>
      <c r="H30" s="35" t="n"/>
      <c r="I30" s="35" t="n"/>
    </row>
    <row r="31" ht="15" customHeight="1" s="30">
      <c r="A31" s="42" t="inlineStr">
        <is>
          <t>Effective Tax Rate %</t>
        </is>
      </c>
      <c r="B31" s="52">
        <f>B30/B29</f>
        <v/>
      </c>
      <c r="C31" s="52">
        <f>C30/C29</f>
        <v/>
      </c>
      <c r="D31" s="52">
        <f>D30/D29</f>
        <v/>
      </c>
      <c r="E31" s="52">
        <f>E30/E29</f>
        <v/>
      </c>
      <c r="F31" s="53" t="n">
        <v>0.19</v>
      </c>
      <c r="G31" s="53" t="n">
        <v>0.196144320785934</v>
      </c>
      <c r="H31" s="42" t="n"/>
      <c r="I31" s="42" t="n"/>
    </row>
    <row r="32" ht="15" customHeight="1" s="30">
      <c r="A32" s="35" t="n"/>
      <c r="B32" s="44" t="n"/>
      <c r="C32" s="44" t="n"/>
      <c r="D32" s="44" t="n"/>
      <c r="E32" s="44" t="n"/>
      <c r="F32" s="44" t="n"/>
      <c r="G32" s="44" t="n"/>
      <c r="H32" s="35" t="n"/>
      <c r="I32" s="35" t="n"/>
    </row>
    <row r="33" ht="15" customHeight="1" s="30">
      <c r="A33" s="39" t="inlineStr">
        <is>
          <t>Net Income</t>
        </is>
      </c>
      <c r="B33" s="40" t="n">
        <v>21331</v>
      </c>
      <c r="C33" s="40" t="n">
        <v>33364</v>
      </c>
      <c r="D33" s="40">
        <f>D29-D30</f>
        <v/>
      </c>
      <c r="E33" s="40" t="n">
        <v>30425</v>
      </c>
      <c r="F33" s="40" t="n">
        <v>59248</v>
      </c>
      <c r="G33" s="40" t="n">
        <v>77670</v>
      </c>
      <c r="H33" s="35" t="n"/>
      <c r="I33" s="35" t="n"/>
    </row>
    <row r="34" ht="15" customHeight="1" s="30">
      <c r="A34" s="42" t="inlineStr">
        <is>
          <t>Net Margin %</t>
        </is>
      </c>
      <c r="B34" s="52">
        <f>B33/B3</f>
        <v/>
      </c>
      <c r="C34" s="52">
        <f>C33/C3</f>
        <v/>
      </c>
      <c r="D34" s="52">
        <f>D33/D3</f>
        <v/>
      </c>
      <c r="E34" s="52">
        <f>E33/E3</f>
        <v/>
      </c>
      <c r="F34" s="53" t="n">
        <v>0.093</v>
      </c>
      <c r="G34" s="53" t="n">
        <v>0.108337843341833</v>
      </c>
      <c r="H34" s="42" t="n"/>
      <c r="I34" s="42" t="n"/>
    </row>
    <row r="35" ht="15" customHeight="1" s="30">
      <c r="A35" s="35" t="n"/>
      <c r="B35" s="44" t="n"/>
      <c r="C35" s="44" t="n"/>
      <c r="D35" s="44" t="n"/>
      <c r="E35" s="44" t="n"/>
      <c r="F35" s="44" t="n"/>
      <c r="G35" s="44" t="n"/>
      <c r="H35" s="35" t="n"/>
      <c r="I35" s="35" t="n"/>
    </row>
    <row r="36" ht="15" customHeight="1" s="30">
      <c r="A36" s="45" t="inlineStr">
        <is>
          <t>Key Metrics</t>
        </is>
      </c>
      <c r="B36" s="46" t="n"/>
      <c r="C36" s="46" t="n"/>
      <c r="D36" s="46" t="n"/>
      <c r="E36" s="46" t="n"/>
      <c r="F36" s="46" t="n"/>
      <c r="G36" s="46" t="n"/>
      <c r="H36" s="47" t="n"/>
      <c r="I36" s="47" t="n"/>
    </row>
    <row r="37" ht="15" customHeight="1" s="30">
      <c r="A37" s="39" t="inlineStr">
        <is>
          <t>EBITDA (Operating Income + D&amp;A)</t>
        </is>
      </c>
      <c r="B37" s="40">
        <f>B21+B39</f>
        <v/>
      </c>
      <c r="C37" s="40">
        <f>C21+C39</f>
        <v/>
      </c>
      <c r="D37" s="40">
        <f>D21+D39</f>
        <v/>
      </c>
      <c r="E37" s="40">
        <f>E21+E39</f>
        <v/>
      </c>
      <c r="F37" s="40" t="n">
        <v>121388</v>
      </c>
      <c r="G37" s="40" t="n">
        <v>145731</v>
      </c>
      <c r="H37" s="35" t="n"/>
      <c r="I37" s="35" t="n"/>
    </row>
    <row r="38" ht="15" customHeight="1" s="30">
      <c r="A38" s="42" t="inlineStr">
        <is>
          <t>EBITDA Margin %</t>
        </is>
      </c>
      <c r="B38" s="52">
        <f>B37/B3</f>
        <v/>
      </c>
      <c r="C38" s="52">
        <f>C37/C3</f>
        <v/>
      </c>
      <c r="D38" s="52">
        <f>D37/D3</f>
        <v/>
      </c>
      <c r="E38" s="52">
        <f>E37/E3</f>
        <v/>
      </c>
      <c r="F38" s="53" t="n">
        <v>0.19</v>
      </c>
      <c r="G38" s="53" t="n">
        <v>0.203272592352885</v>
      </c>
      <c r="H38" s="42" t="n"/>
      <c r="I38" s="42" t="n"/>
    </row>
    <row r="39" ht="15" customHeight="1" s="30">
      <c r="A39" s="42" t="inlineStr">
        <is>
          <t>Depreciation &amp; Amortization</t>
        </is>
      </c>
      <c r="B39" s="43" t="n">
        <v>25180</v>
      </c>
      <c r="C39" s="43" t="n">
        <v>34433</v>
      </c>
      <c r="D39" s="43" t="n">
        <v>41921</v>
      </c>
      <c r="E39" s="43" t="n">
        <v>48663</v>
      </c>
      <c r="F39" s="43" t="n">
        <v>52795</v>
      </c>
      <c r="G39" s="43" t="n">
        <v>65756</v>
      </c>
      <c r="H39" s="35" t="n"/>
      <c r="I39" s="35" t="n"/>
    </row>
  </sheetData>
  <mergeCells count="1">
    <mergeCell ref="I2:O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232F3E"/>
    <outlinePr summaryBelow="1" summaryRight="1"/>
    <pageSetUpPr fitToPage="0"/>
  </sheetPr>
  <dimension ref="A1:G4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1" activeCellId="0" sqref="B1"/>
    </sheetView>
  </sheetViews>
  <sheetFormatPr baseColWidth="8" defaultColWidth="8.83203125" defaultRowHeight="15" customHeight="0" zeroHeight="0" outlineLevelRow="0"/>
  <cols>
    <col width="38.67" customWidth="1" style="29" min="1" max="1"/>
    <col width="13" customWidth="1" style="29" min="2" max="7"/>
  </cols>
  <sheetData>
    <row r="1" ht="18" customHeight="1" s="30">
      <c r="A1" s="31" t="n"/>
      <c r="B1" s="32" t="n">
        <v>2020</v>
      </c>
      <c r="C1" s="31" t="n">
        <v>2021</v>
      </c>
      <c r="D1" s="31" t="n">
        <v>2022</v>
      </c>
      <c r="E1" s="31" t="n">
        <v>2023</v>
      </c>
      <c r="F1" s="31" t="n">
        <v>2024</v>
      </c>
      <c r="G1" s="31" t="n">
        <v>2025</v>
      </c>
    </row>
    <row r="2" ht="15" customHeight="1" s="30">
      <c r="A2" s="54" t="inlineStr">
        <is>
          <t>ASSETS</t>
        </is>
      </c>
      <c r="B2" s="54" t="n"/>
      <c r="C2" s="54" t="n"/>
      <c r="D2" s="54" t="n"/>
      <c r="E2" s="54" t="n"/>
      <c r="F2" s="54" t="n"/>
      <c r="G2" s="54" t="n"/>
    </row>
    <row r="3" ht="15" customHeight="1" s="30">
      <c r="A3" s="55" t="inlineStr">
        <is>
          <t>Current Assets</t>
        </is>
      </c>
      <c r="B3" s="55" t="n"/>
      <c r="C3" s="55" t="n"/>
      <c r="D3" s="55" t="n"/>
      <c r="E3" s="55" t="n"/>
      <c r="F3" s="55" t="n"/>
      <c r="G3" s="55" t="n"/>
    </row>
    <row r="4" ht="15" customHeight="1" s="30">
      <c r="A4" s="42" t="inlineStr">
        <is>
          <t>Cash and Cash Equivalents</t>
        </is>
      </c>
      <c r="B4" s="56" t="n">
        <v>42122</v>
      </c>
      <c r="C4" s="56" t="n">
        <v>36477</v>
      </c>
      <c r="D4" s="56" t="n">
        <v>54253</v>
      </c>
      <c r="E4" s="56" t="n">
        <v>73890</v>
      </c>
      <c r="F4" s="56" t="n">
        <v>82312</v>
      </c>
      <c r="G4" s="56" t="n">
        <v>86810</v>
      </c>
    </row>
    <row r="5" ht="15" customHeight="1" s="30">
      <c r="A5" s="42" t="inlineStr">
        <is>
          <t>Marketable Securities</t>
        </is>
      </c>
      <c r="B5" s="43" t="n">
        <v>42274</v>
      </c>
      <c r="C5" s="43" t="n">
        <v>59829</v>
      </c>
      <c r="D5" s="43" t="n">
        <v>16138</v>
      </c>
      <c r="E5" s="43" t="n">
        <v>13393</v>
      </c>
      <c r="F5" s="43" t="n">
        <v>18979</v>
      </c>
      <c r="G5" s="43" t="n">
        <v>36219</v>
      </c>
    </row>
    <row r="6" ht="15" customHeight="1" s="30">
      <c r="A6" s="39" t="inlineStr">
        <is>
          <t>Total Cash &amp; Investments</t>
        </is>
      </c>
      <c r="B6" s="40">
        <f>B4+B5</f>
        <v/>
      </c>
      <c r="C6" s="40">
        <f>C4+C5</f>
        <v/>
      </c>
      <c r="D6" s="40">
        <f>D4+D5</f>
        <v/>
      </c>
      <c r="E6" s="40">
        <f>E4+E5</f>
        <v/>
      </c>
      <c r="F6" s="40" t="n">
        <v>101291</v>
      </c>
      <c r="G6" s="40" t="n">
        <v>123029</v>
      </c>
    </row>
    <row r="7" ht="15" customHeight="1" s="30">
      <c r="A7" s="42" t="inlineStr">
        <is>
          <t>Accounts Receivable, net</t>
        </is>
      </c>
      <c r="B7" s="43" t="n">
        <v>24542</v>
      </c>
      <c r="C7" s="43" t="n">
        <v>32891</v>
      </c>
      <c r="D7" s="43" t="n">
        <v>42360</v>
      </c>
      <c r="E7" s="43" t="n">
        <v>48786</v>
      </c>
      <c r="F7" s="43" t="n">
        <v>54749</v>
      </c>
      <c r="G7" s="43" t="n">
        <v>67729</v>
      </c>
    </row>
    <row r="8" ht="15" customHeight="1" s="30">
      <c r="A8" s="42" t="inlineStr">
        <is>
          <t>Inventories</t>
        </is>
      </c>
      <c r="B8" s="43" t="n">
        <v>23795</v>
      </c>
      <c r="C8" s="43" t="n">
        <v>32640</v>
      </c>
      <c r="D8" s="43" t="n">
        <v>34405</v>
      </c>
      <c r="E8" s="43" t="n">
        <v>33303</v>
      </c>
      <c r="F8" s="43" t="n">
        <v>37232</v>
      </c>
      <c r="G8" s="43" t="n">
        <v>38325</v>
      </c>
    </row>
    <row r="9" ht="15" customHeight="1" s="30">
      <c r="A9" s="42" t="inlineStr">
        <is>
          <t>Other Current Assets</t>
        </is>
      </c>
      <c r="B9" s="43" t="n">
        <v>16432</v>
      </c>
      <c r="C9" s="43" t="n">
        <v>18170</v>
      </c>
      <c r="D9" s="43" t="n">
        <v>20312</v>
      </c>
      <c r="E9" s="43" t="n">
        <v>20487</v>
      </c>
      <c r="F9" s="43" t="n">
        <v>23191</v>
      </c>
      <c r="G9" s="57" t="n">
        <v>0</v>
      </c>
    </row>
    <row r="10" ht="15" customHeight="1" s="30">
      <c r="A10" s="39" t="inlineStr">
        <is>
          <t>Total Current Assets</t>
        </is>
      </c>
      <c r="B10" s="40">
        <f>B6+B7+B8+B9</f>
        <v/>
      </c>
      <c r="C10" s="40">
        <f>C6+C7+C8+C9</f>
        <v/>
      </c>
      <c r="D10" s="40">
        <f>D6+D7+D8+D9</f>
        <v/>
      </c>
      <c r="E10" s="40">
        <f>E6+E7+E8+E9</f>
        <v/>
      </c>
      <c r="F10" s="40" t="n">
        <v>216463</v>
      </c>
      <c r="G10" s="40" t="n">
        <v>229083</v>
      </c>
    </row>
    <row r="11" ht="15" customHeight="1" s="30">
      <c r="A11" s="58" t="n"/>
      <c r="B11" s="58" t="n"/>
      <c r="C11" s="58" t="n"/>
      <c r="D11" s="58" t="n"/>
      <c r="E11" s="58" t="n"/>
      <c r="F11" s="58" t="n"/>
      <c r="G11" s="58" t="n"/>
    </row>
    <row r="12" ht="15" customHeight="1" s="30">
      <c r="A12" s="45" t="inlineStr">
        <is>
          <t>Non-Current Assets</t>
        </is>
      </c>
      <c r="B12" s="47" t="n"/>
      <c r="C12" s="47" t="n"/>
      <c r="D12" s="47" t="n"/>
      <c r="E12" s="47" t="n"/>
      <c r="F12" s="47" t="n"/>
      <c r="G12" s="47" t="n"/>
    </row>
    <row r="13" ht="15" customHeight="1" s="30">
      <c r="A13" s="42" t="inlineStr">
        <is>
          <t>Property and Equipment, net</t>
        </is>
      </c>
      <c r="B13" s="43" t="n">
        <v>113114</v>
      </c>
      <c r="C13" s="43" t="n">
        <v>160281</v>
      </c>
      <c r="D13" s="43" t="n">
        <v>186715</v>
      </c>
      <c r="E13" s="43" t="n">
        <v>204177</v>
      </c>
      <c r="F13" s="43" t="n">
        <v>228060</v>
      </c>
      <c r="G13" s="43" t="n">
        <v>357025</v>
      </c>
    </row>
    <row r="14" ht="15" customHeight="1" s="30">
      <c r="A14" s="42" t="inlineStr">
        <is>
          <t>Operating Lease Right-of-Use Assets</t>
        </is>
      </c>
      <c r="B14" s="43" t="n">
        <v>37553</v>
      </c>
      <c r="C14" s="43" t="n">
        <v>56082</v>
      </c>
      <c r="D14" s="43" t="n">
        <v>66286</v>
      </c>
      <c r="E14" s="43" t="n">
        <v>71365</v>
      </c>
      <c r="F14" s="43" t="n">
        <v>78598</v>
      </c>
      <c r="G14" s="43" t="n">
        <v>86054</v>
      </c>
    </row>
    <row r="15" ht="15" customHeight="1" s="30">
      <c r="A15" s="42" t="inlineStr">
        <is>
          <t>Goodwill</t>
        </is>
      </c>
      <c r="B15" s="43" t="n">
        <v>15017</v>
      </c>
      <c r="C15" s="43" t="n">
        <v>15371</v>
      </c>
      <c r="D15" s="43" t="n">
        <v>20288</v>
      </c>
      <c r="E15" s="43" t="n">
        <v>22789</v>
      </c>
      <c r="F15" s="43" t="n">
        <v>23110</v>
      </c>
      <c r="G15" s="43" t="n">
        <v>23273</v>
      </c>
    </row>
    <row r="16" ht="15" customHeight="1" s="30">
      <c r="A16" s="42" t="inlineStr">
        <is>
          <t>Other Long-Term Assets</t>
        </is>
      </c>
      <c r="B16" s="43" t="n">
        <v>6306</v>
      </c>
      <c r="C16" s="43" t="n">
        <v>8814</v>
      </c>
      <c r="D16" s="43" t="n">
        <v>22011</v>
      </c>
      <c r="E16" s="43" t="n">
        <v>39663</v>
      </c>
      <c r="F16" s="43" t="n">
        <v>78658</v>
      </c>
      <c r="G16" s="43" t="n">
        <v>122607</v>
      </c>
    </row>
    <row r="17" ht="15" customHeight="1" s="30">
      <c r="A17" s="39" t="inlineStr">
        <is>
          <t>Total Non-Current Assets</t>
        </is>
      </c>
      <c r="B17" s="40" t="n">
        <v>172543</v>
      </c>
      <c r="C17" s="40">
        <f>SUM(C13:C16)</f>
        <v/>
      </c>
      <c r="D17" s="40">
        <f>SUM(D13:D16)</f>
        <v/>
      </c>
      <c r="E17" s="40">
        <f>SUM(E13:E16)</f>
        <v/>
      </c>
      <c r="F17" s="40" t="n">
        <v>408426</v>
      </c>
      <c r="G17" s="40" t="n">
        <v>588959</v>
      </c>
    </row>
    <row r="18" ht="15" customHeight="1" s="30">
      <c r="A18" s="58" t="n"/>
      <c r="B18" s="58" t="n"/>
      <c r="C18" s="58" t="n"/>
      <c r="D18" s="58" t="n"/>
      <c r="E18" s="58" t="n"/>
      <c r="F18" s="58" t="n"/>
      <c r="G18" s="58" t="n"/>
    </row>
    <row r="19" ht="15" customHeight="1" s="30">
      <c r="A19" s="39" t="inlineStr">
        <is>
          <t>TOTAL ASSETS</t>
        </is>
      </c>
      <c r="B19" s="40" t="n">
        <v>321195</v>
      </c>
      <c r="C19" s="40">
        <f>C10+C17</f>
        <v/>
      </c>
      <c r="D19" s="40" t="n">
        <v>462675</v>
      </c>
      <c r="E19" s="40">
        <f>E10+E17</f>
        <v/>
      </c>
      <c r="F19" s="40" t="n">
        <v>624889</v>
      </c>
      <c r="G19" s="40" t="n">
        <v>818042</v>
      </c>
    </row>
    <row r="20" ht="15" customHeight="1" s="30">
      <c r="A20" s="58" t="n"/>
      <c r="B20" s="58" t="n"/>
      <c r="C20" s="58" t="n"/>
      <c r="D20" s="58" t="n"/>
      <c r="E20" s="58" t="n"/>
      <c r="F20" s="58" t="n"/>
      <c r="G20" s="58" t="n"/>
    </row>
    <row r="21" ht="15" customHeight="1" s="30">
      <c r="A21" s="45" t="inlineStr">
        <is>
          <t>LIABILITIES</t>
        </is>
      </c>
      <c r="B21" s="47" t="n"/>
      <c r="C21" s="47" t="n"/>
      <c r="D21" s="47" t="n"/>
      <c r="E21" s="47" t="n"/>
      <c r="F21" s="47" t="n"/>
      <c r="G21" s="47" t="n"/>
    </row>
    <row r="22" ht="15" customHeight="1" s="30">
      <c r="A22" s="45" t="inlineStr">
        <is>
          <t>Current Liabilities</t>
        </is>
      </c>
      <c r="B22" s="47" t="n"/>
      <c r="C22" s="47" t="n"/>
      <c r="D22" s="47" t="n"/>
      <c r="E22" s="47" t="n"/>
      <c r="F22" s="47" t="n"/>
      <c r="G22" s="47" t="n"/>
    </row>
    <row r="23" ht="15" customHeight="1" s="30">
      <c r="A23" s="42" t="inlineStr">
        <is>
          <t>Accounts Payable</t>
        </is>
      </c>
      <c r="B23" s="43" t="n">
        <v>72539</v>
      </c>
      <c r="C23" s="43" t="n">
        <v>78664</v>
      </c>
      <c r="D23" s="43" t="n">
        <v>79600</v>
      </c>
      <c r="E23" s="43" t="n">
        <v>85248</v>
      </c>
      <c r="F23" s="43" t="n">
        <v>88251</v>
      </c>
      <c r="G23" s="43" t="n">
        <v>121909</v>
      </c>
    </row>
    <row r="24" ht="15" customHeight="1" s="30">
      <c r="A24" s="42" t="inlineStr">
        <is>
          <t>Accrued Expenses and Other</t>
        </is>
      </c>
      <c r="B24" s="43" t="n">
        <v>57683</v>
      </c>
      <c r="C24" s="43" t="n">
        <v>60720</v>
      </c>
      <c r="D24" s="43" t="n">
        <v>66166</v>
      </c>
      <c r="E24" s="43" t="n">
        <v>69456</v>
      </c>
      <c r="F24" s="43" t="n">
        <v>79303</v>
      </c>
      <c r="G24" s="43" t="n">
        <v>75520</v>
      </c>
    </row>
    <row r="25" ht="15" customHeight="1" s="30">
      <c r="A25" s="42" t="inlineStr">
        <is>
          <t>Unearned Revenue</t>
        </is>
      </c>
      <c r="B25" s="43" t="n">
        <v>12522</v>
      </c>
      <c r="C25" s="43" t="n">
        <v>14760</v>
      </c>
      <c r="D25" s="43" t="n">
        <v>17979</v>
      </c>
      <c r="E25" s="43" t="n">
        <v>18133</v>
      </c>
      <c r="F25" s="43" t="n">
        <v>22221</v>
      </c>
      <c r="G25" s="43" t="n">
        <v>20576</v>
      </c>
    </row>
    <row r="26" ht="15" customHeight="1" s="30">
      <c r="A26" s="39" t="inlineStr">
        <is>
          <t>Total Current Liabilities</t>
        </is>
      </c>
      <c r="B26" s="40" t="n">
        <v>142682</v>
      </c>
      <c r="C26" s="40">
        <f>SUM(C23:C25)</f>
        <v/>
      </c>
      <c r="D26" s="40">
        <f>SUM(D23:D25)</f>
        <v/>
      </c>
      <c r="E26" s="40">
        <f>SUM(E23:E25)</f>
        <v/>
      </c>
      <c r="F26" s="40" t="n">
        <v>189775</v>
      </c>
      <c r="G26" s="40" t="n">
        <v>218005</v>
      </c>
    </row>
    <row r="27" ht="15" customHeight="1" s="30">
      <c r="A27" s="58" t="n"/>
      <c r="B27" s="58" t="n"/>
      <c r="C27" s="58" t="n"/>
      <c r="D27" s="58" t="n"/>
      <c r="E27" s="58" t="n"/>
      <c r="F27" s="58" t="n"/>
      <c r="G27" s="58" t="n"/>
    </row>
    <row r="28" ht="15" customHeight="1" s="30">
      <c r="A28" s="45" t="inlineStr">
        <is>
          <t>Non-Current Liabilities</t>
        </is>
      </c>
      <c r="B28" s="47" t="n"/>
      <c r="C28" s="47" t="n"/>
      <c r="D28" s="47" t="n"/>
      <c r="E28" s="47" t="n"/>
      <c r="F28" s="47" t="n"/>
      <c r="G28" s="47" t="n"/>
    </row>
    <row r="29" ht="15" customHeight="1" s="30">
      <c r="A29" s="42" t="inlineStr">
        <is>
          <t>Long-Term Debt</t>
        </is>
      </c>
      <c r="B29" s="43" t="n">
        <v>31816</v>
      </c>
      <c r="C29" s="43" t="n">
        <v>48744</v>
      </c>
      <c r="D29" s="43" t="n">
        <v>67651</v>
      </c>
      <c r="E29" s="43" t="n">
        <v>58314</v>
      </c>
      <c r="F29" s="43" t="n">
        <v>58314</v>
      </c>
      <c r="G29" s="43" t="n">
        <v>65648</v>
      </c>
    </row>
    <row r="30" ht="15" customHeight="1" s="30">
      <c r="A30" s="42" t="inlineStr">
        <is>
          <t>Other Long-Term Liabilities</t>
        </is>
      </c>
      <c r="B30" s="43" t="n">
        <v>53335</v>
      </c>
      <c r="C30" s="43" t="n">
        <v>79356</v>
      </c>
      <c r="D30" s="43" t="n">
        <v>85267</v>
      </c>
      <c r="E30" s="43" t="n">
        <v>94847</v>
      </c>
      <c r="F30" s="43" t="n">
        <v>90831</v>
      </c>
      <c r="G30" s="43" t="n">
        <v>123324</v>
      </c>
    </row>
    <row r="31" ht="15" customHeight="1" s="30">
      <c r="A31" s="39" t="inlineStr">
        <is>
          <t>Total Non-Current Liabilities</t>
        </is>
      </c>
      <c r="B31" s="40">
        <f>B29+B30</f>
        <v/>
      </c>
      <c r="C31" s="40">
        <f>C29+C30</f>
        <v/>
      </c>
      <c r="D31" s="40">
        <f>D29+D30</f>
        <v/>
      </c>
      <c r="E31" s="40">
        <f>E29+E30</f>
        <v/>
      </c>
      <c r="F31" s="40" t="n">
        <v>149145</v>
      </c>
      <c r="G31" s="40" t="n">
        <v>188972</v>
      </c>
    </row>
    <row r="32" ht="15" customHeight="1" s="30">
      <c r="A32" s="58" t="n"/>
      <c r="B32" s="58" t="n"/>
      <c r="C32" s="58" t="n"/>
      <c r="D32" s="58" t="n"/>
      <c r="E32" s="58" t="n"/>
      <c r="F32" s="58" t="n"/>
      <c r="G32" s="58" t="n"/>
    </row>
    <row r="33" ht="15" customHeight="1" s="30">
      <c r="A33" s="39" t="inlineStr">
        <is>
          <t>TOTAL LIABILITIES</t>
        </is>
      </c>
      <c r="B33" s="40" t="n">
        <v>227793</v>
      </c>
      <c r="C33" s="40" t="n">
        <v>282300</v>
      </c>
      <c r="D33" s="40" t="n">
        <v>316630</v>
      </c>
      <c r="E33" s="40">
        <f>E26+E31</f>
        <v/>
      </c>
      <c r="F33" s="40" t="n">
        <v>338920</v>
      </c>
      <c r="G33" s="40" t="n">
        <v>406977</v>
      </c>
    </row>
    <row r="34" ht="15" customHeight="1" s="30">
      <c r="A34" s="58" t="n"/>
      <c r="B34" s="58" t="n"/>
      <c r="C34" s="58" t="n"/>
      <c r="D34" s="58" t="n"/>
      <c r="E34" s="58" t="n"/>
      <c r="F34" s="58" t="n"/>
      <c r="G34" s="58" t="n"/>
    </row>
    <row r="35" ht="15" customHeight="1" s="30">
      <c r="A35" s="45" t="inlineStr">
        <is>
          <t>STOCKHOLDERS EQUITY</t>
        </is>
      </c>
      <c r="B35" s="47" t="n"/>
      <c r="C35" s="47" t="n"/>
      <c r="D35" s="47" t="n"/>
      <c r="E35" s="47" t="n"/>
      <c r="F35" s="47" t="n"/>
      <c r="G35" s="47" t="n"/>
    </row>
    <row r="36" ht="15" customHeight="1" s="30">
      <c r="A36" s="42" t="inlineStr">
        <is>
          <t>Common Stock</t>
        </is>
      </c>
      <c r="B36" s="57" t="n">
        <v>5</v>
      </c>
      <c r="C36" s="57" t="n">
        <v>5</v>
      </c>
      <c r="D36" s="57" t="n">
        <v>5</v>
      </c>
      <c r="E36" s="57" t="n">
        <v>5</v>
      </c>
      <c r="F36" s="57" t="n">
        <v>5</v>
      </c>
      <c r="G36" s="57" t="n">
        <v>112</v>
      </c>
    </row>
    <row r="37" ht="15" customHeight="1" s="30">
      <c r="A37" s="42" t="inlineStr">
        <is>
          <t>Additional Paid-in Capital</t>
        </is>
      </c>
      <c r="B37" s="43" t="n">
        <v>55437</v>
      </c>
      <c r="C37" s="43" t="n">
        <v>75066</v>
      </c>
      <c r="D37" s="43" t="n">
        <v>89124</v>
      </c>
      <c r="E37" s="43" t="n">
        <v>103779</v>
      </c>
      <c r="F37" s="43" t="n">
        <v>122148</v>
      </c>
      <c r="G37" s="43" t="n">
        <v>132187</v>
      </c>
    </row>
    <row r="38" ht="15" customHeight="1" s="30">
      <c r="A38" s="42" t="inlineStr">
        <is>
          <t>Accumulated Other Comprehensive Loss</t>
        </is>
      </c>
      <c r="B38" s="57" t="n">
        <v>-986</v>
      </c>
      <c r="C38" s="57" t="n">
        <v>-180</v>
      </c>
      <c r="D38" s="43" t="n">
        <v>-2989</v>
      </c>
      <c r="E38" s="43" t="n">
        <v>-2357</v>
      </c>
      <c r="F38" s="43" t="n">
        <v>-2089</v>
      </c>
      <c r="G38" s="43" t="n">
        <v>28230</v>
      </c>
    </row>
    <row r="39" ht="15" customHeight="1" s="30">
      <c r="A39" s="42" t="inlineStr">
        <is>
          <t>Retained Earnings</t>
        </is>
      </c>
      <c r="B39" s="43" t="n">
        <v>58946</v>
      </c>
      <c r="C39" s="43" t="n">
        <v>62912</v>
      </c>
      <c r="D39" s="43" t="n">
        <v>59307</v>
      </c>
      <c r="E39" s="43" t="n">
        <v>100457</v>
      </c>
      <c r="F39" s="43" t="n">
        <v>165905</v>
      </c>
      <c r="G39" s="43" t="n">
        <v>250536</v>
      </c>
    </row>
    <row r="40" ht="15" customHeight="1" s="30">
      <c r="A40" s="39" t="inlineStr">
        <is>
          <t>TOTAL STOCKHOLDERS EQUITY</t>
        </is>
      </c>
      <c r="B40" s="40" t="n">
        <v>93402</v>
      </c>
      <c r="C40" s="40" t="n">
        <v>138255</v>
      </c>
      <c r="D40" s="40" t="n">
        <v>146045</v>
      </c>
      <c r="E40" s="40">
        <f>SUM(E36:E39)</f>
        <v/>
      </c>
      <c r="F40" s="40" t="n">
        <v>285969</v>
      </c>
      <c r="G40" s="40" t="n">
        <v>411065</v>
      </c>
    </row>
    <row r="41" ht="15" customHeight="1" s="30">
      <c r="A41" s="58" t="n"/>
      <c r="B41" s="58" t="n"/>
      <c r="C41" s="58" t="n"/>
      <c r="D41" s="58" t="n"/>
      <c r="E41" s="58" t="n"/>
      <c r="F41" s="58" t="n"/>
      <c r="G41" s="58" t="n"/>
    </row>
    <row r="42" ht="15" customHeight="1" s="30">
      <c r="A42" s="39" t="inlineStr">
        <is>
          <t>TOTAL LIABILITIES AND EQUITY</t>
        </is>
      </c>
      <c r="B42" s="40">
        <f>B33+B40</f>
        <v/>
      </c>
      <c r="C42" s="40">
        <f>C33+C40</f>
        <v/>
      </c>
      <c r="D42" s="40">
        <f>D33+D40</f>
        <v/>
      </c>
      <c r="E42" s="40" t="n">
        <v>527853</v>
      </c>
      <c r="F42" s="40" t="n">
        <v>624889</v>
      </c>
      <c r="G42" s="40" t="n">
        <v>818042</v>
      </c>
    </row>
    <row r="43" ht="15" customHeight="1" s="30">
      <c r="A43" s="58" t="n"/>
      <c r="B43" s="58" t="n"/>
      <c r="C43" s="58" t="n"/>
      <c r="D43" s="58" t="n"/>
      <c r="E43" s="58" t="n"/>
      <c r="F43" s="58" t="n"/>
      <c r="G43" s="58" t="n"/>
    </row>
    <row r="44" ht="15" customHeight="1" s="30">
      <c r="A44" s="45" t="inlineStr">
        <is>
          <t>Key Balance Sheet Metrics</t>
        </is>
      </c>
      <c r="B44" s="47" t="n"/>
      <c r="C44" s="47" t="n"/>
      <c r="D44" s="47" t="n"/>
      <c r="E44" s="47" t="n"/>
      <c r="F44" s="47" t="n"/>
      <c r="G44" s="47" t="n"/>
    </row>
    <row r="45" ht="15" customHeight="1" s="30">
      <c r="A45" s="42" t="inlineStr">
        <is>
          <t>Working Capital</t>
        </is>
      </c>
      <c r="B45" s="59">
        <f>B10-B26</f>
        <v/>
      </c>
      <c r="C45" s="59">
        <f>C10-C26</f>
        <v/>
      </c>
      <c r="D45" s="59">
        <f>D10-D26</f>
        <v/>
      </c>
      <c r="E45" s="59">
        <f>E10-E26</f>
        <v/>
      </c>
      <c r="F45" s="43" t="n">
        <v>26688</v>
      </c>
      <c r="G45" s="43" t="n">
        <v>11078</v>
      </c>
    </row>
    <row r="46" ht="15" customHeight="1" s="30">
      <c r="A46" s="39" t="inlineStr">
        <is>
          <t>Total Debt</t>
        </is>
      </c>
      <c r="B46" s="40">
        <f>B29</f>
        <v/>
      </c>
      <c r="C46" s="40">
        <f>C29</f>
        <v/>
      </c>
      <c r="D46" s="40">
        <f>D29</f>
        <v/>
      </c>
      <c r="E46" s="40">
        <f>E29</f>
        <v/>
      </c>
      <c r="F46" s="40" t="n">
        <v>58314</v>
      </c>
      <c r="G46" s="40" t="n">
        <v>65648</v>
      </c>
    </row>
    <row r="47" ht="15" customHeight="1" s="30">
      <c r="A47" s="42" t="inlineStr">
        <is>
          <t>Cash &amp; Equivalents</t>
        </is>
      </c>
      <c r="B47" s="59">
        <f>B4</f>
        <v/>
      </c>
      <c r="C47" s="59">
        <f>C4</f>
        <v/>
      </c>
      <c r="D47" s="59">
        <f>D4</f>
        <v/>
      </c>
      <c r="E47" s="59">
        <f>E4</f>
        <v/>
      </c>
      <c r="F47" s="43" t="n">
        <v>82312</v>
      </c>
      <c r="G47" s="43" t="n">
        <v>86810</v>
      </c>
    </row>
    <row r="48" ht="15" customHeight="1" s="30">
      <c r="A48" s="42" t="inlineStr">
        <is>
          <t>Net Debt</t>
        </is>
      </c>
      <c r="B48" s="59">
        <f>B46-B47</f>
        <v/>
      </c>
      <c r="C48" s="59">
        <f>C46-C47</f>
        <v/>
      </c>
      <c r="D48" s="59">
        <f>D46-D47</f>
        <v/>
      </c>
      <c r="E48" s="59">
        <f>E46-E47</f>
        <v/>
      </c>
      <c r="F48" s="43" t="n">
        <v>-23998</v>
      </c>
      <c r="G48" s="43" t="n">
        <v>-21162</v>
      </c>
    </row>
    <row r="49" ht="15" customHeight="1" s="30">
      <c r="A49" s="42" t="inlineStr">
        <is>
          <t>Book Value of Equity</t>
        </is>
      </c>
      <c r="B49" s="59">
        <f>B40</f>
        <v/>
      </c>
      <c r="C49" s="59">
        <f>C40</f>
        <v/>
      </c>
      <c r="D49" s="59">
        <f>D40</f>
        <v/>
      </c>
      <c r="E49" s="59">
        <f>E40</f>
        <v/>
      </c>
      <c r="F49" s="43" t="n">
        <v>285969</v>
      </c>
      <c r="G49" s="43" t="n">
        <v>411065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232F3E"/>
    <outlinePr summaryBelow="1" summaryRight="1"/>
    <pageSetUpPr fitToPage="0"/>
  </sheetPr>
  <dimension ref="A1:G4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1" activeCellId="0" sqref="B1"/>
    </sheetView>
  </sheetViews>
  <sheetFormatPr baseColWidth="8" defaultColWidth="8.83203125" defaultRowHeight="15" customHeight="0" zeroHeight="0" outlineLevelRow="0"/>
  <cols>
    <col width="46" customWidth="1" style="29" min="1" max="1"/>
    <col width="13" customWidth="1" style="29" min="2" max="7"/>
  </cols>
  <sheetData>
    <row r="1" ht="18" customHeight="1" s="30">
      <c r="A1" s="31" t="n"/>
      <c r="B1" s="32" t="n">
        <v>2020</v>
      </c>
      <c r="C1" s="31" t="n">
        <v>2021</v>
      </c>
      <c r="D1" s="31" t="n">
        <v>2022</v>
      </c>
      <c r="E1" s="31" t="n">
        <v>2023</v>
      </c>
      <c r="F1" s="31" t="n">
        <v>2024</v>
      </c>
      <c r="G1" s="31" t="n">
        <v>2025</v>
      </c>
    </row>
    <row r="2" ht="15" customHeight="1" s="30">
      <c r="A2" s="54" t="inlineStr">
        <is>
          <t>OPERATING ACTIVITIES</t>
        </is>
      </c>
      <c r="B2" s="54" t="n"/>
      <c r="C2" s="54" t="n"/>
      <c r="D2" s="54" t="n"/>
      <c r="E2" s="54" t="n"/>
      <c r="F2" s="54" t="n"/>
      <c r="G2" s="54" t="n"/>
    </row>
    <row r="3" ht="15" customHeight="1" s="30">
      <c r="A3" s="39" t="inlineStr">
        <is>
          <t>Net Income</t>
        </is>
      </c>
      <c r="B3" s="40" t="n">
        <v>21331</v>
      </c>
      <c r="C3" s="40" t="n">
        <v>33364</v>
      </c>
      <c r="D3" s="40" t="n">
        <v>-2722</v>
      </c>
      <c r="E3" s="40" t="n">
        <v>30425</v>
      </c>
      <c r="F3" s="40" t="n">
        <v>59248</v>
      </c>
      <c r="G3" s="40" t="n">
        <v>77670</v>
      </c>
    </row>
    <row r="4" ht="15" customHeight="1" s="30">
      <c r="A4" s="39" t="inlineStr">
        <is>
          <t>Adjustments to reconcile net income:</t>
        </is>
      </c>
      <c r="B4" s="39" t="n"/>
      <c r="C4" s="39" t="n"/>
      <c r="D4" s="39" t="n"/>
      <c r="E4" s="39" t="n"/>
      <c r="F4" s="39" t="n"/>
      <c r="G4" s="39" t="n"/>
    </row>
    <row r="5" ht="15" customHeight="1" s="30">
      <c r="A5" s="33" t="inlineStr">
        <is>
          <t>Depreciation and Amortization</t>
        </is>
      </c>
      <c r="B5" s="48" t="n">
        <v>25180</v>
      </c>
      <c r="C5" s="48" t="n">
        <v>34433</v>
      </c>
      <c r="D5" s="48" t="n">
        <v>41921</v>
      </c>
      <c r="E5" s="48" t="n">
        <v>48663</v>
      </c>
      <c r="F5" s="48" t="n">
        <v>52795</v>
      </c>
      <c r="G5" s="48" t="n">
        <v>65756</v>
      </c>
    </row>
    <row r="6" ht="15" customHeight="1" s="30">
      <c r="A6" s="42" t="inlineStr">
        <is>
          <t>Stock-Based Compensation</t>
        </is>
      </c>
      <c r="B6" s="43" t="n">
        <v>9208</v>
      </c>
      <c r="C6" s="43" t="n">
        <v>12757</v>
      </c>
      <c r="D6" s="43" t="n">
        <v>19621</v>
      </c>
      <c r="E6" s="43" t="n">
        <v>24023</v>
      </c>
      <c r="F6" s="43" t="n">
        <v>22011</v>
      </c>
      <c r="G6" s="43" t="n">
        <v>19467</v>
      </c>
    </row>
    <row r="7" ht="15" customHeight="1" s="30">
      <c r="A7" s="33" t="inlineStr">
        <is>
          <t>Other Operating Activities</t>
        </is>
      </c>
      <c r="B7" s="48" t="n">
        <v>-3136</v>
      </c>
      <c r="C7" s="48" t="n">
        <v>-14616</v>
      </c>
      <c r="D7" s="48" t="n">
        <v>8818</v>
      </c>
      <c r="E7" s="48" t="n">
        <v>-6624</v>
      </c>
      <c r="F7" s="48" t="n">
        <v>2012</v>
      </c>
      <c r="G7" s="48" t="n">
        <v>-3410</v>
      </c>
    </row>
    <row r="8" ht="15" customHeight="1" s="30">
      <c r="A8" s="45" t="inlineStr">
        <is>
          <t>Changes in Operating Assets and Liabilities:</t>
        </is>
      </c>
      <c r="B8" s="47" t="n"/>
      <c r="C8" s="47" t="n"/>
      <c r="D8" s="47" t="n"/>
      <c r="E8" s="47" t="n"/>
      <c r="F8" s="47" t="n"/>
      <c r="G8" s="47" t="n"/>
    </row>
    <row r="9" ht="15" customHeight="1" s="30">
      <c r="A9" s="33" t="inlineStr">
        <is>
          <t>Accounts Receivable</t>
        </is>
      </c>
      <c r="B9" s="48" t="n">
        <v>-8169</v>
      </c>
      <c r="C9" s="48" t="n">
        <v>-9145</v>
      </c>
      <c r="D9" s="48" t="n">
        <v>-8622</v>
      </c>
      <c r="E9" s="48" t="n">
        <v>-8348</v>
      </c>
      <c r="F9" s="48" t="n">
        <v>-3249</v>
      </c>
      <c r="G9" s="48" t="n">
        <v>-7333</v>
      </c>
    </row>
    <row r="10" ht="15" customHeight="1" s="30">
      <c r="A10" s="42" t="inlineStr">
        <is>
          <t>Inventories</t>
        </is>
      </c>
      <c r="B10" s="43" t="n">
        <v>-2849</v>
      </c>
      <c r="C10" s="43" t="n">
        <v>-9487</v>
      </c>
      <c r="D10" s="43" t="n">
        <v>-2592</v>
      </c>
      <c r="E10" s="43" t="n">
        <v>1449</v>
      </c>
      <c r="F10" s="43" t="n">
        <v>-1884</v>
      </c>
      <c r="G10" s="43" t="n">
        <v>-3002</v>
      </c>
    </row>
    <row r="11" ht="15" customHeight="1" s="30">
      <c r="A11" s="33" t="inlineStr">
        <is>
          <t>Accounts Payable</t>
        </is>
      </c>
      <c r="B11" s="48" t="n">
        <v>17480</v>
      </c>
      <c r="C11" s="48" t="n">
        <v>3602</v>
      </c>
      <c r="D11" s="48" t="n">
        <v>2945</v>
      </c>
      <c r="E11" s="48" t="n">
        <v>5473</v>
      </c>
      <c r="F11" s="48" t="n">
        <v>2972</v>
      </c>
      <c r="G11" s="48" t="n">
        <v>11231</v>
      </c>
    </row>
    <row r="12" ht="15" customHeight="1" s="30">
      <c r="A12" s="42" t="inlineStr">
        <is>
          <t>Other Operating Assets/Liabilities</t>
        </is>
      </c>
      <c r="B12" s="43" t="n">
        <v>9916</v>
      </c>
      <c r="C12" s="43" t="n">
        <v>-24581</v>
      </c>
      <c r="D12" s="43" t="n">
        <v>-11617</v>
      </c>
      <c r="E12" s="43" t="n">
        <v>-9115</v>
      </c>
      <c r="F12" s="43" t="n">
        <v>-17380</v>
      </c>
      <c r="G12" s="43" t="n">
        <v>-20865</v>
      </c>
    </row>
    <row r="13" ht="15" customHeight="1" s="30">
      <c r="A13" s="39" t="inlineStr">
        <is>
          <t>Net Cash from Operating Activities</t>
        </is>
      </c>
      <c r="B13" s="40" t="n">
        <v>66064</v>
      </c>
      <c r="C13" s="40" t="n">
        <v>46327</v>
      </c>
      <c r="D13" s="40" t="n">
        <v>46752</v>
      </c>
      <c r="E13" s="40" t="n">
        <v>84946</v>
      </c>
      <c r="F13" s="40" t="n">
        <v>115877</v>
      </c>
      <c r="G13" s="40" t="n">
        <v>139514</v>
      </c>
    </row>
    <row r="14" ht="15" customHeight="1" s="30">
      <c r="A14" s="35" t="n"/>
      <c r="B14" s="35" t="n"/>
      <c r="C14" s="35" t="n"/>
      <c r="D14" s="35" t="n"/>
      <c r="E14" s="35" t="n"/>
      <c r="F14" s="35" t="n"/>
      <c r="G14" s="35" t="n"/>
    </row>
    <row r="15" ht="15" customHeight="1" s="30">
      <c r="A15" s="45" t="inlineStr">
        <is>
          <t>INVESTING ACTIVITIES</t>
        </is>
      </c>
      <c r="B15" s="47" t="n"/>
      <c r="C15" s="47" t="n"/>
      <c r="D15" s="47" t="n"/>
      <c r="E15" s="47" t="n"/>
      <c r="F15" s="47" t="n"/>
      <c r="G15" s="47" t="n"/>
    </row>
    <row r="16" ht="15" customHeight="1" s="30">
      <c r="A16" s="33" t="inlineStr">
        <is>
          <t>Capital Expenditures (CapEx)</t>
        </is>
      </c>
      <c r="B16" s="48" t="n">
        <v>-40140</v>
      </c>
      <c r="C16" s="48" t="n">
        <v>-61053</v>
      </c>
      <c r="D16" s="48" t="n">
        <v>-63645</v>
      </c>
      <c r="E16" s="48" t="n">
        <v>-52729</v>
      </c>
      <c r="F16" s="48" t="n">
        <v>-82999</v>
      </c>
      <c r="G16" s="48" t="n">
        <v>-131819</v>
      </c>
    </row>
    <row r="17" ht="15" customHeight="1" s="30">
      <c r="A17" s="42" t="inlineStr">
        <is>
          <t>Proceeds from Property and Equipment</t>
        </is>
      </c>
      <c r="B17" s="43" t="n">
        <v>5096</v>
      </c>
      <c r="C17" s="43" t="n">
        <v>5657</v>
      </c>
      <c r="D17" s="43" t="n">
        <v>5324</v>
      </c>
      <c r="E17" s="43" t="n">
        <v>4596</v>
      </c>
      <c r="F17" s="43" t="n">
        <v>5341</v>
      </c>
      <c r="G17" s="43" t="n">
        <v>3499</v>
      </c>
    </row>
    <row r="18" ht="15" customHeight="1" s="30">
      <c r="A18" s="33" t="inlineStr">
        <is>
          <t>Acquisitions and Investments</t>
        </is>
      </c>
      <c r="B18" s="48" t="n">
        <v>-2325</v>
      </c>
      <c r="C18" s="48" t="n">
        <v>-1985</v>
      </c>
      <c r="D18" s="48" t="n">
        <v>-8316</v>
      </c>
      <c r="E18" s="48" t="n">
        <v>-5839</v>
      </c>
      <c r="F18" s="48" t="n">
        <v>-7082</v>
      </c>
      <c r="G18" s="48" t="n">
        <v>-3841</v>
      </c>
    </row>
    <row r="19" ht="15" customHeight="1" s="30">
      <c r="A19" s="42" t="inlineStr">
        <is>
          <t>Purchases of Marketable Securities</t>
        </is>
      </c>
      <c r="B19" s="43" t="n">
        <v>-22242</v>
      </c>
      <c r="C19" s="43" t="n">
        <v>-60157</v>
      </c>
      <c r="D19" s="43" t="n">
        <v>-2565</v>
      </c>
      <c r="E19" s="43" t="n">
        <v>-1488</v>
      </c>
      <c r="F19" s="43" t="n">
        <v>-26005</v>
      </c>
      <c r="G19" s="43" t="n">
        <v>-54770</v>
      </c>
    </row>
    <row r="20" ht="15" customHeight="1" s="30">
      <c r="A20" s="33" t="inlineStr">
        <is>
          <t>Sales/Maturities of Marketable Securities</t>
        </is>
      </c>
      <c r="B20" s="48" t="n">
        <v>27157</v>
      </c>
      <c r="C20" s="48" t="n">
        <v>59384</v>
      </c>
      <c r="D20" s="48" t="n">
        <v>31601</v>
      </c>
      <c r="E20" s="48" t="n">
        <v>5627</v>
      </c>
      <c r="F20" s="48" t="n">
        <v>16403</v>
      </c>
      <c r="G20" s="48" t="n">
        <v>44386</v>
      </c>
    </row>
    <row r="21" ht="15" customHeight="1" s="30">
      <c r="A21" s="39" t="inlineStr">
        <is>
          <t>Net Cash from Investing Activities</t>
        </is>
      </c>
      <c r="B21" s="40">
        <f>SUM(B16:B20)</f>
        <v/>
      </c>
      <c r="C21" s="40">
        <f>SUM(C16:C20)</f>
        <v/>
      </c>
      <c r="D21" s="40">
        <f>SUM(D16:D20)</f>
        <v/>
      </c>
      <c r="E21" s="40">
        <f>SUM(E16:E20)</f>
        <v/>
      </c>
      <c r="F21" s="40" t="n">
        <v>-94342</v>
      </c>
      <c r="G21" s="40" t="n">
        <v>-142545</v>
      </c>
    </row>
    <row r="22" ht="15" customHeight="1" s="30">
      <c r="A22" s="35" t="n"/>
      <c r="B22" s="35" t="n"/>
      <c r="C22" s="35" t="n"/>
      <c r="D22" s="35" t="n"/>
      <c r="E22" s="35" t="n"/>
      <c r="F22" s="35" t="n"/>
      <c r="G22" s="35" t="n"/>
    </row>
    <row r="23" ht="15" customHeight="1" s="30">
      <c r="A23" s="45" t="inlineStr">
        <is>
          <t>FINANCING ACTIVITIES</t>
        </is>
      </c>
      <c r="B23" s="47" t="n"/>
      <c r="C23" s="47" t="n"/>
      <c r="D23" s="47" t="n"/>
      <c r="E23" s="47" t="n"/>
      <c r="F23" s="47" t="n"/>
      <c r="G23" s="47" t="n"/>
    </row>
    <row r="24" ht="15" customHeight="1" s="30">
      <c r="A24" s="33" t="inlineStr">
        <is>
          <t>Proceeds from Debt</t>
        </is>
      </c>
      <c r="B24" s="48" t="n">
        <v>17321</v>
      </c>
      <c r="C24" s="48" t="n">
        <v>26959</v>
      </c>
      <c r="D24" s="48" t="n">
        <v>62719</v>
      </c>
      <c r="E24" s="48" t="n">
        <v>18129</v>
      </c>
      <c r="F24" s="48" t="n">
        <v>5142</v>
      </c>
      <c r="G24" s="48" t="n">
        <v>24993</v>
      </c>
    </row>
    <row r="25" ht="15" customHeight="1" s="30">
      <c r="A25" s="42" t="inlineStr">
        <is>
          <t>Repayments of Debt</t>
        </is>
      </c>
      <c r="B25" s="43" t="n">
        <v>-18425</v>
      </c>
      <c r="C25" s="43" t="n">
        <v>-20668</v>
      </c>
      <c r="D25" s="43" t="n">
        <v>-47001</v>
      </c>
      <c r="E25" s="43" t="n">
        <v>-34008</v>
      </c>
      <c r="F25" s="43" t="n">
        <v>-16954</v>
      </c>
      <c r="G25" s="43" t="n">
        <v>-13447</v>
      </c>
    </row>
    <row r="26" ht="15" customHeight="1" s="30">
      <c r="A26" s="33" t="inlineStr">
        <is>
          <t>Net Debt Issued/(Repaid)</t>
        </is>
      </c>
      <c r="B26" s="60">
        <f>B24+B25</f>
        <v/>
      </c>
      <c r="C26" s="60">
        <f>C24+C25</f>
        <v/>
      </c>
      <c r="D26" s="60">
        <f>D24+D25</f>
        <v/>
      </c>
      <c r="E26" s="60">
        <f>E24+E25</f>
        <v/>
      </c>
      <c r="F26" s="48" t="n">
        <v>-11812</v>
      </c>
      <c r="G26" s="48" t="n">
        <v>11546</v>
      </c>
    </row>
    <row r="27" ht="15" customHeight="1" s="30">
      <c r="A27" s="42" t="inlineStr">
        <is>
          <t>Principal Repayments of Finance Leases</t>
        </is>
      </c>
      <c r="B27" s="43" t="n">
        <v>-10918</v>
      </c>
      <c r="C27" s="43" t="n">
        <v>-11163</v>
      </c>
      <c r="D27" s="43" t="n">
        <v>-7941</v>
      </c>
      <c r="E27" s="43" t="n">
        <v>-4384</v>
      </c>
      <c r="F27" s="43" t="n">
        <v>-2043</v>
      </c>
      <c r="G27" s="43" t="n">
        <v>-1557</v>
      </c>
    </row>
    <row r="28" ht="15" customHeight="1" s="30">
      <c r="A28" s="33" t="inlineStr">
        <is>
          <t>Other Financing Activities</t>
        </is>
      </c>
      <c r="B28" s="51" t="n">
        <v>-82</v>
      </c>
      <c r="C28" s="51" t="n">
        <v>291</v>
      </c>
      <c r="D28" s="51" t="n">
        <v>-248</v>
      </c>
      <c r="E28" s="51" t="n">
        <v>-271</v>
      </c>
      <c r="F28" s="51" t="n">
        <v>-669</v>
      </c>
      <c r="G28" s="51" t="n">
        <v>-328</v>
      </c>
    </row>
    <row r="29" ht="15" customHeight="1" s="30">
      <c r="A29" s="39" t="inlineStr">
        <is>
          <t>Net Cash from Financing Activities</t>
        </is>
      </c>
      <c r="B29" s="40" t="n">
        <v>-1104</v>
      </c>
      <c r="C29" s="40" t="n">
        <v>6291</v>
      </c>
      <c r="D29" s="40" t="n">
        <v>9718</v>
      </c>
      <c r="E29" s="40" t="n">
        <v>-15879</v>
      </c>
      <c r="F29" s="40" t="n">
        <v>-11812</v>
      </c>
      <c r="G29" s="40" t="n">
        <v>9661</v>
      </c>
    </row>
    <row r="30" ht="15" customHeight="1" s="30">
      <c r="A30" s="35" t="n"/>
      <c r="B30" s="35" t="n"/>
      <c r="C30" s="35" t="n"/>
      <c r="D30" s="35" t="n"/>
      <c r="E30" s="35" t="n"/>
      <c r="F30" s="35" t="n"/>
      <c r="G30" s="35" t="n"/>
    </row>
    <row r="31" ht="15" customHeight="1" s="30">
      <c r="A31" s="33" t="inlineStr">
        <is>
          <t>Effect of Exchange Rate Changes</t>
        </is>
      </c>
      <c r="B31" s="51" t="n">
        <v>618</v>
      </c>
      <c r="C31" s="51" t="n">
        <v>-364</v>
      </c>
      <c r="D31" s="48" t="n">
        <v>-1093</v>
      </c>
      <c r="E31" s="51" t="n">
        <v>403</v>
      </c>
      <c r="F31" s="48" t="n">
        <v>-1301</v>
      </c>
      <c r="G31" s="48" t="n">
        <v>1164</v>
      </c>
    </row>
    <row r="32" ht="15" customHeight="1" s="30">
      <c r="A32" s="35" t="n"/>
      <c r="B32" s="35" t="n"/>
      <c r="C32" s="35" t="n"/>
      <c r="D32" s="35" t="n"/>
      <c r="E32" s="35" t="n"/>
      <c r="F32" s="35" t="n"/>
      <c r="G32" s="35" t="n"/>
    </row>
    <row r="33" ht="15" customHeight="1" s="30">
      <c r="A33" s="39" t="inlineStr">
        <is>
          <t>Net Change in Cash</t>
        </is>
      </c>
      <c r="B33" s="40" t="n">
        <v>5967</v>
      </c>
      <c r="C33" s="40">
        <f>C13+C21+C29+C31</f>
        <v/>
      </c>
      <c r="D33" s="40">
        <f>D13+D21+D29+D31</f>
        <v/>
      </c>
      <c r="E33" s="40">
        <f>E13+E21+E29+E31</f>
        <v/>
      </c>
      <c r="F33" s="40" t="n">
        <v>8422</v>
      </c>
      <c r="G33" s="40" t="n">
        <v>4498</v>
      </c>
    </row>
    <row r="34" ht="15" customHeight="1" s="30">
      <c r="A34" s="33" t="inlineStr">
        <is>
          <t>Cash at Beginning of Period</t>
        </is>
      </c>
      <c r="B34" s="48" t="n">
        <v>36155</v>
      </c>
      <c r="C34" s="60">
        <f>B35</f>
        <v/>
      </c>
      <c r="D34" s="60">
        <f>C35</f>
        <v/>
      </c>
      <c r="E34" s="60">
        <f>D35</f>
        <v/>
      </c>
      <c r="F34" s="48" t="n">
        <v>73890</v>
      </c>
      <c r="G34" s="48" t="n">
        <v>82312</v>
      </c>
    </row>
    <row r="35" ht="15" customHeight="1" s="30">
      <c r="A35" s="42" t="inlineStr">
        <is>
          <t>Cash at End of Period</t>
        </is>
      </c>
      <c r="B35" s="59">
        <f>B34+B33</f>
        <v/>
      </c>
      <c r="C35" s="43" t="n">
        <v>36477</v>
      </c>
      <c r="D35" s="59">
        <f>D34+D33</f>
        <v/>
      </c>
      <c r="E35" s="59">
        <f>E34+E33</f>
        <v/>
      </c>
      <c r="F35" s="43" t="n">
        <v>82312</v>
      </c>
      <c r="G35" s="43" t="n">
        <v>86810</v>
      </c>
    </row>
    <row r="36" ht="15" customHeight="1" s="30">
      <c r="A36" s="35" t="n"/>
      <c r="B36" s="35" t="n"/>
      <c r="C36" s="35" t="n"/>
      <c r="D36" s="35" t="n"/>
      <c r="E36" s="35" t="n"/>
      <c r="F36" s="35" t="n"/>
      <c r="G36" s="35" t="n"/>
    </row>
    <row r="37" ht="15" customHeight="1" s="30">
      <c r="A37" s="45" t="inlineStr">
        <is>
          <t>KEY CASH FLOW METRICS</t>
        </is>
      </c>
      <c r="B37" s="47" t="n"/>
      <c r="C37" s="47" t="n"/>
      <c r="D37" s="47" t="n"/>
      <c r="E37" s="47" t="n"/>
      <c r="F37" s="47" t="n"/>
      <c r="G37" s="47" t="n"/>
    </row>
    <row r="38" ht="15" customHeight="1" s="30">
      <c r="A38" s="42" t="inlineStr">
        <is>
          <t>Operating Cash Flow</t>
        </is>
      </c>
      <c r="B38" s="59">
        <f>B13</f>
        <v/>
      </c>
      <c r="C38" s="59">
        <f>C13</f>
        <v/>
      </c>
      <c r="D38" s="59">
        <f>D13</f>
        <v/>
      </c>
      <c r="E38" s="59">
        <f>E13</f>
        <v/>
      </c>
      <c r="F38" s="43" t="n">
        <v>115877</v>
      </c>
      <c r="G38" s="43" t="n">
        <v>139514</v>
      </c>
    </row>
    <row r="39" ht="15" customHeight="1" s="30">
      <c r="A39" s="42" t="inlineStr">
        <is>
          <t>Capital Expenditures</t>
        </is>
      </c>
      <c r="B39" s="59">
        <f>B16</f>
        <v/>
      </c>
      <c r="C39" s="59">
        <f>C16</f>
        <v/>
      </c>
      <c r="D39" s="59">
        <f>D16</f>
        <v/>
      </c>
      <c r="E39" s="59">
        <f>E16</f>
        <v/>
      </c>
      <c r="F39" s="43" t="n">
        <v>-82999</v>
      </c>
      <c r="G39" s="43" t="n">
        <v>-131819</v>
      </c>
    </row>
    <row r="40" ht="15" customHeight="1" s="30">
      <c r="A40" s="39" t="inlineStr">
        <is>
          <t>Free Cash Flow (OCF - CapEx)</t>
        </is>
      </c>
      <c r="B40" s="40">
        <f>B38+B39</f>
        <v/>
      </c>
      <c r="C40" s="40">
        <f>C38+C39</f>
        <v/>
      </c>
      <c r="D40" s="40">
        <f>D38+D39</f>
        <v/>
      </c>
      <c r="E40" s="40">
        <f>E38+E39</f>
        <v/>
      </c>
      <c r="F40" s="40" t="n">
        <v>32878</v>
      </c>
      <c r="G40" s="40" t="n">
        <v>7695</v>
      </c>
    </row>
    <row r="41" ht="15" customHeight="1" s="30">
      <c r="A41" s="42" t="inlineStr">
        <is>
          <t>FCF Margin %</t>
        </is>
      </c>
      <c r="B41" s="61">
        <f>B40/'Income Statement'!B3</f>
        <v/>
      </c>
      <c r="C41" s="61">
        <f>C40/'Income Statement'!C3</f>
        <v/>
      </c>
      <c r="D41" s="61">
        <f>D40/'Income Statement'!D3</f>
        <v/>
      </c>
      <c r="E41" s="61">
        <f>E40/'Income Statement'!E3</f>
        <v/>
      </c>
      <c r="F41" s="53" t="n">
        <v>0.052</v>
      </c>
      <c r="G41" s="53" t="n">
        <v>0.0107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tabColor rgb="00232F3E"/>
    <outlinePr summaryBelow="1" summaryRight="1"/>
    <pageSetUpPr/>
  </sheetPr>
  <dimension ref="A1:D18"/>
  <sheetViews>
    <sheetView showGridLines="0" workbookViewId="0">
      <selection activeCell="A1" sqref="A1"/>
    </sheetView>
  </sheetViews>
  <sheetFormatPr baseColWidth="8" defaultRowHeight="15"/>
  <cols>
    <col width="52" customWidth="1" style="30" min="1" max="1"/>
    <col width="14" customWidth="1" style="30" min="2" max="2"/>
    <col width="14" customWidth="1" style="30" min="3" max="3"/>
    <col width="14" customWidth="1" style="30" min="4" max="4"/>
  </cols>
  <sheetData>
    <row r="1" ht="24" customHeight="1" s="30">
      <c r="A1" s="62" t="inlineStr">
        <is>
          <t>Amazon — Peer Comparison (Comparable Company Analysis)</t>
        </is>
      </c>
    </row>
    <row r="2">
      <c r="A2" s="63" t="inlineStr">
        <is>
          <t>Researched Jun 2026 · update with live data before use</t>
        </is>
      </c>
    </row>
    <row r="4">
      <c r="A4" s="64" t="inlineStr">
        <is>
          <t>Company</t>
        </is>
      </c>
      <c r="B4" s="65" t="inlineStr">
        <is>
          <t>Price ($)</t>
        </is>
      </c>
      <c r="C4" s="65" t="inlineStr">
        <is>
          <t>EPS ($)</t>
        </is>
      </c>
      <c r="D4" s="65" t="inlineStr">
        <is>
          <t>P/E (x)</t>
        </is>
      </c>
    </row>
    <row r="5">
      <c r="A5" s="66" t="inlineStr">
        <is>
          <t>Amazon ★</t>
        </is>
      </c>
      <c r="B5" s="67" t="n">
        <v>241.7</v>
      </c>
      <c r="C5" s="67" t="n">
        <v>8.49</v>
      </c>
      <c r="D5" s="68">
        <f>B5/C5</f>
        <v/>
      </c>
    </row>
    <row r="6">
      <c r="A6" s="69" t="inlineStr">
        <is>
          <t>Microsoft</t>
        </is>
      </c>
      <c r="B6" s="70" t="n">
        <v>373.02</v>
      </c>
      <c r="C6" s="70" t="n">
        <v>16.86</v>
      </c>
      <c r="D6" s="71">
        <f>B6/C6</f>
        <v/>
      </c>
    </row>
    <row r="7">
      <c r="A7" s="72" t="inlineStr">
        <is>
          <t>Alphabet</t>
        </is>
      </c>
      <c r="B7" s="73" t="n">
        <v>357.37</v>
      </c>
      <c r="C7" s="73" t="n">
        <v>13.24</v>
      </c>
      <c r="D7" s="74">
        <f>B7/C7</f>
        <v/>
      </c>
    </row>
    <row r="8">
      <c r="A8" s="69" t="inlineStr">
        <is>
          <t>Meta Platforms</t>
        </is>
      </c>
      <c r="B8" s="70" t="n">
        <v>550.25</v>
      </c>
      <c r="C8" s="70" t="n">
        <v>27.95</v>
      </c>
      <c r="D8" s="71">
        <f>B8/C8</f>
        <v/>
      </c>
    </row>
    <row r="10">
      <c r="A10" s="75" t="inlineStr">
        <is>
          <t>COMPARABLE-COMPANY SUMMARY</t>
        </is>
      </c>
      <c r="B10" s="76" t="n"/>
      <c r="C10" s="76" t="n"/>
      <c r="D10" s="77" t="n"/>
    </row>
    <row r="11">
      <c r="A11" s="66" t="inlineStr">
        <is>
          <t>Peer median P/E (x)</t>
        </is>
      </c>
      <c r="D11" s="74">
        <f>MEDIAN(D6:D8)</f>
        <v/>
      </c>
    </row>
    <row r="12">
      <c r="A12" s="66" t="inlineStr">
        <is>
          <t>Amazon P/E premium / (discount) to peers</t>
        </is>
      </c>
      <c r="D12" s="78">
        <f>D5/D11-1</f>
        <v/>
      </c>
    </row>
    <row r="13">
      <c r="A13" s="66" t="inlineStr">
        <is>
          <t>Comps-implied value — peer median P/E × EPS ($)</t>
        </is>
      </c>
      <c r="D13" s="73">
        <f>D11*C5</f>
        <v/>
      </c>
    </row>
    <row r="14">
      <c r="A14" s="66" t="inlineStr">
        <is>
          <t>Comps-implied vs current price</t>
        </is>
      </c>
      <c r="D14" s="78">
        <f>D13/B5-1</f>
        <v/>
      </c>
    </row>
    <row r="16">
      <c r="A16" s="79" t="inlineStr">
        <is>
          <t>Note: A single P/E understates Amazon: AWS and advertising earn far higher margins than the blended figure implies. Value Amazon sum-of-the-parts; comps are directional only.</t>
        </is>
      </c>
    </row>
    <row r="17"/>
    <row r="18"/>
  </sheetData>
  <mergeCells count="4">
    <mergeCell ref="A1:D1"/>
    <mergeCell ref="A10:D10"/>
    <mergeCell ref="A16:D18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2026-03-07T15:22:25Z</dcterms:created>
  <dcterms:modified xmlns:dcterms="http://purl.org/dc/terms/" xmlns:xsi="http://www.w3.org/2001/XMLSchema-instance" xsi:type="dcterms:W3CDTF">2026-07-05T03:55:18Z</dcterms:modified>
  <cp:lastModifiedBy>Debjit Mukherjee</cp:lastModifiedBy>
  <cp:revision>0</cp:revision>
</cp:coreProperties>
</file>