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0">'Cover'!$A$1:$F$29</definedName>
    <definedName name="_xlnm.Print_Area" localSheetId="1">'Assumptions'!$A$1:$J$28</definedName>
    <definedName name="_xlnm.Print_Area" localSheetId="2">'Historical'!$A$1:$J$42</definedName>
    <definedName name="_xlnm.Print_Area" localSheetId="3">'Forecast'!$A$1:$H$16</definedName>
    <definedName name="_xlnm.Print_Area" localSheetId="4">'DCF'!$A$1:$H$30</definedName>
    <definedName name="_xlnm.Print_Area" localSheetId="5">'Ratios'!$A$1:$J$14</definedName>
    <definedName name="_xlnm.Print_Area" localSheetId="6">'Peer Comps'!$A$1:$G$37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00"/>
    <numFmt numFmtId="167" formatCode="0.00\x"/>
    <numFmt numFmtId="168" formatCode="0.0\x"/>
    <numFmt numFmtId="169" formatCode="0.0"/>
    <numFmt numFmtId="170" formatCode="0.0%"/>
    <numFmt numFmtId="171" formatCode="#,##0;(#,##0)"/>
  </numFmts>
  <fonts count="30">
    <font>
      <name val="Calibri"/>
      <charset val="1"/>
      <family val="2"/>
      <color theme="1"/>
      <sz val="11"/>
    </font>
    <font>
      <name val="Arial"/>
      <family val="2"/>
      <b val="1"/>
      <color rgb="FFFFFFFF"/>
      <sz val="24"/>
    </font>
    <font>
      <name val="Arial"/>
      <family val="2"/>
      <color rgb="FFD9E2F2"/>
      <sz val="11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008000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color rgb="FF008000"/>
      <sz val="10"/>
    </font>
    <font>
      <name val="Arial"/>
      <family val="2"/>
      <b val="1"/>
      <color rgb="FF0000FF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.5"/>
    </font>
    <font>
      <name val="Calibri"/>
      <family val="2"/>
      <b val="1"/>
      <color rgb="FF000000"/>
      <sz val="10.5"/>
    </font>
    <font>
      <name val="Calibri"/>
      <family val="2"/>
      <color rgb="FF000000"/>
      <sz val="10.5"/>
    </font>
    <font>
      <name val="Calibri"/>
      <family val="2"/>
      <i val="1"/>
      <color rgb="FF000000"/>
      <sz val="9.5"/>
    </font>
    <font>
      <name val="Arial"/>
      <b val="1"/>
      <color rgb="FFFFFFFF"/>
      <sz val="12"/>
    </font>
    <font>
      <name val="Arial"/>
      <b val="1"/>
      <color rgb="FFFFFFFF"/>
      <sz val="24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1F1F1F"/>
      <sz val="10"/>
    </font>
    <font>
      <name val="Arial"/>
      <i val="1"/>
      <color rgb="FF595959"/>
      <sz val="10"/>
    </font>
    <font>
      <name val="Arial"/>
      <b val="1"/>
      <color rgb="FF008000"/>
      <sz val="10"/>
    </font>
    <font>
      <name val="Arial"/>
      <b val="1"/>
      <color rgb="FF1A237E"/>
      <sz val="10"/>
    </font>
    <font>
      <name val="Arial"/>
      <b val="1"/>
      <color rgb="FFFFFFFF"/>
      <sz val="14"/>
    </font>
    <font>
      <name val="Arial"/>
      <color rgb="FF0000FF"/>
      <sz val="10"/>
    </font>
    <font>
      <name val="Arial"/>
      <b val="1"/>
      <color rgb="FF1F1F1F"/>
      <sz val="10"/>
    </font>
    <font>
      <name val="Arial"/>
      <color rgb="FF008000"/>
      <sz val="10"/>
    </font>
    <font>
      <name val="Arial"/>
      <b val="1"/>
      <color rgb="FF0000FF"/>
      <sz val="10"/>
    </font>
    <font>
      <name val="Arial"/>
      <i val="1"/>
      <color rgb="FF1F1F1F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D9E2F2"/>
        <bgColor rgb="FFF2F6FB"/>
      </patternFill>
    </fill>
    <fill>
      <patternFill patternType="solid">
        <fgColor rgb="FFFFF2CC"/>
        <bgColor rgb="FFF2F6FB"/>
      </patternFill>
    </fill>
    <fill>
      <patternFill patternType="solid">
        <fgColor rgb="FFFFFF00"/>
        <bgColor rgb="FFFFFF00"/>
      </patternFill>
    </fill>
    <fill>
      <patternFill patternType="solid">
        <fgColor rgb="FFF2F6FB"/>
        <bgColor rgb="FFFFFFFF"/>
      </patternFill>
    </fill>
    <fill>
      <patternFill patternType="solid">
        <fgColor rgb="FF1B1F6B"/>
      </patternFill>
    </fill>
    <fill>
      <patternFill patternType="solid">
        <fgColor rgb="FF3A3F8F"/>
      </patternFill>
    </fill>
    <fill>
      <patternFill patternType="solid">
        <fgColor rgb="FFECEDF6"/>
      </patternFill>
    </fill>
    <fill>
      <patternFill patternType="solid">
        <fgColor rgb="FF1A237E"/>
        <bgColor rgb="FF1A237E"/>
      </patternFill>
    </fill>
    <fill>
      <patternFill patternType="solid">
        <fgColor rgb="FF3949AB"/>
        <bgColor rgb="FF3949AB"/>
      </patternFill>
    </fill>
    <fill>
      <patternFill patternType="solid">
        <fgColor rgb="FFE8EAF6"/>
        <bgColor rgb="FFE8EAF6"/>
      </patternFill>
    </fill>
    <fill>
      <patternFill patternType="solid">
        <fgColor rgb="FFD5DAF0"/>
        <bgColor rgb="FFD5DAF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864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1A237E"/>
      </top>
      <bottom style="thin">
        <color rgb="FF1A237E"/>
      </bottom>
    </border>
    <border>
      <left style="thin">
        <color rgb="FFDDDDDD"/>
      </left>
      <right style="thin">
        <color rgb="FFDDDDDD"/>
      </right>
      <top style="thin">
        <color rgb="FF1A237E"/>
      </top>
      <bottom style="thin">
        <color rgb="FF1A237E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4" borderId="1" pivotButton="0" quotePrefix="0" xfId="0"/>
    <xf numFmtId="4" fontId="6" fillId="0" borderId="1" pivotButton="0" quotePrefix="0" xfId="0"/>
    <xf numFmtId="164" fontId="6" fillId="0" borderId="1" pivotButton="0" quotePrefix="0" xfId="0"/>
    <xf numFmtId="4" fontId="6" fillId="3" borderId="1" pivotButton="0" quotePrefix="0" xfId="0"/>
    <xf numFmtId="165" fontId="6" fillId="3" borderId="1" pivotButton="0" quotePrefix="0" xfId="0"/>
    <xf numFmtId="0" fontId="6" fillId="3" borderId="1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7" borderId="2" pivotButton="0" quotePrefix="0" xfId="0"/>
    <xf numFmtId="0" fontId="0" fillId="0" borderId="2" pivotButton="0" quotePrefix="0" xfId="0"/>
    <xf numFmtId="0" fontId="11" fillId="8" borderId="3" applyAlignment="1" pivotButton="0" quotePrefix="0" xfId="0">
      <alignment horizontal="left" vertical="center" indent="1"/>
    </xf>
    <xf numFmtId="0" fontId="0" fillId="8" borderId="3" pivotButton="0" quotePrefix="0" xfId="0"/>
    <xf numFmtId="0" fontId="0" fillId="3" borderId="3" pivotButton="0" quotePrefix="0" xfId="0"/>
    <xf numFmtId="0" fontId="12" fillId="9" borderId="3" pivotButton="0" quotePrefix="0" xfId="0"/>
    <xf numFmtId="0" fontId="0" fillId="9" borderId="3" pivotButton="0" quotePrefix="0" xfId="0"/>
    <xf numFmtId="0" fontId="5" fillId="0" borderId="3" pivotButton="0" quotePrefix="0" xfId="0"/>
    <xf numFmtId="4" fontId="7" fillId="5" borderId="3" pivotButton="0" quotePrefix="0" xfId="0"/>
    <xf numFmtId="0" fontId="0" fillId="0" borderId="3" pivotButton="0" quotePrefix="0" xfId="0"/>
    <xf numFmtId="0" fontId="5" fillId="10" borderId="3" pivotButton="0" quotePrefix="0" xfId="0"/>
    <xf numFmtId="0" fontId="0" fillId="10" borderId="3" pivotButton="0" quotePrefix="0" xfId="0"/>
    <xf numFmtId="164" fontId="5" fillId="0" borderId="3" pivotButton="0" quotePrefix="0" xfId="0"/>
    <xf numFmtId="164" fontId="7" fillId="5" borderId="3" pivotButton="0" quotePrefix="0" xfId="0"/>
    <xf numFmtId="0" fontId="8" fillId="0" borderId="3" pivotButton="0" quotePrefix="0" xfId="0"/>
    <xf numFmtId="165" fontId="7" fillId="5" borderId="3" pivotButton="0" quotePrefix="0" xfId="0"/>
    <xf numFmtId="0" fontId="8" fillId="10" borderId="3" pivotButton="0" quotePrefix="0" xfId="0"/>
    <xf numFmtId="165" fontId="8" fillId="10" borderId="3" pivotButton="0" quotePrefix="0" xfId="0"/>
    <xf numFmtId="165" fontId="8" fillId="0" borderId="3" pivotButton="0" quotePrefix="0" xfId="0"/>
    <xf numFmtId="165" fontId="7" fillId="6" borderId="3" pivotButton="0" quotePrefix="0" xfId="0"/>
    <xf numFmtId="0" fontId="3" fillId="0" borderId="3" pivotButton="0" quotePrefix="0" xfId="0"/>
    <xf numFmtId="0" fontId="7" fillId="5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2" fillId="8" borderId="3" applyAlignment="1" pivotButton="0" quotePrefix="0" xfId="0">
      <alignment horizontal="left" vertical="center"/>
    </xf>
    <xf numFmtId="0" fontId="12" fillId="8" borderId="3" applyAlignment="1" pivotButton="0" quotePrefix="0" xfId="0">
      <alignment horizontal="center" vertical="center"/>
    </xf>
    <xf numFmtId="164" fontId="7" fillId="0" borderId="3" pivotButton="0" quotePrefix="0" xfId="0"/>
    <xf numFmtId="0" fontId="5" fillId="7" borderId="3" pivotButton="0" quotePrefix="0" xfId="0"/>
    <xf numFmtId="0" fontId="0" fillId="7" borderId="3" pivotButton="0" quotePrefix="0" xfId="0"/>
    <xf numFmtId="165" fontId="5" fillId="7" borderId="3" pivotButton="0" quotePrefix="0" xfId="0"/>
    <xf numFmtId="0" fontId="8" fillId="7" borderId="3" pivotButton="0" quotePrefix="0" xfId="0"/>
    <xf numFmtId="164" fontId="8" fillId="7" borderId="3" pivotButton="0" quotePrefix="0" xfId="0"/>
    <xf numFmtId="165" fontId="5" fillId="0" borderId="3" pivotButton="0" quotePrefix="0" xfId="0"/>
    <xf numFmtId="164" fontId="7" fillId="7" borderId="3" pivotButton="0" quotePrefix="0" xfId="0"/>
    <xf numFmtId="164" fontId="10" fillId="7" borderId="3" pivotButton="0" quotePrefix="0" xfId="0"/>
    <xf numFmtId="4" fontId="7" fillId="7" borderId="3" pivotButton="0" quotePrefix="0" xfId="0"/>
    <xf numFmtId="165" fontId="7" fillId="0" borderId="3" pivotButton="0" quotePrefix="0" xfId="0"/>
    <xf numFmtId="164" fontId="8" fillId="0" borderId="3" pivotButton="0" quotePrefix="0" xfId="0"/>
    <xf numFmtId="164" fontId="5" fillId="7" borderId="3" pivotButton="0" quotePrefix="0" xfId="0"/>
    <xf numFmtId="164" fontId="10" fillId="0" borderId="3" pivotButton="0" quotePrefix="0" xfId="0"/>
    <xf numFmtId="0" fontId="4" fillId="2" borderId="3" pivotButton="0" quotePrefix="0" xfId="0"/>
    <xf numFmtId="0" fontId="4" fillId="2" borderId="3" applyAlignment="1" pivotButton="0" quotePrefix="0" xfId="0">
      <alignment horizontal="right"/>
    </xf>
    <xf numFmtId="164" fontId="6" fillId="10" borderId="3" pivotButton="0" quotePrefix="0" xfId="0"/>
    <xf numFmtId="164" fontId="8" fillId="10" borderId="3" pivotButton="0" quotePrefix="0" xfId="0"/>
    <xf numFmtId="164" fontId="9" fillId="10" borderId="3" pivotButton="0" quotePrefix="0" xfId="0"/>
    <xf numFmtId="164" fontId="5" fillId="10" borderId="3" pivotButton="0" quotePrefix="0" xfId="0"/>
    <xf numFmtId="3" fontId="5" fillId="7" borderId="3" pivotButton="0" quotePrefix="0" xfId="0"/>
    <xf numFmtId="166" fontId="5" fillId="10" borderId="3" pivotButton="0" quotePrefix="0" xfId="0"/>
    <xf numFmtId="4" fontId="9" fillId="0" borderId="3" pivotButton="0" quotePrefix="0" xfId="0"/>
    <xf numFmtId="4" fontId="8" fillId="3" borderId="3" pivotButton="0" quotePrefix="0" xfId="0"/>
    <xf numFmtId="165" fontId="8" fillId="3" borderId="3" pivotButton="0" quotePrefix="0" xfId="0"/>
    <xf numFmtId="0" fontId="8" fillId="4" borderId="3" pivotButton="0" quotePrefix="0" xfId="0"/>
    <xf numFmtId="165" fontId="5" fillId="10" borderId="3" pivotButton="0" quotePrefix="0" xfId="0"/>
    <xf numFmtId="165" fontId="10" fillId="4" borderId="3" pivotButton="0" quotePrefix="0" xfId="0"/>
    <xf numFmtId="3" fontId="5" fillId="10" borderId="3" pivotButton="0" quotePrefix="0" xfId="0"/>
    <xf numFmtId="3" fontId="5" fillId="0" borderId="3" pivotButton="0" quotePrefix="0" xfId="0"/>
    <xf numFmtId="3" fontId="5" fillId="3" borderId="3" pivotButton="0" quotePrefix="0" xfId="0"/>
    <xf numFmtId="165" fontId="9" fillId="0" borderId="3" pivotButton="0" quotePrefix="0" xfId="0"/>
    <xf numFmtId="165" fontId="9" fillId="7" borderId="3" pivotButton="0" quotePrefix="0" xfId="0"/>
    <xf numFmtId="167" fontId="9" fillId="0" borderId="3" pivotButton="0" quotePrefix="0" xfId="0"/>
    <xf numFmtId="4" fontId="7" fillId="10" borderId="3" pivotButton="0" quotePrefix="0" xfId="0"/>
    <xf numFmtId="164" fontId="7" fillId="10" borderId="3" pivotButton="0" quotePrefix="0" xfId="0"/>
    <xf numFmtId="168" fontId="5" fillId="10" borderId="3" pivotButton="0" quotePrefix="0" xfId="0"/>
    <xf numFmtId="168" fontId="5" fillId="7" borderId="3" pivotButton="0" quotePrefix="0" xfId="0"/>
    <xf numFmtId="4" fontId="7" fillId="6" borderId="3" pivotButton="0" quotePrefix="0" xfId="0"/>
    <xf numFmtId="164" fontId="7" fillId="6" borderId="3" pivotButton="0" quotePrefix="0" xfId="0"/>
    <xf numFmtId="0" fontId="13" fillId="0" borderId="3" pivotButton="0" quotePrefix="0" xfId="0"/>
    <xf numFmtId="169" fontId="14" fillId="0" borderId="3" pivotButton="0" quotePrefix="0" xfId="0"/>
    <xf numFmtId="2" fontId="14" fillId="0" borderId="3" pivotButton="0" quotePrefix="0" xfId="0"/>
    <xf numFmtId="3" fontId="14" fillId="0" borderId="3" pivotButton="0" quotePrefix="0" xfId="0"/>
    <xf numFmtId="0" fontId="14" fillId="0" borderId="3" pivotButton="0" quotePrefix="0" xfId="0"/>
    <xf numFmtId="3" fontId="13" fillId="0" borderId="3" pivotButton="0" quotePrefix="0" xfId="0"/>
    <xf numFmtId="170" fontId="13" fillId="0" borderId="3" pivotButton="0" quotePrefix="0" xfId="0"/>
    <xf numFmtId="0" fontId="15" fillId="0" borderId="3" pivotButton="0" quotePrefix="0" xfId="0"/>
    <xf numFmtId="0" fontId="12" fillId="8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6" fillId="11" borderId="0" pivotButton="0" quotePrefix="0" xfId="0"/>
    <xf numFmtId="0" fontId="17" fillId="11" borderId="0" pivotButton="0" quotePrefix="0" xfId="0"/>
    <xf numFmtId="0" fontId="18" fillId="11" borderId="0" pivotButton="0" quotePrefix="0" xfId="0"/>
    <xf numFmtId="0" fontId="19" fillId="12" borderId="0" pivotButton="0" quotePrefix="0" xfId="0"/>
    <xf numFmtId="0" fontId="20" fillId="13" borderId="0" pivotButton="0" quotePrefix="0" xfId="0"/>
    <xf numFmtId="0" fontId="21" fillId="0" borderId="0" pivotButton="0" quotePrefix="0" xfId="0"/>
    <xf numFmtId="0" fontId="18" fillId="12" borderId="0" pivotButton="0" quotePrefix="0" xfId="0"/>
    <xf numFmtId="0" fontId="20" fillId="13" borderId="1" pivotButton="0" quotePrefix="0" xfId="0"/>
    <xf numFmtId="4" fontId="22" fillId="0" borderId="1" pivotButton="0" quotePrefix="0" xfId="0"/>
    <xf numFmtId="164" fontId="22" fillId="0" borderId="1" pivotButton="0" quotePrefix="0" xfId="0"/>
    <xf numFmtId="0" fontId="23" fillId="14" borderId="8" pivotButton="0" quotePrefix="0" xfId="0"/>
    <xf numFmtId="164" fontId="22" fillId="14" borderId="8" pivotButton="0" quotePrefix="0" xfId="0"/>
    <xf numFmtId="4" fontId="22" fillId="13" borderId="1" pivotButton="0" quotePrefix="0" xfId="0"/>
    <xf numFmtId="165" fontId="22" fillId="13" borderId="1" pivotButton="0" quotePrefix="0" xfId="0"/>
    <xf numFmtId="171" fontId="22" fillId="14" borderId="8" pivotButton="0" quotePrefix="0" xfId="0"/>
    <xf numFmtId="0" fontId="20" fillId="0" borderId="0" pivotButton="0" quotePrefix="0" xfId="0"/>
    <xf numFmtId="0" fontId="24" fillId="11" borderId="3" applyAlignment="1" pivotButton="0" quotePrefix="0" xfId="0">
      <alignment horizontal="left" vertical="center" indent="1"/>
    </xf>
    <xf numFmtId="0" fontId="16" fillId="11" borderId="3" pivotButton="0" quotePrefix="0" xfId="0"/>
    <xf numFmtId="0" fontId="20" fillId="13" borderId="3" pivotButton="0" quotePrefix="0" xfId="0"/>
    <xf numFmtId="0" fontId="18" fillId="11" borderId="3" pivotButton="0" quotePrefix="0" xfId="0"/>
    <xf numFmtId="0" fontId="20" fillId="0" borderId="3" pivotButton="0" quotePrefix="0" xfId="0"/>
    <xf numFmtId="4" fontId="25" fillId="13" borderId="3" pivotButton="0" quotePrefix="0" xfId="0"/>
    <xf numFmtId="164" fontId="20" fillId="0" borderId="3" pivotButton="0" quotePrefix="0" xfId="0"/>
    <xf numFmtId="164" fontId="25" fillId="13" borderId="3" pivotButton="0" quotePrefix="0" xfId="0"/>
    <xf numFmtId="0" fontId="18" fillId="12" borderId="3" pivotButton="0" quotePrefix="0" xfId="0"/>
    <xf numFmtId="0" fontId="19" fillId="12" borderId="3" pivotButton="0" quotePrefix="0" xfId="0"/>
    <xf numFmtId="0" fontId="26" fillId="0" borderId="3" pivotButton="0" quotePrefix="0" xfId="0"/>
    <xf numFmtId="165" fontId="25" fillId="13" borderId="3" pivotButton="0" quotePrefix="0" xfId="0"/>
    <xf numFmtId="0" fontId="26" fillId="13" borderId="3" pivotButton="0" quotePrefix="0" xfId="0"/>
    <xf numFmtId="165" fontId="26" fillId="13" borderId="3" pivotButton="0" quotePrefix="0" xfId="0"/>
    <xf numFmtId="165" fontId="26" fillId="0" borderId="3" pivotButton="0" quotePrefix="0" xfId="0"/>
    <xf numFmtId="0" fontId="21" fillId="0" borderId="3" pivotButton="0" quotePrefix="0" xfId="0"/>
    <xf numFmtId="0" fontId="25" fillId="13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7" fillId="0" borderId="3" applyAlignment="1" pivotButton="0" quotePrefix="0" xfId="0">
      <alignment horizontal="center"/>
    </xf>
    <xf numFmtId="0" fontId="18" fillId="11" borderId="3" applyAlignment="1" pivotButton="0" quotePrefix="0" xfId="0">
      <alignment horizontal="left" vertical="center"/>
    </xf>
    <xf numFmtId="0" fontId="18" fillId="11" borderId="3" applyAlignment="1" pivotButton="0" quotePrefix="0" xfId="0">
      <alignment horizontal="center" vertical="center"/>
    </xf>
    <xf numFmtId="164" fontId="25" fillId="0" borderId="3" pivotButton="0" quotePrefix="0" xfId="0"/>
    <xf numFmtId="165" fontId="20" fillId="13" borderId="3" pivotButton="0" quotePrefix="0" xfId="0"/>
    <xf numFmtId="0" fontId="23" fillId="14" borderId="9" pivotButton="0" quotePrefix="0" xfId="0"/>
    <xf numFmtId="164" fontId="23" fillId="14" borderId="9" pivotButton="0" quotePrefix="0" xfId="0"/>
    <xf numFmtId="165" fontId="20" fillId="0" borderId="3" pivotButton="0" quotePrefix="0" xfId="0"/>
    <xf numFmtId="164" fontId="28" fillId="14" borderId="9" pivotButton="0" quotePrefix="0" xfId="0"/>
    <xf numFmtId="165" fontId="25" fillId="0" borderId="3" pivotButton="0" quotePrefix="0" xfId="0"/>
    <xf numFmtId="164" fontId="26" fillId="0" borderId="3" pivotButton="0" quotePrefix="0" xfId="0"/>
    <xf numFmtId="164" fontId="20" fillId="13" borderId="3" pivotButton="0" quotePrefix="0" xfId="0"/>
    <xf numFmtId="0" fontId="18" fillId="11" borderId="3" applyAlignment="1" pivotButton="0" quotePrefix="0" xfId="0">
      <alignment horizontal="right"/>
    </xf>
    <xf numFmtId="164" fontId="22" fillId="13" borderId="3" pivotButton="0" quotePrefix="0" xfId="0"/>
    <xf numFmtId="164" fontId="26" fillId="13" borderId="3" pivotButton="0" quotePrefix="0" xfId="0"/>
    <xf numFmtId="164" fontId="27" fillId="14" borderId="9" pivotButton="0" quotePrefix="0" xfId="0"/>
    <xf numFmtId="3" fontId="20" fillId="13" borderId="3" pivotButton="0" quotePrefix="0" xfId="0"/>
    <xf numFmtId="166" fontId="20" fillId="13" borderId="3" pivotButton="0" quotePrefix="0" xfId="0"/>
    <xf numFmtId="4" fontId="27" fillId="0" borderId="3" pivotButton="0" quotePrefix="0" xfId="0"/>
    <xf numFmtId="4" fontId="26" fillId="13" borderId="3" pivotButton="0" quotePrefix="0" xfId="0"/>
    <xf numFmtId="171" fontId="23" fillId="14" borderId="9" pivotButton="0" quotePrefix="0" xfId="0"/>
    <xf numFmtId="165" fontId="28" fillId="13" borderId="3" pivotButton="0" quotePrefix="0" xfId="0"/>
    <xf numFmtId="3" fontId="20" fillId="0" borderId="3" pivotButton="0" quotePrefix="0" xfId="0"/>
    <xf numFmtId="165" fontId="27" fillId="0" borderId="3" pivotButton="0" quotePrefix="0" xfId="0"/>
    <xf numFmtId="165" fontId="27" fillId="13" borderId="3" pivotButton="0" quotePrefix="0" xfId="0"/>
    <xf numFmtId="167" fontId="27" fillId="0" borderId="3" pivotButton="0" quotePrefix="0" xfId="0"/>
    <xf numFmtId="168" fontId="20" fillId="13" borderId="3" pivotButton="0" quotePrefix="0" xfId="0"/>
    <xf numFmtId="0" fontId="18" fillId="12" borderId="3" applyAlignment="1" pivotButton="0" quotePrefix="0" xfId="0">
      <alignment horizontal="left" vertical="center" indent="1"/>
    </xf>
    <xf numFmtId="169" fontId="20" fillId="0" borderId="3" pivotButton="0" quotePrefix="0" xfId="0"/>
    <xf numFmtId="2" fontId="20" fillId="0" borderId="3" pivotButton="0" quotePrefix="0" xfId="0"/>
    <xf numFmtId="3" fontId="23" fillId="14" borderId="9" pivotButton="0" quotePrefix="0" xfId="0"/>
    <xf numFmtId="3" fontId="26" fillId="0" borderId="3" pivotButton="0" quotePrefix="0" xfId="0"/>
    <xf numFmtId="170" fontId="26" fillId="0" borderId="3" pivotButton="0" quotePrefix="0" xfId="0"/>
    <xf numFmtId="0" fontId="29" fillId="0" borderId="3" pivotButton="0" quotePrefix="0" xfId="0"/>
    <xf numFmtId="3" fontId="0" fillId="0" borderId="0" pivotButton="0" quotePrefix="0" xfId="0"/>
    <xf numFmtId="170" fontId="0" fillId="0" borderId="0" pivotButton="0" quotePrefix="0" xfId="0"/>
    <xf numFmtId="170" fontId="2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6FB"/>
      <rgbColor rgb="FF660066"/>
      <rgbColor rgb="FFFF8080"/>
      <rgbColor rgb="FF2E75B6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E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F29"/>
  <sheetViews>
    <sheetView showGridLines="0" tabSelected="1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42" customWidth="1" min="2" max="5"/>
    <col width="13" customWidth="1" min="3" max="3"/>
    <col width="13" customWidth="1" min="4" max="4"/>
    <col width="13" customWidth="1" min="5" max="5"/>
    <col width="13" customWidth="1" min="6" max="6"/>
  </cols>
  <sheetData>
    <row r="1" ht="15" customHeight="1">
      <c r="A1" s="92" t="n"/>
      <c r="B1" s="92" t="n"/>
      <c r="C1" s="92" t="n"/>
      <c r="D1" s="92" t="n"/>
      <c r="E1" s="92" t="n"/>
      <c r="F1" s="92" t="n"/>
    </row>
    <row r="2" ht="29.25" customHeight="1">
      <c r="A2" s="92" t="n"/>
      <c r="B2" s="93" t="inlineStr">
        <is>
          <t>Tata Consultancy Services Ltd</t>
        </is>
      </c>
      <c r="C2" s="92" t="n"/>
      <c r="D2" s="92" t="n"/>
      <c r="E2" s="92" t="n"/>
      <c r="F2" s="92" t="n"/>
    </row>
    <row r="3" ht="15" customHeight="1">
      <c r="A3" s="94" t="n"/>
      <c r="B3" s="94" t="n"/>
      <c r="C3" s="94" t="n"/>
      <c r="D3" s="94" t="n"/>
      <c r="E3" s="94" t="n"/>
      <c r="F3" s="94" t="n"/>
    </row>
    <row r="4" ht="15" customHeight="1">
      <c r="A4" s="94" t="n"/>
      <c r="B4" s="94" t="inlineStr">
        <is>
          <t>Equity Valuation Model  |  NSE: TCS | BSE: 532540  |  Sector: IT Services</t>
        </is>
      </c>
      <c r="C4" s="94" t="n"/>
      <c r="D4" s="94" t="n"/>
      <c r="E4" s="94" t="n"/>
      <c r="F4" s="94" t="n"/>
    </row>
    <row r="5" ht="15" customHeight="1">
      <c r="A5" s="95" t="n"/>
      <c r="B5" s="95" t="n"/>
      <c r="C5" s="95" t="n"/>
      <c r="D5" s="95" t="n"/>
      <c r="E5" s="95" t="n"/>
      <c r="F5" s="95" t="n"/>
    </row>
    <row r="6" ht="3.75" customHeight="1">
      <c r="A6" s="96" t="n"/>
      <c r="B6" s="96" t="n"/>
      <c r="C6" s="96" t="n"/>
      <c r="D6" s="96" t="n"/>
      <c r="E6" s="96" t="n"/>
      <c r="F6" s="96" t="n"/>
    </row>
    <row r="8" ht="15" customHeight="1">
      <c r="B8" s="97" t="inlineStr">
        <is>
          <t>Prepared for: Debjit  |  Date: 11 June 2026  |  Currency: ₹ Crore</t>
        </is>
      </c>
    </row>
    <row r="10" ht="15" customHeight="1">
      <c r="A10" s="98" t="inlineStr">
        <is>
          <t>Snapshot</t>
        </is>
      </c>
      <c r="B10" s="95" t="n"/>
      <c r="C10" s="95" t="n"/>
      <c r="D10" s="95" t="n"/>
      <c r="E10" s="95" t="n"/>
      <c r="F10" s="95" t="n"/>
    </row>
    <row r="11" ht="15" customHeight="1">
      <c r="B11" s="99" t="inlineStr">
        <is>
          <t>Current price (₹)</t>
        </is>
      </c>
      <c r="C11" s="100">
        <f>Assumptions!B5</f>
        <v/>
      </c>
    </row>
    <row r="12" ht="15" customHeight="1">
      <c r="B12" s="99" t="inlineStr">
        <is>
          <t>Market cap (₹ Cr)</t>
        </is>
      </c>
      <c r="C12" s="101">
        <f>Assumptions!B7</f>
        <v/>
      </c>
    </row>
    <row r="13" ht="15" customHeight="1">
      <c r="B13" s="99" t="inlineStr">
        <is>
          <t>FY26 revenue (₹ Cr)</t>
        </is>
      </c>
      <c r="C13" s="101">
        <f>Historical!I6</f>
        <v/>
      </c>
    </row>
    <row r="14" ht="15" customHeight="1">
      <c r="B14" s="102" t="inlineStr">
        <is>
          <t>FY26 PAT (₹ Cr)</t>
        </is>
      </c>
      <c r="C14" s="103">
        <f>Historical!I17</f>
        <v/>
      </c>
    </row>
    <row r="15" ht="15" customHeight="1">
      <c r="B15" s="99" t="inlineStr">
        <is>
          <t>Intrinsic value (₹/share)</t>
        </is>
      </c>
      <c r="C15" s="104">
        <f>DCF!B18</f>
        <v/>
      </c>
    </row>
    <row r="16" ht="15" customHeight="1">
      <c r="B16" s="99" t="inlineStr">
        <is>
          <t>Upside / (downside)</t>
        </is>
      </c>
      <c r="C16" s="105">
        <f>DCF!B20</f>
        <v/>
      </c>
    </row>
    <row r="17" ht="15" customHeight="1">
      <c r="B17" s="102" t="inlineStr">
        <is>
          <t>Implied rating</t>
        </is>
      </c>
      <c r="C17" s="106">
        <f>DCF!B21</f>
        <v/>
      </c>
    </row>
    <row r="20" ht="15" customHeight="1">
      <c r="A20" s="98" t="inlineStr">
        <is>
          <t>Contents</t>
        </is>
      </c>
      <c r="B20" s="95" t="n"/>
      <c r="C20" s="95" t="n"/>
      <c r="D20" s="95" t="n"/>
      <c r="E20" s="95" t="n"/>
      <c r="F20" s="95" t="n"/>
    </row>
    <row r="21" ht="15" customHeight="1">
      <c r="B21" s="107" t="inlineStr">
        <is>
          <t>1. Assumptions — all editable drivers (highlighted blue cells)</t>
        </is>
      </c>
    </row>
    <row r="22" ht="15" customHeight="1">
      <c r="B22" s="107" t="inlineStr">
        <is>
          <t>2. Historical — FY2019–FY2026 income statement, balance sheet, cash flow</t>
        </is>
      </c>
    </row>
    <row r="23" ht="15" customHeight="1">
      <c r="B23" s="107" t="inlineStr">
        <is>
          <t>3. Forecast — FY2027E–FY2031E operating model &amp; FCFF build</t>
        </is>
      </c>
    </row>
    <row r="24" ht="15" customHeight="1">
      <c r="B24" s="107" t="inlineStr">
        <is>
          <t>4. DCF — valuation bridge &amp; WACC/growth sensitivity</t>
        </is>
      </c>
    </row>
    <row r="25" ht="15" customHeight="1">
      <c r="B25" s="107" t="inlineStr">
        <is>
          <t>5. Ratios — margins, returns, conversion, leverage</t>
        </is>
      </c>
    </row>
    <row r="26" ht="15" customHeight="1">
      <c r="B26" s="107" t="inlineStr">
        <is>
          <t>6. Peer Comps — relative valuation</t>
        </is>
      </c>
    </row>
    <row r="29" ht="15" customHeight="1">
      <c r="B29" s="97" t="inlineStr">
        <is>
          <t>Disclaimer: For educational/analytical use only. Not investment advice. Figures from public filings; forecasts are illustrative assumptions.</t>
        </is>
      </c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2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J2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2" customWidth="1" min="1" max="1"/>
    <col width="13" customWidth="1" min="2" max="1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08" t="inlineStr">
        <is>
          <t>Tata Consultancy Services Ltd — Key Assumptions &amp; Drivers</t>
        </is>
      </c>
      <c r="B1" s="109" t="n"/>
      <c r="C1" s="109" t="n"/>
      <c r="D1" s="109" t="n"/>
      <c r="E1" s="109" t="n"/>
      <c r="F1" s="109" t="n"/>
      <c r="G1" s="92" t="n"/>
      <c r="H1" s="92" t="n"/>
      <c r="I1" s="92" t="n"/>
      <c r="J1" s="92" t="n"/>
    </row>
    <row r="2" ht="3" customHeight="1">
      <c r="A2" s="110" t="n"/>
      <c r="B2" s="110" t="n"/>
      <c r="C2" s="110" t="n"/>
      <c r="D2" s="110" t="n"/>
      <c r="E2" s="110" t="n"/>
      <c r="F2" s="110" t="n"/>
      <c r="G2" s="96" t="n"/>
      <c r="H2" s="96" t="n"/>
      <c r="I2" s="96" t="n"/>
      <c r="J2" s="96" t="n"/>
    </row>
    <row r="3" ht="15" customHeight="1">
      <c r="A3" s="111" t="inlineStr">
        <is>
          <t>All highlighted blue cells are user inputs. ₹ Crore unless stated.</t>
        </is>
      </c>
      <c r="B3" s="111" t="n"/>
      <c r="C3" s="111" t="n"/>
      <c r="D3" s="111" t="n"/>
      <c r="E3" s="111" t="n"/>
      <c r="F3" s="111" t="n"/>
      <c r="G3" s="94" t="n"/>
      <c r="H3" s="94" t="n"/>
      <c r="I3" s="94" t="n"/>
      <c r="J3" s="94" t="n"/>
    </row>
    <row r="4" ht="15" customHeight="1">
      <c r="A4" s="111" t="inlineStr">
        <is>
          <t>Market Data</t>
        </is>
      </c>
      <c r="B4" s="111" t="n"/>
      <c r="C4" s="111" t="n"/>
      <c r="D4" s="111" t="n"/>
      <c r="E4" s="111" t="n"/>
      <c r="F4" s="111" t="n"/>
      <c r="G4" s="94" t="n"/>
      <c r="H4" s="94" t="n"/>
      <c r="I4" s="94" t="n"/>
      <c r="J4" s="94" t="n"/>
    </row>
    <row r="5" ht="15" customHeight="1">
      <c r="A5" s="112" t="inlineStr">
        <is>
          <t>Current share price (₹, 18-Jul-2026)</t>
        </is>
      </c>
      <c r="B5" s="113" t="n">
        <v>2190</v>
      </c>
      <c r="C5" s="24" t="n"/>
      <c r="D5" s="24" t="n"/>
      <c r="E5" s="24" t="n"/>
      <c r="F5" s="24" t="n"/>
    </row>
    <row r="6" ht="15" customHeight="1">
      <c r="A6" s="110" t="inlineStr">
        <is>
          <t>Shares outstanding (Crore)</t>
        </is>
      </c>
      <c r="B6" s="113" t="n">
        <v>362</v>
      </c>
      <c r="C6" s="110" t="n"/>
      <c r="D6" s="110" t="n"/>
      <c r="E6" s="110" t="n"/>
      <c r="F6" s="110" t="n"/>
    </row>
    <row r="7" ht="15" customHeight="1">
      <c r="A7" s="112" t="inlineStr">
        <is>
          <t>Market capitalisation (₹ Cr)</t>
        </is>
      </c>
      <c r="B7" s="114">
        <f>B5*B6</f>
        <v/>
      </c>
      <c r="C7" s="24" t="n"/>
      <c r="D7" s="24" t="n"/>
      <c r="E7" s="24" t="n"/>
      <c r="F7" s="24" t="n"/>
    </row>
    <row r="8" ht="15" customHeight="1">
      <c r="A8" s="110" t="inlineStr">
        <is>
          <t>Net debt / (net cash) (₹ Cr)</t>
        </is>
      </c>
      <c r="B8" s="115" t="n">
        <v>-22705</v>
      </c>
      <c r="C8" s="110" t="n"/>
      <c r="D8" s="110" t="n"/>
      <c r="E8" s="110" t="n"/>
      <c r="F8" s="110" t="n"/>
    </row>
    <row r="9" ht="15" customHeight="1">
      <c r="A9" s="116" t="inlineStr">
        <is>
          <t>Note: net debt = borrowings less investments (proxy for cash &amp; equivalents)</t>
        </is>
      </c>
      <c r="B9" s="117" t="n"/>
      <c r="C9" s="117" t="n"/>
      <c r="D9" s="117" t="n"/>
      <c r="E9" s="117" t="n"/>
      <c r="F9" s="117" t="n"/>
    </row>
    <row r="10">
      <c r="A10" s="24" t="n"/>
      <c r="B10" s="24" t="n"/>
      <c r="C10" s="24" t="n"/>
      <c r="D10" s="24" t="n"/>
      <c r="E10" s="24" t="n"/>
      <c r="F10" s="24" t="n"/>
    </row>
    <row r="11" ht="15" customHeight="1">
      <c r="A11" s="116" t="inlineStr">
        <is>
          <t>Operating Forecast Drivers (FY2027E–FY2031E)</t>
        </is>
      </c>
      <c r="B11" s="117" t="n"/>
      <c r="C11" s="117" t="n"/>
      <c r="D11" s="117" t="n"/>
      <c r="E11" s="117" t="n"/>
      <c r="F11" s="117" t="n"/>
      <c r="G11" s="95" t="n"/>
      <c r="H11" s="95" t="n"/>
      <c r="I11" s="95" t="n"/>
      <c r="J11" s="95" t="n"/>
    </row>
    <row r="12" ht="15" customHeight="1">
      <c r="A12" s="24" t="n"/>
      <c r="B12" s="118" t="inlineStr">
        <is>
          <t>FY2027E</t>
        </is>
      </c>
      <c r="C12" s="118" t="inlineStr">
        <is>
          <t>FY2028E</t>
        </is>
      </c>
      <c r="D12" s="118" t="inlineStr">
        <is>
          <t>FY2029E</t>
        </is>
      </c>
      <c r="E12" s="118" t="inlineStr">
        <is>
          <t>FY2030E</t>
        </is>
      </c>
      <c r="F12" s="118" t="inlineStr">
        <is>
          <t>FY2031E</t>
        </is>
      </c>
    </row>
    <row r="13" ht="15" customHeight="1">
      <c r="A13" s="110" t="inlineStr">
        <is>
          <t>Revenue growth (%)</t>
        </is>
      </c>
      <c r="B13" s="119" t="n">
        <v>0.06</v>
      </c>
      <c r="C13" s="119" t="n">
        <v>0.065</v>
      </c>
      <c r="D13" s="119" t="n">
        <v>0.07000000000000001</v>
      </c>
      <c r="E13" s="119" t="n">
        <v>0.07000000000000001</v>
      </c>
      <c r="F13" s="119" t="n">
        <v>0.065</v>
      </c>
    </row>
    <row r="14" ht="15" customHeight="1">
      <c r="A14" s="112" t="inlineStr">
        <is>
          <t>EBITDA margin (%)</t>
        </is>
      </c>
      <c r="B14" s="119" t="n">
        <v>0.272</v>
      </c>
      <c r="C14" s="119" t="n">
        <v>0.272</v>
      </c>
      <c r="D14" s="119" t="n">
        <v>0.273</v>
      </c>
      <c r="E14" s="119" t="n">
        <v>0.274</v>
      </c>
      <c r="F14" s="119" t="n">
        <v>0.275</v>
      </c>
    </row>
    <row r="15" ht="15" customHeight="1">
      <c r="A15" s="110" t="inlineStr">
        <is>
          <t>Depreciation &amp; amortisation (% of revenue)</t>
        </is>
      </c>
      <c r="B15" s="119" t="n">
        <v>0.021</v>
      </c>
      <c r="C15" s="110" t="n"/>
      <c r="D15" s="110" t="n"/>
      <c r="E15" s="110" t="n"/>
      <c r="F15" s="110" t="n"/>
    </row>
    <row r="16" ht="15" customHeight="1">
      <c r="A16" s="112" t="inlineStr">
        <is>
          <t>Capex (% of revenue)</t>
        </is>
      </c>
      <c r="B16" s="119" t="n">
        <v>0.016</v>
      </c>
      <c r="C16" s="24" t="n"/>
      <c r="D16" s="24" t="n"/>
      <c r="E16" s="24" t="n"/>
      <c r="F16" s="24" t="n"/>
    </row>
    <row r="17" ht="15" customHeight="1">
      <c r="A17" s="110" t="inlineStr">
        <is>
          <t>Effective tax rate (%)</t>
        </is>
      </c>
      <c r="B17" s="119" t="n">
        <v>0.25</v>
      </c>
      <c r="C17" s="110" t="n"/>
      <c r="D17" s="110" t="n"/>
      <c r="E17" s="110" t="n"/>
      <c r="F17" s="110" t="n"/>
    </row>
    <row r="18" ht="15" customHeight="1">
      <c r="A18" s="112" t="inlineStr">
        <is>
          <t>Incr. working capital (% of incremental revenue)</t>
        </is>
      </c>
      <c r="B18" s="119" t="n">
        <v>0.12</v>
      </c>
      <c r="C18" s="24" t="n"/>
      <c r="D18" s="24" t="n"/>
      <c r="E18" s="24" t="n"/>
      <c r="F18" s="24" t="n"/>
    </row>
    <row r="19">
      <c r="A19" s="24" t="n"/>
      <c r="B19" s="24" t="n"/>
      <c r="C19" s="24" t="n"/>
      <c r="D19" s="24" t="n"/>
      <c r="E19" s="24" t="n"/>
      <c r="F19" s="24" t="n"/>
    </row>
    <row r="20" ht="15" customHeight="1">
      <c r="A20" s="116" t="inlineStr">
        <is>
          <t>Cost of Capital (CAPM)</t>
        </is>
      </c>
      <c r="B20" s="117" t="n"/>
      <c r="C20" s="117" t="n"/>
      <c r="D20" s="117" t="n"/>
      <c r="E20" s="117" t="n"/>
      <c r="F20" s="117" t="n"/>
      <c r="G20" s="95" t="n"/>
      <c r="H20" s="95" t="n"/>
      <c r="I20" s="95" t="n"/>
      <c r="J20" s="95" t="n"/>
    </row>
    <row r="21" ht="15" customHeight="1">
      <c r="A21" s="112" t="inlineStr">
        <is>
          <t>Risk-free rate (10Y G-Sec)</t>
        </is>
      </c>
      <c r="B21" s="119" t="n">
        <v>0.067</v>
      </c>
      <c r="C21" s="24" t="n"/>
      <c r="D21" s="24" t="n"/>
      <c r="E21" s="24" t="n"/>
      <c r="F21" s="24" t="n"/>
    </row>
    <row r="22" ht="15" customHeight="1">
      <c r="A22" s="110" t="inlineStr">
        <is>
          <t>Equity beta</t>
        </is>
      </c>
      <c r="B22" s="113" t="n">
        <v>0.85</v>
      </c>
      <c r="C22" s="110" t="n"/>
      <c r="D22" s="110" t="n"/>
      <c r="E22" s="110" t="n"/>
      <c r="F22" s="110" t="n"/>
    </row>
    <row r="23" ht="15" customHeight="1">
      <c r="A23" s="112" t="inlineStr">
        <is>
          <t>Equity risk premium</t>
        </is>
      </c>
      <c r="B23" s="119" t="n">
        <v>0.055</v>
      </c>
      <c r="C23" s="24" t="n"/>
      <c r="D23" s="24" t="n"/>
      <c r="E23" s="24" t="n"/>
      <c r="F23" s="24" t="n"/>
    </row>
    <row r="24" ht="15" customHeight="1">
      <c r="A24" s="120" t="inlineStr">
        <is>
          <t>Cost of equity = Rf + β × ERP</t>
        </is>
      </c>
      <c r="B24" s="121">
        <f>B21+B22*B23</f>
        <v/>
      </c>
      <c r="C24" s="110" t="n"/>
      <c r="D24" s="110" t="n"/>
      <c r="E24" s="110" t="n"/>
      <c r="F24" s="110" t="n"/>
    </row>
    <row r="25" ht="15" customHeight="1">
      <c r="A25" s="118" t="inlineStr">
        <is>
          <t>WACC (≈ cost of equity; negligible debt)</t>
        </is>
      </c>
      <c r="B25" s="122">
        <f>B24</f>
        <v/>
      </c>
      <c r="C25" s="24" t="n"/>
      <c r="D25" s="24" t="n"/>
      <c r="E25" s="24" t="n"/>
      <c r="F25" s="24" t="n"/>
    </row>
    <row r="26" ht="15" customHeight="1">
      <c r="A26" s="110" t="inlineStr">
        <is>
          <t>Terminal growth rate (g)</t>
        </is>
      </c>
      <c r="B26" s="119" t="n">
        <v>0.05</v>
      </c>
      <c r="C26" s="110" t="n"/>
      <c r="D26" s="110" t="n"/>
      <c r="E26" s="110" t="n"/>
      <c r="F26" s="110" t="n"/>
    </row>
    <row r="27">
      <c r="A27" s="24" t="n"/>
      <c r="B27" s="24" t="n"/>
      <c r="C27" s="24" t="n"/>
      <c r="D27" s="24" t="n"/>
      <c r="E27" s="24" t="n"/>
      <c r="F27" s="24" t="n"/>
    </row>
    <row r="28" ht="15" customHeight="1">
      <c r="A28" s="123" t="inlineStr">
        <is>
          <t>Legend:</t>
        </is>
      </c>
      <c r="B28" s="124" t="inlineStr">
        <is>
          <t>Input</t>
        </is>
      </c>
      <c r="C28" s="125" t="inlineStr">
        <is>
          <t>Formula</t>
        </is>
      </c>
      <c r="D28" s="126" t="inlineStr">
        <is>
          <t>Link</t>
        </is>
      </c>
      <c r="E28" s="24" t="n"/>
      <c r="F28" s="24" t="n"/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3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J42"/>
  <sheetViews>
    <sheetView showGridLines="0" zoomScale="102" zoomScaleNormal="100" workbookViewId="0">
      <selection activeCell="A1" sqref="A1"/>
    </sheetView>
  </sheetViews>
  <sheetFormatPr baseColWidth="10" defaultColWidth="8.6640625" defaultRowHeight="15"/>
  <cols>
    <col width="40" customWidth="1" min="1" max="1"/>
    <col width="13" customWidth="1" min="2" max="1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08" t="inlineStr">
        <is>
          <t>Tata Consultancy Services Ltd — Historical Financials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92" t="n"/>
    </row>
    <row r="2" ht="3" customHeight="1">
      <c r="A2" s="110" t="n"/>
      <c r="B2" s="110" t="n"/>
      <c r="C2" s="110" t="n"/>
      <c r="D2" s="110" t="n"/>
      <c r="E2" s="110" t="n"/>
      <c r="F2" s="110" t="n"/>
      <c r="G2" s="110" t="n"/>
      <c r="H2" s="110" t="n"/>
      <c r="I2" s="110" t="n"/>
      <c r="J2" s="96" t="n"/>
    </row>
    <row r="3" ht="15" customHeight="1">
      <c r="A3" s="111" t="inlineStr">
        <is>
          <t>₹ Crore, consolidated. Blue = source data. Source: Company filings (consolidated) via Screener.in; FY2026 results announced Apr 2026. Retrieved 11-Jun-2026.</t>
        </is>
      </c>
      <c r="B3" s="111" t="n"/>
      <c r="C3" s="111" t="n"/>
      <c r="D3" s="111" t="n"/>
      <c r="E3" s="111" t="n"/>
      <c r="F3" s="111" t="n"/>
      <c r="G3" s="111" t="n"/>
      <c r="H3" s="111" t="n"/>
      <c r="I3" s="111" t="n"/>
      <c r="J3" s="94" t="n"/>
    </row>
    <row r="4" ht="18" customHeight="1">
      <c r="A4" s="127" t="inlineStr">
        <is>
          <t>Fiscal Year (ends March)</t>
        </is>
      </c>
      <c r="B4" s="128" t="inlineStr">
        <is>
          <t>FY2019</t>
        </is>
      </c>
      <c r="C4" s="128" t="inlineStr">
        <is>
          <t>FY2020</t>
        </is>
      </c>
      <c r="D4" s="128" t="inlineStr">
        <is>
          <t>FY2021</t>
        </is>
      </c>
      <c r="E4" s="128" t="inlineStr">
        <is>
          <t>FY2022</t>
        </is>
      </c>
      <c r="F4" s="128" t="inlineStr">
        <is>
          <t>FY2023</t>
        </is>
      </c>
      <c r="G4" s="128" t="inlineStr">
        <is>
          <t>FY2024</t>
        </is>
      </c>
      <c r="H4" s="128" t="inlineStr">
        <is>
          <t>FY2025</t>
        </is>
      </c>
      <c r="I4" s="128" t="inlineStr">
        <is>
          <t>FY2026</t>
        </is>
      </c>
      <c r="J4" s="94" t="n"/>
    </row>
    <row r="5" ht="15" customHeight="1">
      <c r="A5" s="116" t="inlineStr">
        <is>
          <t>Income Statement</t>
        </is>
      </c>
      <c r="B5" s="117" t="n"/>
      <c r="C5" s="117" t="n"/>
      <c r="D5" s="117" t="n"/>
      <c r="E5" s="117" t="n"/>
      <c r="F5" s="117" t="n"/>
      <c r="G5" s="117" t="n"/>
      <c r="H5" s="117" t="n"/>
      <c r="I5" s="117" t="n"/>
      <c r="J5" s="95" t="n"/>
    </row>
    <row r="6" ht="15" customHeight="1">
      <c r="A6" s="112" t="inlineStr">
        <is>
          <t>Revenue</t>
        </is>
      </c>
      <c r="B6" s="129" t="n">
        <v>146463</v>
      </c>
      <c r="C6" s="129" t="n">
        <v>156949</v>
      </c>
      <c r="D6" s="129" t="n">
        <v>164177</v>
      </c>
      <c r="E6" s="129" t="n">
        <v>191754</v>
      </c>
      <c r="F6" s="129" t="n">
        <v>225458</v>
      </c>
      <c r="G6" s="129" t="n">
        <v>240893</v>
      </c>
      <c r="H6" s="129" t="n">
        <v>255324</v>
      </c>
      <c r="I6" s="129" t="n">
        <v>267021</v>
      </c>
    </row>
    <row r="7" ht="15" customHeight="1">
      <c r="A7" s="110" t="inlineStr">
        <is>
          <t xml:space="preserve">  Revenue growth (%)</t>
        </is>
      </c>
      <c r="B7" s="110" t="n"/>
      <c r="C7" s="130">
        <f>D6/C6-1</f>
        <v/>
      </c>
      <c r="D7" s="130">
        <f>E6/D6-1</f>
        <v/>
      </c>
      <c r="E7" s="130">
        <f>F6/E6-1</f>
        <v/>
      </c>
      <c r="F7" s="130">
        <f>G6/F6-1</f>
        <v/>
      </c>
      <c r="G7" s="130">
        <f>H6/G6-1</f>
        <v/>
      </c>
      <c r="H7" s="130">
        <f>I6/H6-1</f>
        <v/>
      </c>
      <c r="I7" s="130">
        <f>J6/I6-1</f>
        <v/>
      </c>
      <c r="J7" s="96" t="n"/>
    </row>
    <row r="8" ht="15" customHeight="1">
      <c r="A8" s="112" t="inlineStr">
        <is>
          <t>Operating expenses</t>
        </is>
      </c>
      <c r="B8" s="129" t="n">
        <v>106957</v>
      </c>
      <c r="C8" s="129" t="n">
        <v>114840</v>
      </c>
      <c r="D8" s="129" t="n">
        <v>117631</v>
      </c>
      <c r="E8" s="129" t="n">
        <v>138697</v>
      </c>
      <c r="F8" s="129" t="n">
        <v>166199</v>
      </c>
      <c r="G8" s="129" t="n">
        <v>176597</v>
      </c>
      <c r="H8" s="129" t="n">
        <v>187917</v>
      </c>
      <c r="I8" s="129" t="n">
        <v>194623</v>
      </c>
    </row>
    <row r="9" ht="15" customHeight="1">
      <c r="A9" s="131" t="inlineStr">
        <is>
          <t>EBITDA</t>
        </is>
      </c>
      <c r="B9" s="132">
        <f>B6-B8</f>
        <v/>
      </c>
      <c r="C9" s="132">
        <f>C6-C8</f>
        <v/>
      </c>
      <c r="D9" s="132">
        <f>D6-D8</f>
        <v/>
      </c>
      <c r="E9" s="132">
        <f>E6-E8</f>
        <v/>
      </c>
      <c r="F9" s="132">
        <f>F6-F8</f>
        <v/>
      </c>
      <c r="G9" s="132">
        <f>G6-G8</f>
        <v/>
      </c>
      <c r="H9" s="132">
        <f>H6-H8</f>
        <v/>
      </c>
      <c r="I9" s="132">
        <f>I6-I8</f>
        <v/>
      </c>
      <c r="J9" s="102" t="n"/>
    </row>
    <row r="10" ht="15" customHeight="1">
      <c r="A10" s="112" t="inlineStr">
        <is>
          <t xml:space="preserve">  EBITDA margin (%)</t>
        </is>
      </c>
      <c r="B10" s="133">
        <f>B9/B6</f>
        <v/>
      </c>
      <c r="C10" s="133">
        <f>C9/C6</f>
        <v/>
      </c>
      <c r="D10" s="133">
        <f>D9/D6</f>
        <v/>
      </c>
      <c r="E10" s="133">
        <f>E9/E6</f>
        <v/>
      </c>
      <c r="F10" s="133">
        <f>F9/F6</f>
        <v/>
      </c>
      <c r="G10" s="133">
        <f>G9/G6</f>
        <v/>
      </c>
      <c r="H10" s="133">
        <f>H9/H6</f>
        <v/>
      </c>
      <c r="I10" s="133">
        <f>I9/I6</f>
        <v/>
      </c>
    </row>
    <row r="11" ht="15" customHeight="1">
      <c r="A11" s="110" t="inlineStr">
        <is>
          <t>Depreciation &amp; amortisation</t>
        </is>
      </c>
      <c r="B11" s="115" t="n">
        <v>2056</v>
      </c>
      <c r="C11" s="115" t="n">
        <v>3529</v>
      </c>
      <c r="D11" s="115" t="n">
        <v>4065</v>
      </c>
      <c r="E11" s="115" t="n">
        <v>4604</v>
      </c>
      <c r="F11" s="115" t="n">
        <v>5022</v>
      </c>
      <c r="G11" s="115" t="n">
        <v>4985</v>
      </c>
      <c r="H11" s="115" t="n">
        <v>5242</v>
      </c>
      <c r="I11" s="115" t="n">
        <v>5560</v>
      </c>
      <c r="J11" s="96" t="n"/>
    </row>
    <row r="12" ht="15" customHeight="1">
      <c r="A12" s="131" t="inlineStr">
        <is>
          <t>EBIT</t>
        </is>
      </c>
      <c r="B12" s="132">
        <f>B9-B11</f>
        <v/>
      </c>
      <c r="C12" s="132">
        <f>C9-C11</f>
        <v/>
      </c>
      <c r="D12" s="132">
        <f>D9-D11</f>
        <v/>
      </c>
      <c r="E12" s="132">
        <f>E9-E11</f>
        <v/>
      </c>
      <c r="F12" s="132">
        <f>F9-F11</f>
        <v/>
      </c>
      <c r="G12" s="132">
        <f>G9-G11</f>
        <v/>
      </c>
      <c r="H12" s="132">
        <f>H9-H11</f>
        <v/>
      </c>
      <c r="I12" s="132">
        <f>I9-I11</f>
        <v/>
      </c>
    </row>
    <row r="13" ht="15" customHeight="1">
      <c r="A13" s="110" t="inlineStr">
        <is>
          <t>Other income</t>
        </is>
      </c>
      <c r="B13" s="115" t="n">
        <v>4311</v>
      </c>
      <c r="C13" s="115" t="n">
        <v>4592</v>
      </c>
      <c r="D13" s="115" t="n">
        <v>1916</v>
      </c>
      <c r="E13" s="115" t="n">
        <v>4018</v>
      </c>
      <c r="F13" s="115" t="n">
        <v>3449</v>
      </c>
      <c r="G13" s="115" t="n">
        <v>3464</v>
      </c>
      <c r="H13" s="115" t="n">
        <v>3962</v>
      </c>
      <c r="I13" s="115" t="n">
        <v>-124</v>
      </c>
      <c r="J13" s="96" t="n"/>
    </row>
    <row r="14" ht="15" customHeight="1">
      <c r="A14" s="112" t="inlineStr">
        <is>
          <t>Finance costs</t>
        </is>
      </c>
      <c r="B14" s="129" t="n">
        <v>198</v>
      </c>
      <c r="C14" s="129" t="n">
        <v>924</v>
      </c>
      <c r="D14" s="129" t="n">
        <v>637</v>
      </c>
      <c r="E14" s="129" t="n">
        <v>784</v>
      </c>
      <c r="F14" s="129" t="n">
        <v>779</v>
      </c>
      <c r="G14" s="129" t="n">
        <v>778</v>
      </c>
      <c r="H14" s="129" t="n">
        <v>796</v>
      </c>
      <c r="I14" s="129" t="n">
        <v>1227</v>
      </c>
    </row>
    <row r="15" ht="15" customHeight="1">
      <c r="A15" s="131" t="inlineStr">
        <is>
          <t>Profit before tax</t>
        </is>
      </c>
      <c r="B15" s="132">
        <f>B12+B13-B14</f>
        <v/>
      </c>
      <c r="C15" s="132">
        <f>C12+C13-C14</f>
        <v/>
      </c>
      <c r="D15" s="132">
        <f>D12+D13-D14</f>
        <v/>
      </c>
      <c r="E15" s="132">
        <f>E12+E13-E14</f>
        <v/>
      </c>
      <c r="F15" s="132">
        <f>F12+F13-F14</f>
        <v/>
      </c>
      <c r="G15" s="132">
        <f>G12+G13-G14</f>
        <v/>
      </c>
      <c r="H15" s="132">
        <f>H12+H13-H14</f>
        <v/>
      </c>
      <c r="I15" s="132">
        <f>I12+I13-I14</f>
        <v/>
      </c>
      <c r="J15" s="102" t="n"/>
    </row>
    <row r="16" ht="15" customHeight="1">
      <c r="A16" s="112" t="inlineStr">
        <is>
          <t>Tax</t>
        </is>
      </c>
      <c r="B16" s="114">
        <f>B15-B17</f>
        <v/>
      </c>
      <c r="C16" s="114">
        <f>C15-C17</f>
        <v/>
      </c>
      <c r="D16" s="114">
        <f>D15-D17</f>
        <v/>
      </c>
      <c r="E16" s="114">
        <f>E15-E17</f>
        <v/>
      </c>
      <c r="F16" s="114">
        <f>F15-F17</f>
        <v/>
      </c>
      <c r="G16" s="114">
        <f>G15-G17</f>
        <v/>
      </c>
      <c r="H16" s="114">
        <f>H15-H17</f>
        <v/>
      </c>
      <c r="I16" s="114">
        <f>I15-I17</f>
        <v/>
      </c>
    </row>
    <row r="17" ht="15" customHeight="1">
      <c r="A17" s="131" t="inlineStr">
        <is>
          <t>Profit after tax</t>
        </is>
      </c>
      <c r="B17" s="134" t="n">
        <v>31562</v>
      </c>
      <c r="C17" s="134" t="n">
        <v>32447</v>
      </c>
      <c r="D17" s="134" t="n">
        <v>32562</v>
      </c>
      <c r="E17" s="134" t="n">
        <v>38449</v>
      </c>
      <c r="F17" s="134" t="n">
        <v>42303</v>
      </c>
      <c r="G17" s="134" t="n">
        <v>46099</v>
      </c>
      <c r="H17" s="134" t="n">
        <v>48797</v>
      </c>
      <c r="I17" s="134" t="n">
        <v>49454</v>
      </c>
      <c r="J17" s="102" t="n"/>
    </row>
    <row r="18" ht="15" customHeight="1">
      <c r="A18" s="112" t="inlineStr">
        <is>
          <t xml:space="preserve">  PAT margin (%)</t>
        </is>
      </c>
      <c r="B18" s="133">
        <f>B17/B6</f>
        <v/>
      </c>
      <c r="C18" s="133">
        <f>C17/C6</f>
        <v/>
      </c>
      <c r="D18" s="133">
        <f>D17/D6</f>
        <v/>
      </c>
      <c r="E18" s="133">
        <f>E17/E6</f>
        <v/>
      </c>
      <c r="F18" s="133">
        <f>F17/F6</f>
        <v/>
      </c>
      <c r="G18" s="133">
        <f>G17/G6</f>
        <v/>
      </c>
      <c r="H18" s="133">
        <f>H17/H6</f>
        <v/>
      </c>
      <c r="I18" s="133">
        <f>I17/I6</f>
        <v/>
      </c>
    </row>
    <row r="19" ht="15" customHeight="1">
      <c r="A19" s="110" t="inlineStr">
        <is>
          <t>EPS (₹)</t>
        </is>
      </c>
      <c r="B19" s="113" t="n">
        <v>83.87</v>
      </c>
      <c r="C19" s="113" t="n">
        <v>86.19</v>
      </c>
      <c r="D19" s="113" t="n">
        <v>87.67</v>
      </c>
      <c r="E19" s="113" t="n">
        <v>104.75</v>
      </c>
      <c r="F19" s="113" t="n">
        <v>115.19</v>
      </c>
      <c r="G19" s="113" t="n">
        <v>126.88</v>
      </c>
      <c r="H19" s="113" t="n">
        <v>134.2</v>
      </c>
      <c r="I19" s="113" t="n">
        <v>136.01</v>
      </c>
      <c r="J19" s="96" t="n"/>
    </row>
    <row r="20" ht="15" customHeight="1">
      <c r="A20" s="112" t="inlineStr">
        <is>
          <t>Dividend payout (%)</t>
        </is>
      </c>
      <c r="B20" s="135" t="n">
        <v>0.36</v>
      </c>
      <c r="C20" s="135" t="n">
        <v>0.85</v>
      </c>
      <c r="D20" s="135" t="n">
        <v>0.43</v>
      </c>
      <c r="E20" s="135" t="n">
        <v>0.41</v>
      </c>
      <c r="F20" s="135" t="n">
        <v>1</v>
      </c>
      <c r="G20" s="135" t="n">
        <v>0.58</v>
      </c>
      <c r="H20" s="135" t="n">
        <v>0.9399999999999999</v>
      </c>
      <c r="I20" s="135" t="n">
        <v>0.8100000000000001</v>
      </c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</row>
    <row r="22" ht="15" customHeight="1">
      <c r="A22" s="116" t="inlineStr">
        <is>
          <t>Balance Sheet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95" t="n"/>
    </row>
    <row r="23" ht="15" customHeight="1">
      <c r="A23" s="112" t="inlineStr">
        <is>
          <t>Equity share capital</t>
        </is>
      </c>
      <c r="B23" s="129" t="n">
        <v>375</v>
      </c>
      <c r="C23" s="129" t="n">
        <v>375</v>
      </c>
      <c r="D23" s="129" t="n">
        <v>370</v>
      </c>
      <c r="E23" s="129" t="n">
        <v>366</v>
      </c>
      <c r="F23" s="129" t="n">
        <v>366</v>
      </c>
      <c r="G23" s="129" t="n">
        <v>362</v>
      </c>
      <c r="H23" s="129" t="n">
        <v>362</v>
      </c>
      <c r="I23" s="129" t="n">
        <v>362</v>
      </c>
    </row>
    <row r="24" ht="15" customHeight="1">
      <c r="A24" s="110" t="inlineStr">
        <is>
          <t>Reserves &amp; surplus</t>
        </is>
      </c>
      <c r="B24" s="115" t="n">
        <v>89071</v>
      </c>
      <c r="C24" s="115" t="n">
        <v>83751</v>
      </c>
      <c r="D24" s="115" t="n">
        <v>86063</v>
      </c>
      <c r="E24" s="115" t="n">
        <v>88773</v>
      </c>
      <c r="F24" s="115" t="n">
        <v>90058</v>
      </c>
      <c r="G24" s="115" t="n">
        <v>90127</v>
      </c>
      <c r="H24" s="115" t="n">
        <v>94394</v>
      </c>
      <c r="I24" s="115" t="n">
        <v>106878</v>
      </c>
      <c r="J24" s="96" t="n"/>
    </row>
    <row r="25" ht="15" customHeight="1">
      <c r="A25" s="118" t="inlineStr">
        <is>
          <t>Net worth</t>
        </is>
      </c>
      <c r="B25" s="136">
        <f>B23+B24</f>
        <v/>
      </c>
      <c r="C25" s="136">
        <f>C23+C24</f>
        <v/>
      </c>
      <c r="D25" s="136">
        <f>D23+D24</f>
        <v/>
      </c>
      <c r="E25" s="136">
        <f>E23+E24</f>
        <v/>
      </c>
      <c r="F25" s="136">
        <f>F23+F24</f>
        <v/>
      </c>
      <c r="G25" s="136">
        <f>G23+G24</f>
        <v/>
      </c>
      <c r="H25" s="136">
        <f>H23+H24</f>
        <v/>
      </c>
      <c r="I25" s="136">
        <f>I23+I24</f>
        <v/>
      </c>
    </row>
    <row r="26" ht="15" customHeight="1">
      <c r="A26" s="110" t="inlineStr">
        <is>
          <t>Borrowings (incl. lease liabilities)</t>
        </is>
      </c>
      <c r="B26" s="115" t="n">
        <v>62</v>
      </c>
      <c r="C26" s="115" t="n">
        <v>8174</v>
      </c>
      <c r="D26" s="115" t="n">
        <v>7795</v>
      </c>
      <c r="E26" s="115" t="n">
        <v>7818</v>
      </c>
      <c r="F26" s="115" t="n">
        <v>7688</v>
      </c>
      <c r="G26" s="115" t="n">
        <v>8021</v>
      </c>
      <c r="H26" s="115" t="n">
        <v>9392</v>
      </c>
      <c r="I26" s="115" t="n">
        <v>11283</v>
      </c>
      <c r="J26" s="96" t="n"/>
    </row>
    <row r="27" ht="15" customHeight="1">
      <c r="A27" s="112" t="inlineStr">
        <is>
          <t>Other liabilities &amp; provisions</t>
        </is>
      </c>
      <c r="B27" s="129" t="n">
        <v>24393</v>
      </c>
      <c r="C27" s="129" t="n">
        <v>27827</v>
      </c>
      <c r="D27" s="129" t="n">
        <v>35764</v>
      </c>
      <c r="E27" s="129" t="n">
        <v>43967</v>
      </c>
      <c r="F27" s="129" t="n">
        <v>44747</v>
      </c>
      <c r="G27" s="129" t="n">
        <v>46962</v>
      </c>
      <c r="H27" s="129" t="n">
        <v>54501</v>
      </c>
      <c r="I27" s="129" t="n">
        <v>62644</v>
      </c>
    </row>
    <row r="28" ht="15" customHeight="1">
      <c r="A28" s="131" t="inlineStr">
        <is>
          <t>Total equity &amp; liabilities</t>
        </is>
      </c>
      <c r="B28" s="132">
        <f>B25+B26+B27</f>
        <v/>
      </c>
      <c r="C28" s="132">
        <f>C25+C26+C27</f>
        <v/>
      </c>
      <c r="D28" s="132">
        <f>D25+D26+D27</f>
        <v/>
      </c>
      <c r="E28" s="132">
        <f>E25+E26+E27</f>
        <v/>
      </c>
      <c r="F28" s="132">
        <f>F25+F26+F27</f>
        <v/>
      </c>
      <c r="G28" s="132">
        <f>G25+G26+G27</f>
        <v/>
      </c>
      <c r="H28" s="132">
        <f>H25+H26+H27</f>
        <v/>
      </c>
      <c r="I28" s="132">
        <f>I25+I26+I27</f>
        <v/>
      </c>
      <c r="J28" s="102" t="n"/>
    </row>
    <row r="29" ht="15" customHeight="1">
      <c r="A29" s="112" t="inlineStr">
        <is>
          <t>Fixed assets (net)</t>
        </is>
      </c>
      <c r="B29" s="129" t="n">
        <v>12290</v>
      </c>
      <c r="C29" s="129" t="n">
        <v>20928</v>
      </c>
      <c r="D29" s="129" t="n">
        <v>21021</v>
      </c>
      <c r="E29" s="129" t="n">
        <v>21298</v>
      </c>
      <c r="F29" s="129" t="n">
        <v>20515</v>
      </c>
      <c r="G29" s="129" t="n">
        <v>19604</v>
      </c>
      <c r="H29" s="129" t="n">
        <v>23053</v>
      </c>
      <c r="I29" s="129" t="n">
        <v>31343</v>
      </c>
    </row>
    <row r="30" ht="15" customHeight="1">
      <c r="A30" s="110" t="inlineStr">
        <is>
          <t>Capital work-in-progress</t>
        </is>
      </c>
      <c r="B30" s="115" t="n">
        <v>963</v>
      </c>
      <c r="C30" s="115" t="n">
        <v>906</v>
      </c>
      <c r="D30" s="115" t="n">
        <v>926</v>
      </c>
      <c r="E30" s="115" t="n">
        <v>1205</v>
      </c>
      <c r="F30" s="115" t="n">
        <v>1234</v>
      </c>
      <c r="G30" s="115" t="n">
        <v>1564</v>
      </c>
      <c r="H30" s="115" t="n">
        <v>1546</v>
      </c>
      <c r="I30" s="115" t="n">
        <v>2665</v>
      </c>
      <c r="J30" s="96" t="n"/>
    </row>
    <row r="31" ht="15" customHeight="1">
      <c r="A31" s="112" t="inlineStr">
        <is>
          <t>Investments</t>
        </is>
      </c>
      <c r="B31" s="129" t="n">
        <v>29330</v>
      </c>
      <c r="C31" s="129" t="n">
        <v>26356</v>
      </c>
      <c r="D31" s="129" t="n">
        <v>29373</v>
      </c>
      <c r="E31" s="129" t="n">
        <v>30485</v>
      </c>
      <c r="F31" s="129" t="n">
        <v>37163</v>
      </c>
      <c r="G31" s="129" t="n">
        <v>31762</v>
      </c>
      <c r="H31" s="129" t="n">
        <v>30964</v>
      </c>
      <c r="I31" s="129" t="n">
        <v>33988</v>
      </c>
    </row>
    <row r="32" ht="15" customHeight="1">
      <c r="A32" s="110" t="inlineStr">
        <is>
          <t>Other assets (incl. cash, receivables)</t>
        </is>
      </c>
      <c r="B32" s="115" t="n">
        <v>71318</v>
      </c>
      <c r="C32" s="115" t="n">
        <v>71937</v>
      </c>
      <c r="D32" s="115" t="n">
        <v>78672</v>
      </c>
      <c r="E32" s="115" t="n">
        <v>87936</v>
      </c>
      <c r="F32" s="115" t="n">
        <v>83947</v>
      </c>
      <c r="G32" s="115" t="n">
        <v>92542</v>
      </c>
      <c r="H32" s="115" t="n">
        <v>103086</v>
      </c>
      <c r="I32" s="115" t="n">
        <v>113171</v>
      </c>
      <c r="J32" s="96" t="n"/>
    </row>
    <row r="33" ht="15" customHeight="1">
      <c r="A33" s="131" t="inlineStr">
        <is>
          <t>Total assets</t>
        </is>
      </c>
      <c r="B33" s="132">
        <f>SUM(B29:B32)</f>
        <v/>
      </c>
      <c r="C33" s="132">
        <f>SUM(C29:C32)</f>
        <v/>
      </c>
      <c r="D33" s="132">
        <f>SUM(D29:D32)</f>
        <v/>
      </c>
      <c r="E33" s="132">
        <f>SUM(E29:E32)</f>
        <v/>
      </c>
      <c r="F33" s="132">
        <f>SUM(F29:F32)</f>
        <v/>
      </c>
      <c r="G33" s="132">
        <f>SUM(G29:G32)</f>
        <v/>
      </c>
      <c r="H33" s="132">
        <f>SUM(H29:H32)</f>
        <v/>
      </c>
      <c r="I33" s="132">
        <f>SUM(I29:I32)</f>
        <v/>
      </c>
      <c r="J33" s="16" t="n"/>
    </row>
    <row r="34" ht="15" customHeight="1">
      <c r="A34" s="110" t="inlineStr">
        <is>
          <t>Balance check (must be ~0)</t>
        </is>
      </c>
      <c r="B34" s="137">
        <f>B28-B33</f>
        <v/>
      </c>
      <c r="C34" s="137">
        <f>C28-C33</f>
        <v/>
      </c>
      <c r="D34" s="137">
        <f>D28-D33</f>
        <v/>
      </c>
      <c r="E34" s="137">
        <f>E28-E33</f>
        <v/>
      </c>
      <c r="F34" s="137">
        <f>F28-F33</f>
        <v/>
      </c>
      <c r="G34" s="137">
        <f>G28-G33</f>
        <v/>
      </c>
      <c r="H34" s="137">
        <f>H28-H33</f>
        <v/>
      </c>
      <c r="I34" s="137">
        <f>I28-I33</f>
        <v/>
      </c>
      <c r="J34" s="96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</row>
    <row r="36" ht="15" customHeight="1">
      <c r="A36" s="116" t="inlineStr">
        <is>
          <t>Cash Flow Statement</t>
        </is>
      </c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95" t="n"/>
    </row>
    <row r="37" ht="15" customHeight="1">
      <c r="A37" s="112" t="inlineStr">
        <is>
          <t>Cash flow from operations</t>
        </is>
      </c>
      <c r="B37" s="129" t="n">
        <v>28593</v>
      </c>
      <c r="C37" s="129" t="n">
        <v>32369</v>
      </c>
      <c r="D37" s="129" t="n">
        <v>38802</v>
      </c>
      <c r="E37" s="129" t="n">
        <v>39949</v>
      </c>
      <c r="F37" s="129" t="n">
        <v>41965</v>
      </c>
      <c r="G37" s="129" t="n">
        <v>44338</v>
      </c>
      <c r="H37" s="129" t="n">
        <v>48908</v>
      </c>
      <c r="I37" s="129" t="n">
        <v>52094</v>
      </c>
    </row>
    <row r="38" ht="15" customHeight="1">
      <c r="A38" s="110" t="inlineStr">
        <is>
          <t>Cash flow from investing</t>
        </is>
      </c>
      <c r="B38" s="115" t="n">
        <v>1645</v>
      </c>
      <c r="C38" s="115" t="n">
        <v>8968</v>
      </c>
      <c r="D38" s="115" t="n">
        <v>-7956</v>
      </c>
      <c r="E38" s="115" t="n">
        <v>-738</v>
      </c>
      <c r="F38" s="115" t="n">
        <v>548</v>
      </c>
      <c r="G38" s="115" t="n">
        <v>6091</v>
      </c>
      <c r="H38" s="115" t="n">
        <v>-2144</v>
      </c>
      <c r="I38" s="115" t="n">
        <v>-11886</v>
      </c>
      <c r="J38" s="96" t="n"/>
    </row>
    <row r="39" ht="15" customHeight="1">
      <c r="A39" s="112" t="inlineStr">
        <is>
          <t>Cash flow from financing</t>
        </is>
      </c>
      <c r="B39" s="129" t="n">
        <v>-27897</v>
      </c>
      <c r="C39" s="129" t="n">
        <v>-39915</v>
      </c>
      <c r="D39" s="129" t="n">
        <v>-32634</v>
      </c>
      <c r="E39" s="129" t="n">
        <v>-33581</v>
      </c>
      <c r="F39" s="129" t="n">
        <v>-47878</v>
      </c>
      <c r="G39" s="129" t="n">
        <v>-48536</v>
      </c>
      <c r="H39" s="129" t="n">
        <v>-47438</v>
      </c>
      <c r="I39" s="129" t="n">
        <v>-42133</v>
      </c>
    </row>
    <row r="40" ht="15" customHeight="1">
      <c r="A40" s="131" t="inlineStr">
        <is>
          <t>Net change in cash</t>
        </is>
      </c>
      <c r="B40" s="132">
        <f>SUM(B37:B39)</f>
        <v/>
      </c>
      <c r="C40" s="132">
        <f>SUM(C37:C39)</f>
        <v/>
      </c>
      <c r="D40" s="132">
        <f>SUM(D37:D39)</f>
        <v/>
      </c>
      <c r="E40" s="132">
        <f>SUM(E37:E39)</f>
        <v/>
      </c>
      <c r="F40" s="132">
        <f>SUM(F37:F39)</f>
        <v/>
      </c>
      <c r="G40" s="132">
        <f>SUM(G37:G39)</f>
        <v/>
      </c>
      <c r="H40" s="132">
        <f>SUM(H37:H39)</f>
        <v/>
      </c>
      <c r="I40" s="132">
        <f>SUM(I37:I39)</f>
        <v/>
      </c>
      <c r="J40" s="102" t="n"/>
    </row>
    <row r="41" ht="15" customHeight="1">
      <c r="A41" s="131" t="inlineStr">
        <is>
          <t>Free cash flow (CFO − capex)</t>
        </is>
      </c>
      <c r="B41" s="134" t="n">
        <v>26461</v>
      </c>
      <c r="C41" s="134" t="n">
        <v>29281</v>
      </c>
      <c r="D41" s="134" t="n">
        <v>35663</v>
      </c>
      <c r="E41" s="134" t="n">
        <v>36985</v>
      </c>
      <c r="F41" s="134" t="n">
        <v>38902</v>
      </c>
      <c r="G41" s="134" t="n">
        <v>41688</v>
      </c>
      <c r="H41" s="134" t="n">
        <v>44994</v>
      </c>
      <c r="I41" s="134" t="n">
        <v>48013</v>
      </c>
      <c r="J41" s="16" t="n"/>
    </row>
    <row r="42" ht="15" customHeight="1">
      <c r="A42" s="110" t="inlineStr">
        <is>
          <t xml:space="preserve">  FCF conversion (% of PAT)</t>
        </is>
      </c>
      <c r="B42" s="130">
        <f>B41/B17</f>
        <v/>
      </c>
      <c r="C42" s="130">
        <f>C41/C17</f>
        <v/>
      </c>
      <c r="D42" s="130">
        <f>D41/D17</f>
        <v/>
      </c>
      <c r="E42" s="130">
        <f>E41/E17</f>
        <v/>
      </c>
      <c r="F42" s="130">
        <f>F41/F17</f>
        <v/>
      </c>
      <c r="G42" s="130">
        <f>G41/G17</f>
        <v/>
      </c>
      <c r="H42" s="130">
        <f>H41/H17</f>
        <v/>
      </c>
      <c r="I42" s="130">
        <f>I41/I17</f>
        <v/>
      </c>
      <c r="J42" s="96" t="n"/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4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H16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0" customWidth="1" min="1" max="1"/>
    <col width="13" customWidth="1" min="2" max="1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08" t="inlineStr">
        <is>
          <t>Tata Consultancy Services Ltd — 5-Year Operating Forecast &amp; FCFF Build</t>
        </is>
      </c>
      <c r="B1" s="109" t="n"/>
      <c r="C1" s="109" t="n"/>
      <c r="D1" s="109" t="n"/>
      <c r="E1" s="109" t="n"/>
      <c r="F1" s="109" t="n"/>
      <c r="G1" s="109" t="n"/>
      <c r="H1" s="92" t="n"/>
    </row>
    <row r="2" ht="3" customHeight="1">
      <c r="A2" s="110" t="n"/>
      <c r="B2" s="110" t="n"/>
      <c r="C2" s="110" t="n"/>
      <c r="D2" s="110" t="n"/>
      <c r="E2" s="110" t="n"/>
      <c r="F2" s="110" t="n"/>
      <c r="G2" s="110" t="n"/>
      <c r="H2" s="96" t="n"/>
    </row>
    <row r="3" ht="15" customHeight="1">
      <c r="A3" s="111" t="inlineStr">
        <is>
          <t>₹ Crore. Drivers feed from Assumptions sheet.</t>
        </is>
      </c>
      <c r="B3" s="111" t="n"/>
      <c r="C3" s="111" t="n"/>
      <c r="D3" s="111" t="n"/>
      <c r="E3" s="111" t="n"/>
      <c r="F3" s="111" t="n"/>
      <c r="G3" s="111" t="n"/>
      <c r="H3" s="94" t="n"/>
    </row>
    <row r="4" ht="15" customHeight="1">
      <c r="A4" s="111" t="inlineStr">
        <is>
          <t>Fiscal Year (ends March)</t>
        </is>
      </c>
      <c r="B4" s="138" t="inlineStr">
        <is>
          <t>FY2026A</t>
        </is>
      </c>
      <c r="C4" s="138" t="inlineStr">
        <is>
          <t>FY2027E</t>
        </is>
      </c>
      <c r="D4" s="138" t="inlineStr">
        <is>
          <t>FY2028E</t>
        </is>
      </c>
      <c r="E4" s="138" t="inlineStr">
        <is>
          <t>FY2029E</t>
        </is>
      </c>
      <c r="F4" s="138" t="inlineStr">
        <is>
          <t>FY2030E</t>
        </is>
      </c>
      <c r="G4" s="138" t="inlineStr">
        <is>
          <t>FY2031E</t>
        </is>
      </c>
      <c r="H4" s="94" t="n"/>
    </row>
    <row r="5" ht="15" customHeight="1">
      <c r="A5" s="120" t="inlineStr">
        <is>
          <t>Revenue</t>
        </is>
      </c>
      <c r="B5" s="139">
        <f>Historical!I6</f>
        <v/>
      </c>
      <c r="C5" s="140">
        <f>B5*(1+Assumptions!B13)</f>
        <v/>
      </c>
      <c r="D5" s="140">
        <f>C5*(1+Assumptions!C13)</f>
        <v/>
      </c>
      <c r="E5" s="140">
        <f>D5*(1+Assumptions!D13)</f>
        <v/>
      </c>
      <c r="F5" s="140">
        <f>E5*(1+Assumptions!E13)</f>
        <v/>
      </c>
      <c r="G5" s="140">
        <f>F5*(1+Assumptions!F13)</f>
        <v/>
      </c>
    </row>
    <row r="6" ht="15" customHeight="1">
      <c r="A6" s="110" t="inlineStr">
        <is>
          <t xml:space="preserve">  Revenue growth (%)</t>
        </is>
      </c>
      <c r="B6" s="110" t="n"/>
      <c r="C6" s="130">
        <f>C5/B5-1</f>
        <v/>
      </c>
      <c r="D6" s="130">
        <f>D5/C5-1</f>
        <v/>
      </c>
      <c r="E6" s="130">
        <f>E5/D5-1</f>
        <v/>
      </c>
      <c r="F6" s="130">
        <f>F5/E5-1</f>
        <v/>
      </c>
      <c r="G6" s="130">
        <f>G5/F5-1</f>
        <v/>
      </c>
      <c r="H6" s="96" t="n"/>
    </row>
    <row r="7" ht="15" customHeight="1">
      <c r="A7" s="131" t="inlineStr">
        <is>
          <t>EBITDA</t>
        </is>
      </c>
      <c r="B7" s="141">
        <f>Historical!I9</f>
        <v/>
      </c>
      <c r="C7" s="132">
        <f>C5*Assumptions!B14</f>
        <v/>
      </c>
      <c r="D7" s="132">
        <f>D5*Assumptions!C14</f>
        <v/>
      </c>
      <c r="E7" s="132">
        <f>E5*Assumptions!D14</f>
        <v/>
      </c>
      <c r="F7" s="132">
        <f>F5*Assumptions!E14</f>
        <v/>
      </c>
      <c r="G7" s="132">
        <f>G5*Assumptions!F14</f>
        <v/>
      </c>
    </row>
    <row r="8" ht="15" customHeight="1">
      <c r="A8" s="110" t="inlineStr">
        <is>
          <t xml:space="preserve">  EBITDA margin (%)</t>
        </is>
      </c>
      <c r="B8" s="130">
        <f>B7/B5</f>
        <v/>
      </c>
      <c r="C8" s="130">
        <f>C7/C5</f>
        <v/>
      </c>
      <c r="D8" s="130">
        <f>D7/D5</f>
        <v/>
      </c>
      <c r="E8" s="130">
        <f>E7/E5</f>
        <v/>
      </c>
      <c r="F8" s="130">
        <f>F7/F5</f>
        <v/>
      </c>
      <c r="G8" s="130">
        <f>G7/G5</f>
        <v/>
      </c>
      <c r="H8" s="96" t="n"/>
    </row>
    <row r="9" ht="15" customHeight="1">
      <c r="A9" s="110" t="inlineStr">
        <is>
          <t>Less: Depreciation &amp; amortisation</t>
        </is>
      </c>
      <c r="B9" s="110" t="n"/>
      <c r="C9" s="137">
        <f>C5*Assumptions!$B$15</f>
        <v/>
      </c>
      <c r="D9" s="137">
        <f>D5*Assumptions!$B$15</f>
        <v/>
      </c>
      <c r="E9" s="137">
        <f>E5*Assumptions!$B$15</f>
        <v/>
      </c>
      <c r="F9" s="137">
        <f>F5*Assumptions!$B$15</f>
        <v/>
      </c>
      <c r="G9" s="137">
        <f>G5*Assumptions!$B$15</f>
        <v/>
      </c>
    </row>
    <row r="10" ht="15" customHeight="1">
      <c r="A10" s="131" t="inlineStr">
        <is>
          <t>EBIT</t>
        </is>
      </c>
      <c r="B10" s="131" t="n"/>
      <c r="C10" s="132">
        <f>C7-C9</f>
        <v/>
      </c>
      <c r="D10" s="132">
        <f>D7-D9</f>
        <v/>
      </c>
      <c r="E10" s="132">
        <f>E7-E9</f>
        <v/>
      </c>
      <c r="F10" s="132">
        <f>F7-F9</f>
        <v/>
      </c>
      <c r="G10" s="132">
        <f>G7-G9</f>
        <v/>
      </c>
      <c r="H10" s="102" t="n"/>
    </row>
    <row r="11" ht="15" customHeight="1">
      <c r="A11" s="131" t="inlineStr">
        <is>
          <t>Less: Tax on EBIT</t>
        </is>
      </c>
      <c r="B11" s="131" t="n"/>
      <c r="C11" s="132">
        <f>C10*Assumptions!$B$17</f>
        <v/>
      </c>
      <c r="D11" s="132">
        <f>D10*Assumptions!$B$17</f>
        <v/>
      </c>
      <c r="E11" s="132">
        <f>E10*Assumptions!$B$17</f>
        <v/>
      </c>
      <c r="F11" s="132">
        <f>F10*Assumptions!$B$17</f>
        <v/>
      </c>
      <c r="G11" s="132">
        <f>G10*Assumptions!$B$17</f>
        <v/>
      </c>
    </row>
    <row r="12" ht="15" customHeight="1">
      <c r="A12" s="110" t="inlineStr">
        <is>
          <t>NOPAT</t>
        </is>
      </c>
      <c r="B12" s="110" t="n"/>
      <c r="C12" s="137">
        <f>C10-C11</f>
        <v/>
      </c>
      <c r="D12" s="137">
        <f>D10-D11</f>
        <v/>
      </c>
      <c r="E12" s="137">
        <f>E10-E11</f>
        <v/>
      </c>
      <c r="F12" s="137">
        <f>F10-F11</f>
        <v/>
      </c>
      <c r="G12" s="137">
        <f>G10-G11</f>
        <v/>
      </c>
      <c r="H12" s="96" t="n"/>
    </row>
    <row r="13" ht="15" customHeight="1">
      <c r="A13" s="110" t="inlineStr">
        <is>
          <t>Add: Depreciation &amp; amortisation</t>
        </is>
      </c>
      <c r="B13" s="110" t="n"/>
      <c r="C13" s="137">
        <f>C9</f>
        <v/>
      </c>
      <c r="D13" s="137">
        <f>D9</f>
        <v/>
      </c>
      <c r="E13" s="137">
        <f>E9</f>
        <v/>
      </c>
      <c r="F13" s="137">
        <f>F9</f>
        <v/>
      </c>
      <c r="G13" s="137">
        <f>G9</f>
        <v/>
      </c>
    </row>
    <row r="14" ht="15" customHeight="1">
      <c r="A14" s="110" t="inlineStr">
        <is>
          <t>Less: Capex</t>
        </is>
      </c>
      <c r="B14" s="110" t="n"/>
      <c r="C14" s="137">
        <f>C5*Assumptions!$B$16</f>
        <v/>
      </c>
      <c r="D14" s="137">
        <f>D5*Assumptions!$B$16</f>
        <v/>
      </c>
      <c r="E14" s="137">
        <f>E5*Assumptions!$B$16</f>
        <v/>
      </c>
      <c r="F14" s="137">
        <f>F5*Assumptions!$B$16</f>
        <v/>
      </c>
      <c r="G14" s="137">
        <f>G5*Assumptions!$B$16</f>
        <v/>
      </c>
      <c r="H14" s="96" t="n"/>
    </row>
    <row r="15" ht="15" customHeight="1">
      <c r="A15" s="110" t="inlineStr">
        <is>
          <t>Less: Increase in working capital</t>
        </is>
      </c>
      <c r="B15" s="110" t="n"/>
      <c r="C15" s="137">
        <f>(C5-B5)*Assumptions!$B$18</f>
        <v/>
      </c>
      <c r="D15" s="137">
        <f>(D5-C5)*Assumptions!$B$18</f>
        <v/>
      </c>
      <c r="E15" s="137">
        <f>(E5-D5)*Assumptions!$B$18</f>
        <v/>
      </c>
      <c r="F15" s="137">
        <f>(F5-E5)*Assumptions!$B$18</f>
        <v/>
      </c>
      <c r="G15" s="137">
        <f>(G5-F5)*Assumptions!$B$18</f>
        <v/>
      </c>
    </row>
    <row r="16" ht="15" customHeight="1">
      <c r="A16" s="131" t="inlineStr">
        <is>
          <t>Free cash flow to firm (FCFF)</t>
        </is>
      </c>
      <c r="B16" s="131" t="n"/>
      <c r="C16" s="132">
        <f>C12+C13-C14-C15</f>
        <v/>
      </c>
      <c r="D16" s="132">
        <f>D12+D13-D14-D15</f>
        <v/>
      </c>
      <c r="E16" s="132">
        <f>E12+E13-E14-E15</f>
        <v/>
      </c>
      <c r="F16" s="132">
        <f>F12+F13-F14-F15</f>
        <v/>
      </c>
      <c r="G16" s="132">
        <f>G12+G13-G14-G15</f>
        <v/>
      </c>
      <c r="H16" s="102" t="n"/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5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2" customWidth="1" min="1" max="1"/>
    <col width="13" customWidth="1" min="2" max="1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08" t="inlineStr">
        <is>
          <t>Tata Consultancy Services Ltd — Discounted Cash Flow Valuation</t>
        </is>
      </c>
      <c r="B1" s="109" t="n"/>
      <c r="C1" s="109" t="n"/>
      <c r="D1" s="109" t="n"/>
      <c r="E1" s="109" t="n"/>
      <c r="F1" s="109" t="n"/>
      <c r="G1" s="92" t="n"/>
      <c r="H1" s="92" t="n"/>
    </row>
    <row r="2" ht="3" customHeight="1">
      <c r="A2" s="110" t="n"/>
      <c r="B2" s="110" t="n"/>
      <c r="C2" s="110" t="n"/>
      <c r="D2" s="110" t="n"/>
      <c r="E2" s="110" t="n"/>
      <c r="F2" s="110" t="n"/>
      <c r="G2" s="96" t="n"/>
      <c r="H2" s="96" t="n"/>
    </row>
    <row r="3" ht="15" customHeight="1">
      <c r="A3" s="111" t="inlineStr">
        <is>
          <t>₹ Crore unless stated. WACC and terminal growth from Assumptions.</t>
        </is>
      </c>
      <c r="B3" s="111" t="n"/>
      <c r="C3" s="111" t="n"/>
      <c r="D3" s="111" t="n"/>
      <c r="E3" s="111" t="n"/>
      <c r="F3" s="111" t="n"/>
      <c r="G3" s="94" t="n"/>
      <c r="H3" s="94" t="n"/>
    </row>
    <row r="4" ht="15" customHeight="1">
      <c r="A4" s="111" t="inlineStr">
        <is>
          <t>Fiscal Year (ends March)</t>
        </is>
      </c>
      <c r="B4" s="138" t="inlineStr">
        <is>
          <t>FY2027E</t>
        </is>
      </c>
      <c r="C4" s="138" t="inlineStr">
        <is>
          <t>FY2028E</t>
        </is>
      </c>
      <c r="D4" s="138" t="inlineStr">
        <is>
          <t>FY2029E</t>
        </is>
      </c>
      <c r="E4" s="138" t="inlineStr">
        <is>
          <t>FY2030E</t>
        </is>
      </c>
      <c r="F4" s="138" t="inlineStr">
        <is>
          <t>FY2031E</t>
        </is>
      </c>
      <c r="G4" s="94" t="n"/>
      <c r="H4" s="94" t="n"/>
    </row>
    <row r="5" ht="15" customHeight="1">
      <c r="A5" s="120" t="inlineStr">
        <is>
          <t>FCFF</t>
        </is>
      </c>
      <c r="B5" s="139">
        <f>Forecast!C16</f>
        <v/>
      </c>
      <c r="C5" s="139">
        <f>Forecast!D16</f>
        <v/>
      </c>
      <c r="D5" s="139">
        <f>Forecast!E16</f>
        <v/>
      </c>
      <c r="E5" s="139">
        <f>Forecast!F16</f>
        <v/>
      </c>
      <c r="F5" s="139">
        <f>Forecast!G16</f>
        <v/>
      </c>
    </row>
    <row r="6" ht="15" customHeight="1">
      <c r="A6" s="110" t="inlineStr">
        <is>
          <t>Discount period (years)</t>
        </is>
      </c>
      <c r="B6" s="142" t="n">
        <v>1</v>
      </c>
      <c r="C6" s="142" t="n">
        <v>2</v>
      </c>
      <c r="D6" s="142" t="n">
        <v>3</v>
      </c>
      <c r="E6" s="142" t="n">
        <v>4</v>
      </c>
      <c r="F6" s="142" t="n">
        <v>5</v>
      </c>
      <c r="G6" s="96" t="n"/>
      <c r="H6" s="96" t="n"/>
    </row>
    <row r="7" ht="15" customHeight="1">
      <c r="A7" s="110" t="inlineStr">
        <is>
          <t>Discount factor @ WACC</t>
        </is>
      </c>
      <c r="B7" s="143">
        <f>1/(1+Assumptions!$B$25)^B6</f>
        <v/>
      </c>
      <c r="C7" s="143">
        <f>1/(1+Assumptions!$B$25)^C6</f>
        <v/>
      </c>
      <c r="D7" s="143">
        <f>1/(1+Assumptions!$B$25)^D6</f>
        <v/>
      </c>
      <c r="E7" s="143">
        <f>1/(1+Assumptions!$B$25)^E6</f>
        <v/>
      </c>
      <c r="F7" s="143">
        <f>1/(1+Assumptions!$B$25)^F6</f>
        <v/>
      </c>
    </row>
    <row r="8" ht="15" customHeight="1">
      <c r="A8" s="110" t="inlineStr">
        <is>
          <t>PV of FCFF</t>
        </is>
      </c>
      <c r="B8" s="137">
        <f>B5*B7</f>
        <v/>
      </c>
      <c r="C8" s="137">
        <f>C5*C7</f>
        <v/>
      </c>
      <c r="D8" s="137">
        <f>D5*D7</f>
        <v/>
      </c>
      <c r="E8" s="137">
        <f>E5*E7</f>
        <v/>
      </c>
      <c r="F8" s="137">
        <f>F5*F7</f>
        <v/>
      </c>
      <c r="G8" s="96" t="n"/>
      <c r="H8" s="96" t="n"/>
    </row>
    <row r="9">
      <c r="A9" s="24" t="n"/>
      <c r="B9" s="24" t="n"/>
      <c r="C9" s="24" t="n"/>
      <c r="D9" s="24" t="n"/>
      <c r="E9" s="24" t="n"/>
      <c r="F9" s="24" t="n"/>
    </row>
    <row r="10" ht="15" customHeight="1">
      <c r="A10" s="116" t="inlineStr">
        <is>
          <t>Valuation Bridge</t>
        </is>
      </c>
      <c r="B10" s="117" t="n"/>
      <c r="C10" s="117" t="n"/>
      <c r="D10" s="117" t="n"/>
      <c r="E10" s="117" t="n"/>
      <c r="F10" s="117" t="n"/>
      <c r="G10" s="95" t="n"/>
      <c r="H10" s="95" t="n"/>
    </row>
    <row r="11" ht="15" customHeight="1">
      <c r="A11" s="112" t="inlineStr">
        <is>
          <t>Sum of PV of explicit FCFF</t>
        </is>
      </c>
      <c r="B11" s="114">
        <f>SUM(B8:F8)</f>
        <v/>
      </c>
      <c r="C11" s="24" t="n"/>
      <c r="D11" s="24" t="n"/>
      <c r="E11" s="24" t="n"/>
      <c r="F11" s="24" t="n"/>
    </row>
    <row r="12" ht="15" customHeight="1">
      <c r="A12" s="110" t="inlineStr">
        <is>
          <t>Terminal value (Gordon growth)</t>
        </is>
      </c>
      <c r="B12" s="137">
        <f>F5*(1+Assumptions!B26)/(Assumptions!B25-Assumptions!B26)</f>
        <v/>
      </c>
      <c r="C12" s="110" t="n"/>
      <c r="D12" s="110" t="n"/>
      <c r="E12" s="110" t="n"/>
      <c r="F12" s="110" t="n"/>
    </row>
    <row r="13" ht="15" customHeight="1">
      <c r="A13" s="112" t="inlineStr">
        <is>
          <t>PV of terminal value</t>
        </is>
      </c>
      <c r="B13" s="114">
        <f>B12*F7</f>
        <v/>
      </c>
      <c r="C13" s="24" t="n"/>
      <c r="D13" s="24" t="n"/>
      <c r="E13" s="24" t="n"/>
      <c r="F13" s="24" t="n"/>
    </row>
    <row r="14" ht="15" customHeight="1">
      <c r="A14" s="131" t="inlineStr">
        <is>
          <t>Enterprise value</t>
        </is>
      </c>
      <c r="B14" s="132">
        <f>B11+B13</f>
        <v/>
      </c>
      <c r="C14" s="131" t="n"/>
      <c r="D14" s="131" t="n"/>
      <c r="E14" s="131" t="n"/>
      <c r="F14" s="131" t="n"/>
      <c r="G14" s="16" t="n"/>
      <c r="H14" s="16" t="n"/>
    </row>
    <row r="15" ht="15" customHeight="1">
      <c r="A15" s="112" t="inlineStr">
        <is>
          <t>Less: Net debt / add: net cash</t>
        </is>
      </c>
      <c r="B15" s="114">
        <f>-Assumptions!B8</f>
        <v/>
      </c>
      <c r="C15" s="24" t="n"/>
      <c r="D15" s="24" t="n"/>
      <c r="E15" s="24" t="n"/>
      <c r="F15" s="24" t="n"/>
    </row>
    <row r="16" ht="15" customHeight="1">
      <c r="A16" s="131" t="inlineStr">
        <is>
          <t>Equity value</t>
        </is>
      </c>
      <c r="B16" s="132">
        <f>B14+B15</f>
        <v/>
      </c>
      <c r="C16" s="131" t="n"/>
      <c r="D16" s="131" t="n"/>
      <c r="E16" s="131" t="n"/>
      <c r="F16" s="131" t="n"/>
      <c r="G16" s="16" t="n"/>
      <c r="H16" s="16" t="n"/>
    </row>
    <row r="17" ht="15" customHeight="1">
      <c r="A17" s="112" t="inlineStr">
        <is>
          <t>Shares outstanding (Cr)</t>
        </is>
      </c>
      <c r="B17" s="144">
        <f>Assumptions!B6</f>
        <v/>
      </c>
      <c r="C17" s="24" t="n"/>
      <c r="D17" s="24" t="n"/>
      <c r="E17" s="24" t="n"/>
      <c r="F17" s="24" t="n"/>
    </row>
    <row r="18" ht="15" customHeight="1">
      <c r="A18" s="120" t="inlineStr">
        <is>
          <t>Intrinsic value per share (₹)</t>
        </is>
      </c>
      <c r="B18" s="145">
        <f>B16/B17</f>
        <v/>
      </c>
      <c r="C18" s="110" t="n"/>
      <c r="D18" s="110" t="n"/>
      <c r="E18" s="110" t="n"/>
      <c r="F18" s="110" t="n"/>
    </row>
    <row r="19" ht="15" customHeight="1">
      <c r="A19" s="112" t="inlineStr">
        <is>
          <t>Current market price (₹)</t>
        </is>
      </c>
      <c r="B19" s="144">
        <f>Assumptions!B5</f>
        <v/>
      </c>
      <c r="C19" s="24" t="n"/>
      <c r="D19" s="24" t="n"/>
      <c r="E19" s="24" t="n"/>
      <c r="F19" s="24" t="n"/>
    </row>
    <row r="20" ht="15" customHeight="1">
      <c r="A20" s="120" t="inlineStr">
        <is>
          <t>Upside / (downside)</t>
        </is>
      </c>
      <c r="B20" s="121">
        <f>B18/B19-1</f>
        <v/>
      </c>
      <c r="C20" s="110" t="n"/>
      <c r="D20" s="110" t="n"/>
      <c r="E20" s="110" t="n"/>
      <c r="F20" s="110" t="n"/>
    </row>
    <row r="21" ht="15" customHeight="1">
      <c r="A21" s="131" t="inlineStr">
        <is>
          <t>Implied rating</t>
        </is>
      </c>
      <c r="B21" s="146">
        <f>IF(B20&gt;0.12,"BUY",IF(B20&gt;0.05,"ACCUMULATE",IF(B20&gt;-0.05,"HOLD","REDUCE")))</f>
        <v/>
      </c>
      <c r="C21" s="24" t="n"/>
      <c r="D21" s="24" t="n"/>
      <c r="E21" s="24" t="n"/>
      <c r="F21" s="24" t="n"/>
    </row>
    <row r="22" ht="15" customHeight="1">
      <c r="A22" s="110" t="inlineStr">
        <is>
          <t>% of EV in terminal value</t>
        </is>
      </c>
      <c r="B22" s="130">
        <f>B13/B14</f>
        <v/>
      </c>
      <c r="C22" s="110" t="n"/>
      <c r="D22" s="110" t="n"/>
      <c r="E22" s="110" t="n"/>
      <c r="F22" s="110" t="n"/>
    </row>
    <row r="23">
      <c r="A23" s="24" t="n"/>
      <c r="B23" s="24" t="n"/>
      <c r="C23" s="24" t="n"/>
      <c r="D23" s="24" t="n"/>
      <c r="E23" s="24" t="n"/>
      <c r="F23" s="24" t="n"/>
    </row>
    <row r="24" ht="15" customHeight="1">
      <c r="A24" s="116" t="inlineStr">
        <is>
          <t>Sensitivity: Intrinsic Value per Share (₹) — WACC vs Terminal Growth</t>
        </is>
      </c>
      <c r="B24" s="117" t="n"/>
      <c r="C24" s="117" t="n"/>
      <c r="D24" s="117" t="n"/>
      <c r="E24" s="117" t="n"/>
      <c r="F24" s="117" t="n"/>
      <c r="G24" s="95" t="n"/>
      <c r="H24" s="95" t="n"/>
    </row>
    <row r="25" ht="15" customHeight="1">
      <c r="A25" s="118" t="inlineStr">
        <is>
          <t>WACC ↓ / Terminal g →</t>
        </is>
      </c>
      <c r="B25" s="147" t="n">
        <v>0.04</v>
      </c>
      <c r="C25" s="147" t="n">
        <v>0.045</v>
      </c>
      <c r="D25" s="147" t="n">
        <v>0.05</v>
      </c>
      <c r="E25" s="147" t="n">
        <v>0.055</v>
      </c>
      <c r="F25" s="147" t="n">
        <v>0.06</v>
      </c>
    </row>
    <row r="26" ht="15" customHeight="1">
      <c r="A26" s="147" t="n">
        <v>0.10375</v>
      </c>
      <c r="B26" s="142">
        <f>(Forecast!C16/(1+$A26)^1+Forecast!D16/(1+$A26)^2+Forecast!E16/(1+$A26)^3+Forecast!F16/(1+$A26)^4+Forecast!G16/(1+$A26)^5+Forecast!G16*(1+B$25)/($A26-B$25)/(1+$A26)^5-Assumptions!$B$8)/Assumptions!$B$6</f>
        <v/>
      </c>
      <c r="C26" s="142">
        <f>(Forecast!C16/(1+$A26)^1+Forecast!D16/(1+$A26)^2+Forecast!E16/(1+$A26)^3+Forecast!F16/(1+$A26)^4+Forecast!G16/(1+$A26)^5+Forecast!G16*(1+C$25)/($A26-C$25)/(1+$A26)^5-Assumptions!$B$8)/Assumptions!$B$6</f>
        <v/>
      </c>
      <c r="D26" s="142">
        <f>(Forecast!C16/(1+$A26)^1+Forecast!D16/(1+$A26)^2+Forecast!E16/(1+$A26)^3+Forecast!F16/(1+$A26)^4+Forecast!G16/(1+$A26)^5+Forecast!G16*(1+D$25)/($A26-D$25)/(1+$A26)^5-Assumptions!$B$8)/Assumptions!$B$6</f>
        <v/>
      </c>
      <c r="E26" s="142">
        <f>(Forecast!C16/(1+$A26)^1+Forecast!D16/(1+$A26)^2+Forecast!E16/(1+$A26)^3+Forecast!F16/(1+$A26)^4+Forecast!G16/(1+$A26)^5+Forecast!G16*(1+E$25)/($A26-E$25)/(1+$A26)^5-Assumptions!$B$8)/Assumptions!$B$6</f>
        <v/>
      </c>
      <c r="F26" s="142">
        <f>(Forecast!C16/(1+$A26)^1+Forecast!D16/(1+$A26)^2+Forecast!E16/(1+$A26)^3+Forecast!F16/(1+$A26)^4+Forecast!G16/(1+$A26)^5+Forecast!G16*(1+F$25)/($A26-F$25)/(1+$A26)^5-Assumptions!$B$8)/Assumptions!$B$6</f>
        <v/>
      </c>
    </row>
    <row r="27" ht="15" customHeight="1">
      <c r="A27" s="147" t="n">
        <v>0.10875</v>
      </c>
      <c r="B27" s="148">
        <f>(Forecast!C16/(1+$A27)^1+Forecast!D16/(1+$A27)^2+Forecast!E16/(1+$A27)^3+Forecast!F16/(1+$A27)^4+Forecast!G16/(1+$A27)^5+Forecast!G16*(1+B$25)/($A27-B$25)/(1+$A27)^5-Assumptions!$B$8)/Assumptions!$B$6</f>
        <v/>
      </c>
      <c r="C27" s="148">
        <f>(Forecast!C16/(1+$A27)^1+Forecast!D16/(1+$A27)^2+Forecast!E16/(1+$A27)^3+Forecast!F16/(1+$A27)^4+Forecast!G16/(1+$A27)^5+Forecast!G16*(1+C$25)/($A27-C$25)/(1+$A27)^5-Assumptions!$B$8)/Assumptions!$B$6</f>
        <v/>
      </c>
      <c r="D27" s="148">
        <f>(Forecast!C16/(1+$A27)^1+Forecast!D16/(1+$A27)^2+Forecast!E16/(1+$A27)^3+Forecast!F16/(1+$A27)^4+Forecast!G16/(1+$A27)^5+Forecast!G16*(1+D$25)/($A27-D$25)/(1+$A27)^5-Assumptions!$B$8)/Assumptions!$B$6</f>
        <v/>
      </c>
      <c r="E27" s="148">
        <f>(Forecast!C16/(1+$A27)^1+Forecast!D16/(1+$A27)^2+Forecast!E16/(1+$A27)^3+Forecast!F16/(1+$A27)^4+Forecast!G16/(1+$A27)^5+Forecast!G16*(1+E$25)/($A27-E$25)/(1+$A27)^5-Assumptions!$B$8)/Assumptions!$B$6</f>
        <v/>
      </c>
      <c r="F27" s="148">
        <f>(Forecast!C16/(1+$A27)^1+Forecast!D16/(1+$A27)^2+Forecast!E16/(1+$A27)^3+Forecast!F16/(1+$A27)^4+Forecast!G16/(1+$A27)^5+Forecast!G16*(1+F$25)/($A27-F$25)/(1+$A27)^5-Assumptions!$B$8)/Assumptions!$B$6</f>
        <v/>
      </c>
    </row>
    <row r="28" ht="15" customHeight="1">
      <c r="A28" s="147" t="n">
        <v>0.11375</v>
      </c>
      <c r="B28" s="142">
        <f>(Forecast!C16/(1+$A28)^1+Forecast!D16/(1+$A28)^2+Forecast!E16/(1+$A28)^3+Forecast!F16/(1+$A28)^4+Forecast!G16/(1+$A28)^5+Forecast!G16*(1+B$25)/($A28-B$25)/(1+$A28)^5-Assumptions!$B$8)/Assumptions!$B$6</f>
        <v/>
      </c>
      <c r="C28" s="142">
        <f>(Forecast!C16/(1+$A28)^1+Forecast!D16/(1+$A28)^2+Forecast!E16/(1+$A28)^3+Forecast!F16/(1+$A28)^4+Forecast!G16/(1+$A28)^5+Forecast!G16*(1+C$25)/($A28-C$25)/(1+$A28)^5-Assumptions!$B$8)/Assumptions!$B$6</f>
        <v/>
      </c>
      <c r="D28" s="142">
        <f>(Forecast!C16/(1+$A28)^1+Forecast!D16/(1+$A28)^2+Forecast!E16/(1+$A28)^3+Forecast!F16/(1+$A28)^4+Forecast!G16/(1+$A28)^5+Forecast!G16*(1+D$25)/($A28-D$25)/(1+$A28)^5-Assumptions!$B$8)/Assumptions!$B$6</f>
        <v/>
      </c>
      <c r="E28" s="142">
        <f>(Forecast!C16/(1+$A28)^1+Forecast!D16/(1+$A28)^2+Forecast!E16/(1+$A28)^3+Forecast!F16/(1+$A28)^4+Forecast!G16/(1+$A28)^5+Forecast!G16*(1+E$25)/($A28-E$25)/(1+$A28)^5-Assumptions!$B$8)/Assumptions!$B$6</f>
        <v/>
      </c>
      <c r="F28" s="142">
        <f>(Forecast!C16/(1+$A28)^1+Forecast!D16/(1+$A28)^2+Forecast!E16/(1+$A28)^3+Forecast!F16/(1+$A28)^4+Forecast!G16/(1+$A28)^5+Forecast!G16*(1+F$25)/($A28-F$25)/(1+$A28)^5-Assumptions!$B$8)/Assumptions!$B$6</f>
        <v/>
      </c>
    </row>
    <row r="29" ht="15" customHeight="1">
      <c r="A29" s="147" t="n">
        <v>0.11875</v>
      </c>
      <c r="B29" s="148">
        <f>(Forecast!C16/(1+$A29)^1+Forecast!D16/(1+$A29)^2+Forecast!E16/(1+$A29)^3+Forecast!F16/(1+$A29)^4+Forecast!G16/(1+$A29)^5+Forecast!G16*(1+B$25)/($A29-B$25)/(1+$A29)^5-Assumptions!$B$8)/Assumptions!$B$6</f>
        <v/>
      </c>
      <c r="C29" s="148">
        <f>(Forecast!C16/(1+$A29)^1+Forecast!D16/(1+$A29)^2+Forecast!E16/(1+$A29)^3+Forecast!F16/(1+$A29)^4+Forecast!G16/(1+$A29)^5+Forecast!G16*(1+C$25)/($A29-C$25)/(1+$A29)^5-Assumptions!$B$8)/Assumptions!$B$6</f>
        <v/>
      </c>
      <c r="D29" s="148">
        <f>(Forecast!C16/(1+$A29)^1+Forecast!D16/(1+$A29)^2+Forecast!E16/(1+$A29)^3+Forecast!F16/(1+$A29)^4+Forecast!G16/(1+$A29)^5+Forecast!G16*(1+D$25)/($A29-D$25)/(1+$A29)^5-Assumptions!$B$8)/Assumptions!$B$6</f>
        <v/>
      </c>
      <c r="E29" s="148">
        <f>(Forecast!C16/(1+$A29)^1+Forecast!D16/(1+$A29)^2+Forecast!E16/(1+$A29)^3+Forecast!F16/(1+$A29)^4+Forecast!G16/(1+$A29)^5+Forecast!G16*(1+E$25)/($A29-E$25)/(1+$A29)^5-Assumptions!$B$8)/Assumptions!$B$6</f>
        <v/>
      </c>
      <c r="F29" s="148">
        <f>(Forecast!C16/(1+$A29)^1+Forecast!D16/(1+$A29)^2+Forecast!E16/(1+$A29)^3+Forecast!F16/(1+$A29)^4+Forecast!G16/(1+$A29)^5+Forecast!G16*(1+F$25)/($A29-F$25)/(1+$A29)^5-Assumptions!$B$8)/Assumptions!$B$6</f>
        <v/>
      </c>
    </row>
    <row r="30" ht="15" customHeight="1">
      <c r="A30" s="147" t="n">
        <v>0.12375</v>
      </c>
      <c r="B30" s="142">
        <f>(Forecast!C16/(1+$A30)^1+Forecast!D16/(1+$A30)^2+Forecast!E16/(1+$A30)^3+Forecast!F16/(1+$A30)^4+Forecast!G16/(1+$A30)^5+Forecast!G16*(1+B$25)/($A30-B$25)/(1+$A30)^5-Assumptions!$B$8)/Assumptions!$B$6</f>
        <v/>
      </c>
      <c r="C30" s="142">
        <f>(Forecast!C16/(1+$A30)^1+Forecast!D16/(1+$A30)^2+Forecast!E16/(1+$A30)^3+Forecast!F16/(1+$A30)^4+Forecast!G16/(1+$A30)^5+Forecast!G16*(1+C$25)/($A30-C$25)/(1+$A30)^5-Assumptions!$B$8)/Assumptions!$B$6</f>
        <v/>
      </c>
      <c r="D30" s="142">
        <f>(Forecast!C16/(1+$A30)^1+Forecast!D16/(1+$A30)^2+Forecast!E16/(1+$A30)^3+Forecast!F16/(1+$A30)^4+Forecast!G16/(1+$A30)^5+Forecast!G16*(1+D$25)/($A30-D$25)/(1+$A30)^5-Assumptions!$B$8)/Assumptions!$B$6</f>
        <v/>
      </c>
      <c r="E30" s="142">
        <f>(Forecast!C16/(1+$A30)^1+Forecast!D16/(1+$A30)^2+Forecast!E16/(1+$A30)^3+Forecast!F16/(1+$A30)^4+Forecast!G16/(1+$A30)^5+Forecast!G16*(1+E$25)/($A30-E$25)/(1+$A30)^5-Assumptions!$B$8)/Assumptions!$B$6</f>
        <v/>
      </c>
      <c r="F30" s="142">
        <f>(Forecast!C16/(1+$A30)^1+Forecast!D16/(1+$A30)^2+Forecast!E16/(1+$A30)^3+Forecast!F16/(1+$A30)^4+Forecast!G16/(1+$A30)^5+Forecast!G16*(1+F$25)/($A30-F$25)/(1+$A30)^5-Assumptions!$B$8)/Assumptions!$B$6</f>
        <v/>
      </c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6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J14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0" customWidth="1" min="1" max="1"/>
    <col width="13" customWidth="1" min="2" max="1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08" t="inlineStr">
        <is>
          <t>Tata Consultancy Services Ltd — Ratio &amp; Trend Analysis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92" t="n"/>
    </row>
    <row r="2" ht="3" customHeight="1">
      <c r="A2" s="110" t="n"/>
      <c r="B2" s="110" t="n"/>
      <c r="C2" s="110" t="n"/>
      <c r="D2" s="110" t="n"/>
      <c r="E2" s="110" t="n"/>
      <c r="F2" s="110" t="n"/>
      <c r="G2" s="110" t="n"/>
      <c r="H2" s="110" t="n"/>
      <c r="I2" s="110" t="n"/>
      <c r="J2" s="96" t="n"/>
    </row>
    <row r="3" ht="15" customHeight="1">
      <c r="A3" s="111" t="inlineStr">
        <is>
          <t>Computed from Historical sheet (₹ Crore basis).</t>
        </is>
      </c>
      <c r="B3" s="111" t="n"/>
      <c r="C3" s="111" t="n"/>
      <c r="D3" s="111" t="n"/>
      <c r="E3" s="111" t="n"/>
      <c r="F3" s="111" t="n"/>
      <c r="G3" s="111" t="n"/>
      <c r="H3" s="111" t="n"/>
      <c r="I3" s="111" t="n"/>
      <c r="J3" s="94" t="n"/>
    </row>
    <row r="4" ht="18" customHeight="1">
      <c r="A4" s="127" t="inlineStr">
        <is>
          <t>Fiscal Year (ends March)</t>
        </is>
      </c>
      <c r="B4" s="128" t="inlineStr">
        <is>
          <t>FY2019</t>
        </is>
      </c>
      <c r="C4" s="128" t="inlineStr">
        <is>
          <t>FY2020</t>
        </is>
      </c>
      <c r="D4" s="128" t="inlineStr">
        <is>
          <t>FY2021</t>
        </is>
      </c>
      <c r="E4" s="128" t="inlineStr">
        <is>
          <t>FY2022</t>
        </is>
      </c>
      <c r="F4" s="128" t="inlineStr">
        <is>
          <t>FY2023</t>
        </is>
      </c>
      <c r="G4" s="128" t="inlineStr">
        <is>
          <t>FY2024</t>
        </is>
      </c>
      <c r="H4" s="128" t="inlineStr">
        <is>
          <t>FY2025</t>
        </is>
      </c>
      <c r="I4" s="128" t="inlineStr">
        <is>
          <t>FY2026</t>
        </is>
      </c>
      <c r="J4" s="94" t="n"/>
    </row>
    <row r="5" ht="15" customHeight="1">
      <c r="A5" s="112" t="inlineStr">
        <is>
          <t>Revenue growth (%)</t>
        </is>
      </c>
      <c r="B5" s="133" t="inlineStr">
        <is>
          <t>—</t>
        </is>
      </c>
      <c r="C5" s="149">
        <f>Historical!C6/Historical!B6-1</f>
        <v/>
      </c>
      <c r="D5" s="149">
        <f>Historical!D6/Historical!C6-1</f>
        <v/>
      </c>
      <c r="E5" s="149">
        <f>Historical!E6/Historical!D6-1</f>
        <v/>
      </c>
      <c r="F5" s="149">
        <f>Historical!F6/Historical!E6-1</f>
        <v/>
      </c>
      <c r="G5" s="149">
        <f>Historical!G6/Historical!F6-1</f>
        <v/>
      </c>
      <c r="H5" s="149">
        <f>Historical!H6/Historical!G6-1</f>
        <v/>
      </c>
      <c r="I5" s="149">
        <f>Historical!I6/Historical!H6-1</f>
        <v/>
      </c>
    </row>
    <row r="6" ht="15" customHeight="1">
      <c r="A6" s="110" t="inlineStr">
        <is>
          <t>EBITDA margin (%)</t>
        </is>
      </c>
      <c r="B6" s="150">
        <f>Historical!B9/Historical!B6</f>
        <v/>
      </c>
      <c r="C6" s="150">
        <f>Historical!C9/Historical!C6</f>
        <v/>
      </c>
      <c r="D6" s="150">
        <f>Historical!D9/Historical!D6</f>
        <v/>
      </c>
      <c r="E6" s="150">
        <f>Historical!E9/Historical!E6</f>
        <v/>
      </c>
      <c r="F6" s="150">
        <f>Historical!F9/Historical!F6</f>
        <v/>
      </c>
      <c r="G6" s="150">
        <f>Historical!G9/Historical!G6</f>
        <v/>
      </c>
      <c r="H6" s="150">
        <f>Historical!H9/Historical!H6</f>
        <v/>
      </c>
      <c r="I6" s="150">
        <f>Historical!I9/Historical!I6</f>
        <v/>
      </c>
      <c r="J6" s="96" t="n"/>
    </row>
    <row r="7" ht="15" customHeight="1">
      <c r="A7" s="112" t="inlineStr">
        <is>
          <t>EBIT margin (%)</t>
        </is>
      </c>
      <c r="B7" s="149">
        <f>Historical!B12/Historical!B6</f>
        <v/>
      </c>
      <c r="C7" s="149">
        <f>Historical!C12/Historical!C6</f>
        <v/>
      </c>
      <c r="D7" s="149">
        <f>Historical!D12/Historical!D6</f>
        <v/>
      </c>
      <c r="E7" s="149">
        <f>Historical!E12/Historical!E6</f>
        <v/>
      </c>
      <c r="F7" s="149">
        <f>Historical!F12/Historical!F6</f>
        <v/>
      </c>
      <c r="G7" s="149">
        <f>Historical!G12/Historical!G6</f>
        <v/>
      </c>
      <c r="H7" s="149">
        <f>Historical!H12/Historical!H6</f>
        <v/>
      </c>
      <c r="I7" s="149">
        <f>Historical!I12/Historical!I6</f>
        <v/>
      </c>
    </row>
    <row r="8" ht="15" customHeight="1">
      <c r="A8" s="110" t="inlineStr">
        <is>
          <t>PAT margin (%)</t>
        </is>
      </c>
      <c r="B8" s="150">
        <f>Historical!B17/Historical!B6</f>
        <v/>
      </c>
      <c r="C8" s="150">
        <f>Historical!C17/Historical!C6</f>
        <v/>
      </c>
      <c r="D8" s="150">
        <f>Historical!D17/Historical!D6</f>
        <v/>
      </c>
      <c r="E8" s="150">
        <f>Historical!E17/Historical!E6</f>
        <v/>
      </c>
      <c r="F8" s="150">
        <f>Historical!F17/Historical!F6</f>
        <v/>
      </c>
      <c r="G8" s="150">
        <f>Historical!G17/Historical!G6</f>
        <v/>
      </c>
      <c r="H8" s="150">
        <f>Historical!H17/Historical!H6</f>
        <v/>
      </c>
      <c r="I8" s="150">
        <f>Historical!I17/Historical!I6</f>
        <v/>
      </c>
      <c r="J8" s="96" t="n"/>
    </row>
    <row r="9" ht="15" customHeight="1">
      <c r="A9" s="112" t="inlineStr">
        <is>
          <t>EPS growth (%)</t>
        </is>
      </c>
      <c r="B9" s="133" t="inlineStr">
        <is>
          <t>—</t>
        </is>
      </c>
      <c r="C9" s="149">
        <f>Historical!C19/Historical!B19-1</f>
        <v/>
      </c>
      <c r="D9" s="149">
        <f>Historical!D19/Historical!C19-1</f>
        <v/>
      </c>
      <c r="E9" s="149">
        <f>Historical!E19/Historical!D19-1</f>
        <v/>
      </c>
      <c r="F9" s="149">
        <f>Historical!F19/Historical!E19-1</f>
        <v/>
      </c>
      <c r="G9" s="149">
        <f>Historical!G19/Historical!F19-1</f>
        <v/>
      </c>
      <c r="H9" s="149">
        <f>Historical!H19/Historical!G19-1</f>
        <v/>
      </c>
      <c r="I9" s="149">
        <f>Historical!I19/Historical!H19-1</f>
        <v/>
      </c>
    </row>
    <row r="10" ht="15" customHeight="1">
      <c r="A10" s="110" t="inlineStr">
        <is>
          <t>Return on equity (PAT / avg net worth)</t>
        </is>
      </c>
      <c r="B10" s="150">
        <f>Historical!B17/Historical!B25</f>
        <v/>
      </c>
      <c r="C10" s="150">
        <f>Historical!C17/((Historical!C25+Historical!B25)/2)</f>
        <v/>
      </c>
      <c r="D10" s="150">
        <f>Historical!D17/((Historical!D25+Historical!C25)/2)</f>
        <v/>
      </c>
      <c r="E10" s="150">
        <f>Historical!E17/((Historical!E25+Historical!D25)/2)</f>
        <v/>
      </c>
      <c r="F10" s="150">
        <f>Historical!F17/((Historical!F25+Historical!E25)/2)</f>
        <v/>
      </c>
      <c r="G10" s="150">
        <f>Historical!G17/((Historical!G25+Historical!F25)/2)</f>
        <v/>
      </c>
      <c r="H10" s="150">
        <f>Historical!H17/((Historical!H25+Historical!G25)/2)</f>
        <v/>
      </c>
      <c r="I10" s="150">
        <f>Historical!I17/((Historical!I25+Historical!H25)/2)</f>
        <v/>
      </c>
      <c r="J10" s="96" t="n"/>
    </row>
    <row r="11" ht="15" customHeight="1">
      <c r="A11" s="112" t="inlineStr">
        <is>
          <t>ROCE (EBIT / avg capital employed)</t>
        </is>
      </c>
      <c r="B11" s="149">
        <f>Historical!B12/(Historical!B25+Historical!B26)</f>
        <v/>
      </c>
      <c r="C11" s="149">
        <f>Historical!C12/((Historical!C25+Historical!C26+Historical!B25+Historical!B26)/2)</f>
        <v/>
      </c>
      <c r="D11" s="149">
        <f>Historical!D12/((Historical!D25+Historical!D26+Historical!C25+Historical!C26)/2)</f>
        <v/>
      </c>
      <c r="E11" s="149">
        <f>Historical!E12/((Historical!E25+Historical!E26+Historical!D25+Historical!D26)/2)</f>
        <v/>
      </c>
      <c r="F11" s="149">
        <f>Historical!F12/((Historical!F25+Historical!F26+Historical!E25+Historical!E26)/2)</f>
        <v/>
      </c>
      <c r="G11" s="149">
        <f>Historical!G12/((Historical!G25+Historical!G26+Historical!F25+Historical!F26)/2)</f>
        <v/>
      </c>
      <c r="H11" s="149">
        <f>Historical!H12/((Historical!H25+Historical!H26+Historical!G25+Historical!G26)/2)</f>
        <v/>
      </c>
      <c r="I11" s="149">
        <f>Historical!I12/((Historical!I25+Historical!I26+Historical!H25+Historical!H26)/2)</f>
        <v/>
      </c>
    </row>
    <row r="12" ht="15" customHeight="1">
      <c r="A12" s="110" t="inlineStr">
        <is>
          <t>FCF conversion (FCF / PAT)</t>
        </is>
      </c>
      <c r="B12" s="150">
        <f>Historical!B41/Historical!B17</f>
        <v/>
      </c>
      <c r="C12" s="150">
        <f>Historical!C41/Historical!C17</f>
        <v/>
      </c>
      <c r="D12" s="150">
        <f>Historical!D41/Historical!D17</f>
        <v/>
      </c>
      <c r="E12" s="150">
        <f>Historical!E41/Historical!E17</f>
        <v/>
      </c>
      <c r="F12" s="150">
        <f>Historical!F41/Historical!F17</f>
        <v/>
      </c>
      <c r="G12" s="150">
        <f>Historical!G41/Historical!G17</f>
        <v/>
      </c>
      <c r="H12" s="150">
        <f>Historical!H41/Historical!H17</f>
        <v/>
      </c>
      <c r="I12" s="150">
        <f>Historical!I41/Historical!I17</f>
        <v/>
      </c>
      <c r="J12" s="96" t="n"/>
    </row>
    <row r="13" ht="15" customHeight="1">
      <c r="A13" s="112" t="inlineStr">
        <is>
          <t>Net debt / EBITDA (x)</t>
        </is>
      </c>
      <c r="B13" s="151">
        <f>(Historical!B26-Historical!B31)/Historical!B9</f>
        <v/>
      </c>
      <c r="C13" s="151">
        <f>(Historical!C26-Historical!C31)/Historical!C9</f>
        <v/>
      </c>
      <c r="D13" s="151">
        <f>(Historical!D26-Historical!D31)/Historical!D9</f>
        <v/>
      </c>
      <c r="E13" s="151">
        <f>(Historical!E26-Historical!E31)/Historical!E9</f>
        <v/>
      </c>
      <c r="F13" s="151">
        <f>(Historical!F26-Historical!F31)/Historical!F9</f>
        <v/>
      </c>
      <c r="G13" s="151">
        <f>(Historical!G26-Historical!G31)/Historical!G9</f>
        <v/>
      </c>
      <c r="H13" s="151">
        <f>(Historical!H26-Historical!H31)/Historical!H9</f>
        <v/>
      </c>
      <c r="I13" s="151">
        <f>(Historical!I26-Historical!I31)/Historical!I9</f>
        <v/>
      </c>
    </row>
    <row r="14" ht="15" customHeight="1">
      <c r="A14" s="110" t="inlineStr">
        <is>
          <t>Dividend payout (%)</t>
        </is>
      </c>
      <c r="B14" s="150">
        <f>Historical!B20</f>
        <v/>
      </c>
      <c r="C14" s="150">
        <f>Historical!C20</f>
        <v/>
      </c>
      <c r="D14" s="150">
        <f>Historical!D20</f>
        <v/>
      </c>
      <c r="E14" s="150">
        <f>Historical!E20</f>
        <v/>
      </c>
      <c r="F14" s="150">
        <f>Historical!F20</f>
        <v/>
      </c>
      <c r="G14" s="150">
        <f>Historical!G20</f>
        <v/>
      </c>
      <c r="H14" s="150">
        <f>Historical!H20</f>
        <v/>
      </c>
      <c r="I14" s="150">
        <f>Historical!I20</f>
        <v/>
      </c>
      <c r="J14" s="96" t="n"/>
    </row>
  </sheetData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7.xml><?xml version="1.0" encoding="utf-8"?>
<worksheet xmlns="http://schemas.openxmlformats.org/spreadsheetml/2006/main">
  <sheetPr>
    <tabColor rgb="FF1A237E"/>
    <outlinePr summaryBelow="1" summaryRight="1"/>
    <pageSetUpPr fitToPage="1"/>
  </sheetPr>
  <dimension ref="A1:G37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2" customWidth="1" min="1" max="1"/>
    <col width="14" customWidth="1" min="2" max="2"/>
    <col width="13" customWidth="1" min="3" max="7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24" customHeight="1">
      <c r="A1" s="108" t="inlineStr">
        <is>
          <t>Tata Consultancy Services Ltd — Peer Comparison (Indian IT Services)</t>
        </is>
      </c>
      <c r="B1" s="109" t="n"/>
      <c r="C1" s="109" t="n"/>
      <c r="D1" s="109" t="n"/>
      <c r="E1" s="109" t="n"/>
      <c r="F1" s="109" t="n"/>
      <c r="G1" s="109" t="n"/>
    </row>
    <row r="2" ht="3" customHeight="1">
      <c r="A2" s="110" t="n"/>
      <c r="B2" s="110" t="n"/>
      <c r="C2" s="110" t="n"/>
      <c r="D2" s="110" t="n"/>
      <c r="E2" s="110" t="n"/>
      <c r="F2" s="110" t="n"/>
      <c r="G2" s="110" t="n"/>
    </row>
    <row r="3" ht="15" customHeight="1">
      <c r="A3" s="111" t="inlineStr">
        <is>
          <t>Blue = inputs (as researched, Jun 2026). Yellow = update with live data.</t>
        </is>
      </c>
      <c r="B3" s="111" t="n"/>
      <c r="C3" s="111" t="n"/>
      <c r="D3" s="111" t="n"/>
      <c r="E3" s="111" t="n"/>
      <c r="F3" s="111" t="n"/>
      <c r="G3" s="111" t="n"/>
    </row>
    <row r="4" ht="15" customHeight="1">
      <c r="A4" s="111" t="inlineStr">
        <is>
          <t>Company</t>
        </is>
      </c>
      <c r="B4" s="138" t="inlineStr">
        <is>
          <t>Price (₹)</t>
        </is>
      </c>
      <c r="C4" s="138" t="inlineStr">
        <is>
          <t>EPS FY26 (₹)</t>
        </is>
      </c>
      <c r="D4" s="138" t="inlineStr">
        <is>
          <t>BVPS (₹)</t>
        </is>
      </c>
      <c r="E4" s="138" t="inlineStr">
        <is>
          <t>PAT FY26 (₹ Cr)</t>
        </is>
      </c>
      <c r="F4" s="138" t="inlineStr">
        <is>
          <t>P/E (x)</t>
        </is>
      </c>
      <c r="G4" s="138" t="inlineStr">
        <is>
          <t>P/B (x)</t>
        </is>
      </c>
    </row>
    <row r="5" ht="15" customHeight="1">
      <c r="A5" s="110" t="inlineStr">
        <is>
          <t>Tata Consultancy Services</t>
        </is>
      </c>
      <c r="B5" s="113" t="n">
        <v>2190</v>
      </c>
      <c r="C5" s="113" t="n">
        <v>134</v>
      </c>
      <c r="D5" s="113" t="n">
        <v>296</v>
      </c>
      <c r="E5" s="115" t="n">
        <v>49454</v>
      </c>
      <c r="F5" s="152">
        <f>IF(C5&gt;0,B5/C5,"n/a")</f>
        <v/>
      </c>
      <c r="G5" s="152">
        <f>IF(D5&gt;0,B5/D5,"n/a")</f>
        <v/>
      </c>
    </row>
    <row r="6" ht="15" customHeight="1">
      <c r="A6" s="110" t="inlineStr">
        <is>
          <t>Infosys</t>
        </is>
      </c>
      <c r="B6" s="113" t="n">
        <v>1211</v>
      </c>
      <c r="C6" s="113" t="n">
        <v>72.59</v>
      </c>
      <c r="D6" s="113" t="n">
        <v>229</v>
      </c>
      <c r="E6" s="115" t="n">
        <v>29474</v>
      </c>
      <c r="F6" s="152">
        <f>IF(C6&gt;0,B6/C6,"n/a")</f>
        <v/>
      </c>
      <c r="G6" s="152">
        <f>IF(D6&gt;0,B6/D6,"n/a")</f>
        <v/>
      </c>
    </row>
    <row r="7" ht="15" customHeight="1">
      <c r="A7" s="110" t="inlineStr">
        <is>
          <t>HCL Technologies</t>
        </is>
      </c>
      <c r="B7" s="113" t="n">
        <v>1117.6</v>
      </c>
      <c r="C7" s="113" t="n">
        <v>61.4</v>
      </c>
      <c r="D7" s="113" t="n">
        <v>257</v>
      </c>
      <c r="E7" s="115" t="n"/>
      <c r="F7" s="152">
        <f>IF(C7&gt;0,B7/C7,"n/a")</f>
        <v/>
      </c>
      <c r="G7" s="152">
        <f>IF(D7&gt;0,B7/D7,"n/a")</f>
        <v/>
      </c>
    </row>
    <row r="8" ht="15" customHeight="1">
      <c r="A8" s="110" t="inlineStr">
        <is>
          <t>Wipro</t>
        </is>
      </c>
      <c r="B8" s="113" t="n">
        <v>240.85</v>
      </c>
      <c r="C8" s="113" t="n">
        <v>12.82</v>
      </c>
      <c r="D8" s="113" t="n">
        <v>86</v>
      </c>
      <c r="E8" s="115" t="n"/>
      <c r="F8" s="152">
        <f>IF(C8&gt;0,B8/C8,"n/a")</f>
        <v/>
      </c>
      <c r="G8" s="152">
        <f>IF(D8&gt;0,B8/D8,"n/a")</f>
        <v/>
      </c>
    </row>
    <row r="9" ht="15" customHeight="1">
      <c r="A9" s="110" t="inlineStr">
        <is>
          <t>Tech Mahindra</t>
        </is>
      </c>
      <c r="B9" s="113" t="n">
        <v>1433.55</v>
      </c>
      <c r="C9" s="113" t="n">
        <v>50.2</v>
      </c>
      <c r="D9" s="113" t="n">
        <v>256</v>
      </c>
      <c r="E9" s="115" t="n"/>
      <c r="F9" s="152">
        <f>IF(C9&gt;0,B9/C9,"n/a")</f>
        <v/>
      </c>
      <c r="G9" s="152">
        <f>IF(D9&gt;0,B9/D9,"n/a")</f>
        <v/>
      </c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 ht="15" customHeight="1">
      <c r="A11" s="116" t="inlineStr">
        <is>
          <t>Peer rows left blank should be completed with live market data before circulation.</t>
        </is>
      </c>
      <c r="B11" s="117" t="n"/>
      <c r="C11" s="117" t="n"/>
      <c r="D11" s="117" t="n"/>
      <c r="E11" s="117" t="n"/>
      <c r="F11" s="117" t="n"/>
      <c r="G11" s="117" t="n"/>
    </row>
    <row r="13">
      <c r="A13" s="153" t="inlineStr">
        <is>
          <t>MARKET APPROACH — COMPARABLE COMPANY ANALYSIS</t>
        </is>
      </c>
      <c r="B13" s="90" t="n"/>
      <c r="C13" s="90" t="n"/>
      <c r="D13" s="90" t="n"/>
      <c r="E13" s="90" t="n"/>
      <c r="F13" s="90" t="n"/>
      <c r="G13" s="91" t="n"/>
    </row>
    <row r="14">
      <c r="A14" s="118" t="inlineStr">
        <is>
          <t>Peer median P/E (x)</t>
        </is>
      </c>
      <c r="B14" s="154">
        <f>MEDIAN(F6:F9)</f>
        <v/>
      </c>
    </row>
    <row r="15">
      <c r="A15" s="118" t="inlineStr">
        <is>
          <t>Peer median P/B (x)</t>
        </is>
      </c>
      <c r="B15" s="155">
        <f>MEDIAN(G6:G9)</f>
        <v/>
      </c>
    </row>
    <row r="16">
      <c r="A16" s="118" t="inlineStr">
        <is>
          <t>Implied value — median P/E × FY26 EPS (₹)</t>
        </is>
      </c>
      <c r="B16" s="148">
        <f>B14*C5</f>
        <v/>
      </c>
    </row>
    <row r="18">
      <c r="A18" s="153" t="inlineStr">
        <is>
          <t>VALUATION TRIANGULATION — FOOTBALL FIELD (multi-method)</t>
        </is>
      </c>
      <c r="B18" s="90" t="n"/>
      <c r="C18" s="90" t="n"/>
      <c r="D18" s="90" t="n"/>
      <c r="E18" s="90" t="n"/>
      <c r="F18" s="90" t="n"/>
      <c r="G18" s="91" t="n"/>
    </row>
    <row r="19">
      <c r="A19" s="120" t="inlineStr">
        <is>
          <t>Method</t>
        </is>
      </c>
      <c r="B19" s="120" t="inlineStr">
        <is>
          <t>Low (₹)</t>
        </is>
      </c>
      <c r="C19" s="120" t="inlineStr">
        <is>
          <t>Base (₹)</t>
        </is>
      </c>
      <c r="D19" s="120" t="inlineStr">
        <is>
          <t>High (₹)</t>
        </is>
      </c>
    </row>
    <row r="20">
      <c r="A20" s="131" t="inlineStr">
        <is>
          <t>DCF (FCFF, intrinsic)</t>
        </is>
      </c>
      <c r="B20" s="156">
        <f>DCF!B18*0.9</f>
        <v/>
      </c>
      <c r="C20" s="156">
        <f>DCF!B18</f>
        <v/>
      </c>
      <c r="D20" s="156">
        <f>DCF!B18*1.1</f>
        <v/>
      </c>
    </row>
    <row r="21">
      <c r="A21" s="112" t="inlineStr">
        <is>
          <t>Comparable companies — P/E</t>
        </is>
      </c>
      <c r="B21" s="148">
        <f>B16*0.9</f>
        <v/>
      </c>
      <c r="C21" s="148">
        <f>B16</f>
        <v/>
      </c>
      <c r="D21" s="148">
        <f>B16*1.1</f>
        <v/>
      </c>
    </row>
    <row r="22">
      <c r="A22" s="118" t="inlineStr">
        <is>
          <t>EV/EBITDA</t>
        </is>
      </c>
      <c r="B22" s="160">
        <f>B33*0.9</f>
        <v/>
      </c>
      <c r="C22" s="157">
        <f>B33</f>
        <v/>
      </c>
      <c r="D22" s="160">
        <f>B33*1.1</f>
        <v/>
      </c>
    </row>
    <row r="23">
      <c r="A23" s="112" t="inlineStr">
        <is>
          <t>Blended target (70% DCF / 30% relative)</t>
        </is>
      </c>
      <c r="C23" s="148">
        <f>0.7*DCF!B18+0.3*AVERAGE(B16,B33)</f>
        <v/>
      </c>
    </row>
    <row r="24">
      <c r="A24" s="118" t="inlineStr">
        <is>
          <t>Current market price (₹)</t>
        </is>
      </c>
      <c r="C24" s="158">
        <f>B5</f>
        <v/>
      </c>
    </row>
    <row r="25">
      <c r="A25" t="inlineStr">
        <is>
          <t>Implied upside / (downside)</t>
        </is>
      </c>
      <c r="C25" s="161">
        <f>C23/B5-1</f>
        <v/>
      </c>
    </row>
    <row r="26">
      <c r="A26" s="159" t="inlineStr">
        <is>
          <t>Peer prices as of Jun 2026 (IT sector fell further in Jul; refresh before publication). TCS live 18-Jul-2026.</t>
        </is>
      </c>
    </row>
    <row r="28">
      <c r="A28" s="153" t="inlineStr">
        <is>
          <t>MARKET MULTIPLE — EV/EBITDA</t>
        </is>
      </c>
    </row>
    <row r="29">
      <c r="A29" s="118" t="inlineStr">
        <is>
          <t>FY26 EBITDA (₹ Cr)</t>
        </is>
      </c>
      <c r="B29" s="148" t="n">
        <v>72900</v>
      </c>
    </row>
    <row r="30">
      <c r="A30" s="118" t="inlineStr">
        <is>
          <t>Justified EV/EBITDA (x) — below ~16x history, above ~11x current</t>
        </is>
      </c>
      <c r="B30" s="154" t="n">
        <v>13</v>
      </c>
    </row>
    <row r="31">
      <c r="A31" s="118" t="inlineStr">
        <is>
          <t>Enterprise value = mult × EBITDA (₹ Cr)</t>
        </is>
      </c>
      <c r="B31" s="148">
        <f>B30*B29</f>
        <v/>
      </c>
    </row>
    <row r="32">
      <c r="A32" s="118" t="inlineStr">
        <is>
          <t>Add: net cash (₹ Cr)</t>
        </is>
      </c>
      <c r="B32" s="148">
        <f>-Assumptions!B8</f>
        <v/>
      </c>
    </row>
    <row r="33">
      <c r="A33" s="118" t="inlineStr">
        <is>
          <t>EV/EBITDA-implied value / share (₹)</t>
        </is>
      </c>
      <c r="B33" s="148">
        <f>(B31+B32)/Assumptions!B6</f>
        <v/>
      </c>
    </row>
    <row r="35">
      <c r="A35" s="153" t="inlineStr">
        <is>
          <t>CROSS-CHECK — FCF YIELD</t>
        </is>
      </c>
    </row>
    <row r="36">
      <c r="A36" s="118" t="inlineStr">
        <is>
          <t>FY27E FCFF (₹ Cr)</t>
        </is>
      </c>
      <c r="B36" s="148">
        <f>Forecast!C16</f>
        <v/>
      </c>
    </row>
    <row r="37">
      <c r="A37" s="118" t="inlineStr">
        <is>
          <t>FCF yield = FCFF / market cap</t>
        </is>
      </c>
      <c r="B37" s="162">
        <f>B36/Assumptions!B7</f>
        <v/>
      </c>
    </row>
  </sheetData>
  <mergeCells count="2">
    <mergeCell ref="A13:G13"/>
    <mergeCell ref="A18:G18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2026-06-11T15:17:33Z</dcterms:created>
  <dcterms:modified xmlns:dcterms="http://purl.org/dc/terms/" xmlns:xsi="http://www.w3.org/2001/XMLSchema-instance" xsi:type="dcterms:W3CDTF">2026-07-21T14:11:07Z</dcterms:modified>
  <cp:lastModifiedBy>Debjit Mukherjee</cp:lastModifiedBy>
  <cp:revision>0</cp:revision>
</cp:coreProperties>
</file>