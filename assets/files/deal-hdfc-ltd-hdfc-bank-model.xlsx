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al Terms" sheetId="2" state="visible" r:id="rId2"/>
    <sheet xmlns:r="http://schemas.openxmlformats.org/officeDocument/2006/relationships" name="Target Standalone" sheetId="3" state="visible" r:id="rId3"/>
    <sheet xmlns:r="http://schemas.openxmlformats.org/officeDocument/2006/relationships" name="Acquirer Standalone" sheetId="4" state="visible" r:id="rId4"/>
    <sheet xmlns:r="http://schemas.openxmlformats.org/officeDocument/2006/relationships" name="Premium &amp; Precedents" sheetId="5" state="visible" r:id="rId5"/>
    <sheet xmlns:r="http://schemas.openxmlformats.org/officeDocument/2006/relationships" name="Synergies" sheetId="6" state="visible" r:id="rId6"/>
    <sheet xmlns:r="http://schemas.openxmlformats.org/officeDocument/2006/relationships" name="Accretion-Dilution" sheetId="7" state="visible" r:id="rId7"/>
    <sheet xmlns:r="http://schemas.openxmlformats.org/officeDocument/2006/relationships" name="Pro Forma" sheetId="8" state="visible" r:id="rId8"/>
    <sheet xmlns:r="http://schemas.openxmlformats.org/officeDocument/2006/relationships" name="Scorecard" sheetId="9" state="visible" r:id="rId9"/>
    <sheet xmlns:r="http://schemas.openxmlformats.org/officeDocument/2006/relationships" name="Valuation &amp; Verdict" sheetId="10" state="visible" r:id="rId10"/>
    <sheet xmlns:r="http://schemas.openxmlformats.org/officeDocument/2006/relationships" name="Sensitivities" sheetId="11" state="visible" r:id="rId11"/>
    <sheet xmlns:r="http://schemas.openxmlformats.org/officeDocument/2006/relationships" name="Evidence" sheetId="12" state="visible" r:id="rId12"/>
  </sheets>
  <definedNames>
    <definedName name="AD_PAT26">(Scorecard!$I$13+Scorecard!$I$14+Scorecard!$I$15+Scorecard!$I$16)*100</definedName>
  </definedNames>
  <calcPr calcId="124519" fullCalcOnLoad="1"/>
</workbook>
</file>

<file path=xl/styles.xml><?xml version="1.0" encoding="utf-8"?>
<styleSheet xmlns="http://schemas.openxmlformats.org/spreadsheetml/2006/main">
  <numFmts count="14">
    <numFmt numFmtId="164" formatCode="0.000&quot;x&quot;"/>
    <numFmt numFmtId="165" formatCode="0.0000"/>
    <numFmt numFmtId="166" formatCode="#,##0;(#,##0)"/>
    <numFmt numFmtId="167" formatCode="0.0%"/>
    <numFmt numFmtId="168" formatCode="0.00&quot;x&quot;"/>
    <numFmt numFmtId="169" formatCode="#,##0.0"/>
    <numFmt numFmtId="170" formatCode="0.0000&quot;x&quot;"/>
    <numFmt numFmtId="171" formatCode="+0.0;-0.0"/>
    <numFmt numFmtId="172" formatCode="#,##0.0;(#,##0.0)"/>
    <numFmt numFmtId="173" formatCode="0.0&quot;x&quot;"/>
    <numFmt numFmtId="174" formatCode="+0.00%;-0.00%"/>
    <numFmt numFmtId="175" formatCode="0.000000"/>
    <numFmt numFmtId="176" formatCode="+0;-0"/>
    <numFmt numFmtId="177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sz val="10"/>
    </font>
    <font>
      <name val="Calibri"/>
      <b val="1"/>
      <color rgb="00000000"/>
      <sz val="10"/>
    </font>
    <font>
      <name val="Calibri"/>
      <color rgb="00008000"/>
      <sz val="10"/>
    </font>
    <font>
      <name val="Calibri"/>
      <b val="1"/>
      <color rgb="00008000"/>
      <sz val="10"/>
    </font>
    <font>
      <name val="Calibri"/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004C8F"/>
      </patternFill>
    </fill>
    <fill>
      <patternFill patternType="solid">
        <fgColor rgb="00ED23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0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168" fontId="8" fillId="0" borderId="0" pivotButton="0" quotePrefix="0" xfId="0"/>
    <xf numFmtId="10" fontId="8" fillId="0" borderId="0" pivotButton="0" quotePrefix="0" xfId="0"/>
    <xf numFmtId="166" fontId="8" fillId="0" borderId="0" pivotButton="0" quotePrefix="0" xfId="0"/>
    <xf numFmtId="167" fontId="8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7" fillId="0" borderId="0" pivotButton="0" quotePrefix="0" xfId="0"/>
    <xf numFmtId="4" fontId="5" fillId="0" borderId="0" pivotButton="0" quotePrefix="0" xfId="0"/>
    <xf numFmtId="4" fontId="7" fillId="0" borderId="0" pivotButton="0" quotePrefix="0" xfId="0"/>
    <xf numFmtId="165" fontId="4" fillId="0" borderId="0" pivotButton="0" quotePrefix="0" xfId="0"/>
    <xf numFmtId="10" fontId="4" fillId="0" borderId="0" pivotButton="0" quotePrefix="0" xfId="0"/>
    <xf numFmtId="4" fontId="4" fillId="0" borderId="0" pivotButton="0" quotePrefix="0" xfId="0"/>
    <xf numFmtId="0" fontId="3" fillId="2" borderId="0" applyAlignment="1" pivotButton="0" quotePrefix="0" xfId="0">
      <alignment horizontal="center" wrapText="1"/>
    </xf>
    <xf numFmtId="166" fontId="5" fillId="0" borderId="0" pivotButton="0" quotePrefix="0" xfId="0"/>
    <xf numFmtId="167" fontId="5" fillId="0" borderId="0" pivotButton="0" quotePrefix="0" xfId="0"/>
    <xf numFmtId="167" fontId="4" fillId="0" borderId="0" pivotButton="0" quotePrefix="0" xfId="0"/>
    <xf numFmtId="168" fontId="4" fillId="0" borderId="0" pivotButton="0" quotePrefix="0" xfId="0"/>
    <xf numFmtId="169" fontId="4" fillId="0" borderId="0" pivotButton="0" quotePrefix="0" xfId="0"/>
    <xf numFmtId="167" fontId="7" fillId="0" borderId="0" pivotButton="0" quotePrefix="0" xfId="0"/>
    <xf numFmtId="170" fontId="8" fillId="0" borderId="0" pivotButton="0" quotePrefix="0" xfId="0"/>
    <xf numFmtId="170" fontId="4" fillId="0" borderId="0" pivotButton="0" quotePrefix="0" xfId="0"/>
    <xf numFmtId="10" fontId="7" fillId="0" borderId="0" pivotButton="0" quotePrefix="0" xfId="0"/>
    <xf numFmtId="4" fontId="8" fillId="0" borderId="0" pivotButton="0" quotePrefix="0" xfId="0"/>
    <xf numFmtId="166" fontId="4" fillId="0" borderId="0" pivotButton="0" quotePrefix="0" xfId="0"/>
    <xf numFmtId="166" fontId="7" fillId="0" borderId="0" pivotButton="0" quotePrefix="0" xfId="0"/>
    <xf numFmtId="166" fontId="9" fillId="0" borderId="0" pivotButton="0" quotePrefix="0" xfId="0"/>
    <xf numFmtId="171" fontId="4" fillId="0" borderId="0" pivotButton="0" quotePrefix="0" xfId="0"/>
    <xf numFmtId="167" fontId="9" fillId="0" borderId="0" pivotButton="0" quotePrefix="0" xfId="0"/>
    <xf numFmtId="10" fontId="5" fillId="0" borderId="0" pivotButton="0" quotePrefix="0" xfId="0"/>
    <xf numFmtId="1" fontId="5" fillId="0" borderId="0" pivotButton="0" quotePrefix="0" xfId="0"/>
    <xf numFmtId="168" fontId="7" fillId="0" borderId="0" pivotButton="0" quotePrefix="0" xfId="0"/>
    <xf numFmtId="172" fontId="8" fillId="0" borderId="0" pivotButton="0" quotePrefix="0" xfId="0"/>
    <xf numFmtId="172" fontId="7" fillId="0" borderId="0" pivotButton="0" quotePrefix="0" xfId="0"/>
    <xf numFmtId="173" fontId="4" fillId="0" borderId="0" pivotButton="0" quotePrefix="0" xfId="0"/>
    <xf numFmtId="172" fontId="5" fillId="0" borderId="0" pivotButton="0" quotePrefix="0" xfId="0"/>
    <xf numFmtId="2" fontId="5" fillId="0" borderId="0" pivotButton="0" quotePrefix="0" xfId="0"/>
    <xf numFmtId="3" fontId="5" fillId="0" borderId="0" pivotButton="0" quotePrefix="0" xfId="0"/>
    <xf numFmtId="1" fontId="4" fillId="0" borderId="0" pivotButton="0" quotePrefix="0" xfId="0"/>
    <xf numFmtId="174" fontId="4" fillId="0" borderId="0" pivotButton="0" quotePrefix="0" xfId="0"/>
    <xf numFmtId="171" fontId="7" fillId="0" borderId="0" pivotButton="0" quotePrefix="0" xfId="0"/>
    <xf numFmtId="175" fontId="4" fillId="0" borderId="0" pivotButton="0" quotePrefix="0" xfId="0"/>
    <xf numFmtId="176" fontId="4" fillId="0" borderId="0" pivotButton="0" quotePrefix="0" xfId="0"/>
    <xf numFmtId="177" fontId="7" fillId="0" borderId="0" pivotButton="0" quotePrefix="0" xfId="0"/>
    <xf numFmtId="168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5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8" customWidth="1" min="2" max="2"/>
  </cols>
  <sheetData>
    <row r="1">
      <c r="A1" s="1" t="inlineStr">
        <is>
          <t>DEAL DECODED #1  ·  HDFC LTD INTO HDFC BANK</t>
        </is>
      </c>
      <c r="B1" s="2" t="n"/>
      <c r="C1" s="2" t="n"/>
      <c r="D1" s="2" t="n"/>
      <c r="E1" s="2" t="n"/>
    </row>
    <row r="2">
      <c r="A2" s="3" t="inlineStr">
        <is>
          <t>Outside-in analysis from public filings. Debjit Mukherjee, IB Independent. Market data to 19-Oct-2026. Not investment advice.</t>
        </is>
      </c>
    </row>
    <row r="4">
      <c r="A4" s="4" t="inlineStr">
        <is>
          <t>HEADLINE OUTPUTS</t>
        </is>
      </c>
      <c r="B4" s="5" t="n"/>
      <c r="C4" s="5" t="n"/>
      <c r="D4" s="5" t="n"/>
      <c r="E4" s="5" t="n"/>
    </row>
    <row r="5">
      <c r="A5" s="6" t="inlineStr">
        <is>
          <t>Exchange ratio</t>
        </is>
      </c>
      <c r="B5" s="7">
        <f>'Deal Terms'!B22</f>
        <v/>
      </c>
    </row>
    <row r="6">
      <c r="A6" s="6" t="inlineStr">
        <is>
          <t>Premium over unaffected market ratio</t>
        </is>
      </c>
      <c r="B6" s="8">
        <f>'Premium &amp; Precedents'!B9</f>
        <v/>
      </c>
    </row>
    <row r="7">
      <c r="A7" s="6" t="inlineStr">
        <is>
          <t>Value transferred to HDFC Ltd holders (Rs crore)</t>
        </is>
      </c>
      <c r="B7" s="9">
        <f>'Premium &amp; Precedents'!B13</f>
        <v/>
      </c>
    </row>
    <row r="8">
      <c r="A8" s="6" t="inlineStr">
        <is>
          <t>Precedent median premium</t>
        </is>
      </c>
      <c r="B8" s="10">
        <f>'Premium &amp; Precedents'!D43</f>
        <v/>
      </c>
    </row>
    <row r="9">
      <c r="A9" s="6" t="inlineStr">
        <is>
          <t>Implied P/B (HDFC Ltd standalone FY22)</t>
        </is>
      </c>
      <c r="B9" s="7">
        <f>'Premium &amp; Precedents'!B18</f>
        <v/>
      </c>
    </row>
    <row r="10">
      <c r="A10" s="6" t="inlineStr">
        <is>
          <t>Net transfer from legacy HDFC Bank holders (Rs crore)</t>
        </is>
      </c>
      <c r="B10" s="9">
        <f>'Premium &amp; Precedents'!B15</f>
        <v/>
      </c>
    </row>
    <row r="11">
      <c r="A11" s="6" t="inlineStr">
        <is>
          <t>HDFC Ltd holders: earnings contribution vs ownership received</t>
        </is>
      </c>
      <c r="B11" s="10">
        <f>'Premium &amp; Precedents'!B54</f>
        <v/>
      </c>
    </row>
    <row r="12">
      <c r="A12" s="6" t="inlineStr">
        <is>
          <t xml:space="preserve">  … ownership received</t>
        </is>
      </c>
      <c r="B12" s="10">
        <f>'Premium &amp; Precedents'!B56</f>
        <v/>
      </c>
    </row>
    <row r="13">
      <c r="A13" s="6" t="inlineStr">
        <is>
          <t>PV of CRR/SLR drag over the transition (Rs crore)</t>
        </is>
      </c>
      <c r="B13" s="9">
        <f>Synergies!B26</f>
        <v/>
      </c>
    </row>
    <row r="14">
      <c r="A14" s="6" t="inlineStr">
        <is>
          <t>PV of drag ÷ net transfer</t>
        </is>
      </c>
      <c r="B14" s="7">
        <f>Synergies!B31</f>
        <v/>
      </c>
    </row>
    <row r="15">
      <c r="A15" s="6" t="inlineStr">
        <is>
          <t>EPS accretion, illustrative pro forma (deck)</t>
        </is>
      </c>
      <c r="B15" s="10">
        <f>'Accretion-Dilution'!D9</f>
        <v/>
      </c>
    </row>
    <row r="16">
      <c r="A16" s="6" t="inlineStr">
        <is>
          <t>EPS accretion after the CRR/SLR drag (before funding saving)</t>
        </is>
      </c>
      <c r="B16" s="10">
        <f>'Accretion-Dilution'!D15</f>
        <v/>
      </c>
    </row>
    <row r="17">
      <c r="A17" s="6" t="inlineStr">
        <is>
          <t>EPS CAGR, three years before the merger (FY2020–FY2023)</t>
        </is>
      </c>
      <c r="B17" s="10">
        <f>'Accretion-Dilution'!E21</f>
        <v/>
      </c>
    </row>
    <row r="18">
      <c r="A18" s="6" t="inlineStr">
        <is>
          <t xml:space="preserve">  … and across the merger (FY2023–FY2026)</t>
        </is>
      </c>
      <c r="B18" s="10">
        <f>'Accretion-Dilution'!G22</f>
        <v/>
      </c>
    </row>
    <row r="19">
      <c r="A19" s="6" t="inlineStr">
        <is>
          <t>HDFC Bank TSR, 1-Apr-2022 to 19-Oct-2026</t>
        </is>
      </c>
      <c r="B19" s="10">
        <f>'Valuation &amp; Verdict'!B9</f>
        <v/>
      </c>
    </row>
    <row r="20">
      <c r="A20" s="6" t="inlineStr">
        <is>
          <t>Nifty Bank price return, same window</t>
        </is>
      </c>
      <c r="B20" s="10">
        <f>'Valuation &amp; Verdict'!B11</f>
        <v/>
      </c>
    </row>
    <row r="21">
      <c r="A21" s="6" t="inlineStr">
        <is>
          <t>Former HDFC Ltd holder's total return</t>
        </is>
      </c>
      <c r="B21" s="10">
        <f>'Valuation &amp; Verdict'!B19</f>
        <v/>
      </c>
    </row>
    <row r="22">
      <c r="A22" s="6" t="inlineStr">
        <is>
          <t>Change in HDFC Bank P/B</t>
        </is>
      </c>
      <c r="B22" s="10">
        <f>'Valuation &amp; Verdict'!B27</f>
        <v/>
      </c>
    </row>
    <row r="23">
      <c r="A23" s="6" t="inlineStr">
        <is>
          <t>ROE before the merger (FY2023)</t>
        </is>
      </c>
      <c r="B23" s="10">
        <f>'Valuation &amp; Verdict'!B32</f>
        <v/>
      </c>
    </row>
    <row r="24">
      <c r="A24" s="6" t="inlineStr">
        <is>
          <t xml:space="preserve">  … ROE pro forma at close (deck)</t>
        </is>
      </c>
      <c r="B24" s="10">
        <f>'Valuation &amp; Verdict'!C32</f>
        <v/>
      </c>
    </row>
    <row r="25">
      <c r="A25" s="6" t="inlineStr">
        <is>
          <t xml:space="preserve">  … ROE latest (Q2 FY27)</t>
        </is>
      </c>
      <c r="B25" s="10">
        <f>'Valuation &amp; Verdict'!D32</f>
        <v/>
      </c>
    </row>
    <row r="28">
      <c r="A28" s="4" t="inlineStr">
        <is>
          <t>CHECKS (ALL MUST READ PASS)</t>
        </is>
      </c>
      <c r="B28" s="5" t="n"/>
      <c r="C28" s="5" t="n"/>
      <c r="D28" s="5" t="n"/>
      <c r="E28" s="5" t="n"/>
    </row>
    <row r="29">
      <c r="A29" s="6" t="inlineStr">
        <is>
          <t>Share count ties to allotment intimation</t>
        </is>
      </c>
      <c r="B29" s="11">
        <f>IF('Deal Terms'!B27=0,"PASS","FAIL")</f>
        <v/>
      </c>
    </row>
    <row r="30">
      <c r="A30" s="6" t="inlineStr">
        <is>
          <t>Record-date HDFC Ltd shares (allotment / ratio) within 3% of the announcement count</t>
        </is>
      </c>
      <c r="B30" s="11">
        <f>IF(ABS('Deal Terms'!B29/'Deal Terms'!B30-1)&lt;0.03,"PASS","FAIL")</f>
        <v/>
      </c>
    </row>
    <row r="31">
      <c r="A31" s="6" t="inlineStr">
        <is>
          <t>Drag grid base cell = Synergies</t>
        </is>
      </c>
      <c r="B31" s="11">
        <f>IF(Sensitivities!B11=0,"PASS","FAIL")</f>
        <v/>
      </c>
    </row>
    <row r="32">
      <c r="A32" s="6" t="inlineStr">
        <is>
          <t>Accretion grid corners = Accretion-Dilution</t>
        </is>
      </c>
      <c r="B32" s="11">
        <f>IF(AND(Sensitivities!B21=0,Sensitivities!F21=0),"PASS","FAIL")</f>
        <v/>
      </c>
    </row>
    <row r="35">
      <c r="A35" s="4" t="inlineStr">
        <is>
          <t>TAB MAP</t>
        </is>
      </c>
      <c r="B35" s="5" t="n"/>
      <c r="C35" s="5" t="n"/>
      <c r="D35" s="5" t="n"/>
      <c r="E35" s="5" t="n"/>
    </row>
    <row r="36">
      <c r="A36" s="6" t="inlineStr">
        <is>
          <t>Deal Terms — snapshot, share arithmetic, timeline, RBI forbearance</t>
        </is>
      </c>
    </row>
    <row r="37">
      <c r="A37" s="6" t="inlineStr">
        <is>
          <t>Target Standalone / Acquirer Standalone — FY2020–FY2023</t>
        </is>
      </c>
    </row>
    <row r="38">
      <c r="A38" s="6" t="inlineStr">
        <is>
          <t>Premium &amp; Precedents — what was paid</t>
        </is>
      </c>
    </row>
    <row r="39">
      <c r="A39" s="6" t="inlineStr">
        <is>
          <t>Synergies — claims vs the CRR/SLR bill (PV over the transition); funding repair</t>
        </is>
      </c>
    </row>
    <row r="40">
      <c r="A40" s="6" t="inlineStr">
        <is>
          <t>Accretion-Dilution — deck vs adjusted vs realised</t>
        </is>
      </c>
    </row>
    <row r="41">
      <c r="A41" s="6" t="inlineStr">
        <is>
          <t>Pro Forma — sources &amp; uses, ownership, balance-sheet shock</t>
        </is>
      </c>
    </row>
    <row r="42">
      <c r="A42" s="6" t="inlineStr">
        <is>
          <t>Scorecard — 14 quarters after the deal</t>
        </is>
      </c>
    </row>
    <row r="43">
      <c r="A43" s="6" t="inlineStr">
        <is>
          <t>Valuation &amp; Verdict — TSR, decomposition, verdict</t>
        </is>
      </c>
    </row>
    <row r="44">
      <c r="A44" s="6" t="inlineStr">
        <is>
          <t>Sensitivities — three grids</t>
        </is>
      </c>
    </row>
    <row r="45">
      <c r="A45" s="6" t="inlineStr">
        <is>
          <t>Evidence — sources</t>
        </is>
      </c>
    </row>
  </sheetData>
  <printOptions gridLines="0"/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9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2" t="inlineStr">
        <is>
          <t>HDFC Ltd into HDFC Bank — Deal Terms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Source: scheme filings, Reg 30 intimations, NCLT notices, RBI/IRDAI disclosures (see Evidence). Units INR crore unless stated. Blue = input, black = formula, green = cross-sheet link.</t>
        </is>
      </c>
    </row>
    <row r="4">
      <c r="A4" s="4" t="inlineStr">
        <is>
          <t>DEAL SNAPSHOT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6" t="inlineStr">
        <is>
          <t>Announced</t>
        </is>
      </c>
      <c r="B5" s="13" t="inlineStr">
        <is>
          <t>4-Apr-2022 (boards met before market open)</t>
        </is>
      </c>
    </row>
    <row r="6">
      <c r="A6" s="6" t="inlineStr">
        <is>
          <t>Structure</t>
        </is>
      </c>
      <c r="B6" s="13" t="inlineStr">
        <is>
          <t>Composite scheme u/s 230–232; HDFC Investments and HDFC Holdings into HDFC Ltd, then HDFC Ltd into HDFC Bank</t>
        </is>
      </c>
    </row>
    <row r="7">
      <c r="A7" s="6" t="inlineStr">
        <is>
          <t>Consideration</t>
        </is>
      </c>
      <c r="B7" s="13" t="inlineStr">
        <is>
          <t>All stock: 42 HDFC Bank shares (FV Re 1) for 25 HDFC Ltd shares (FV Rs 2)</t>
        </is>
      </c>
    </row>
    <row r="8">
      <c r="A8" s="6" t="inlineStr">
        <is>
          <t>Cross-holding</t>
        </is>
      </c>
      <c r="B8" s="13" t="inlineStr">
        <is>
          <t>HDFC group's ~21% stake in HDFC Bank extinguished; bank becomes 100% public</t>
        </is>
      </c>
    </row>
    <row r="9">
      <c r="A9" s="6" t="inlineStr">
        <is>
          <t>Accounting</t>
        </is>
      </c>
      <c r="B9" s="13" t="inlineStr">
        <is>
          <t>Pooling of interests (AS-14)</t>
        </is>
      </c>
    </row>
    <row r="10">
      <c r="A10" s="6" t="inlineStr">
        <is>
          <t>Effective date</t>
        </is>
      </c>
      <c r="B10" s="13" t="inlineStr">
        <is>
          <t>1-Jul-2023 (record date 13-Jul-2023, allotment 14-Jul-2023)</t>
        </is>
      </c>
    </row>
    <row r="11">
      <c r="A11" s="6" t="inlineStr">
        <is>
          <t>Fairness opinion — HDFC Bank</t>
        </is>
      </c>
      <c r="B11" s="13" t="inlineStr">
        <is>
          <t>Morgan Stanley India (ratio fair to HDFC Bank)</t>
        </is>
      </c>
    </row>
    <row r="12">
      <c r="A12" s="6" t="inlineStr">
        <is>
          <t>Fairness opinion — HDFC Ltd</t>
        </is>
      </c>
      <c r="B12" s="13" t="inlineStr">
        <is>
          <t>BofA Securities India (ratio fair to HDFC Ltd)</t>
        </is>
      </c>
    </row>
    <row r="13">
      <c r="A13" s="6" t="inlineStr">
        <is>
          <t>Registered valuers</t>
        </is>
      </c>
      <c r="B13" s="13" t="inlineStr">
        <is>
          <t>H. C. Ruparelia with Deloitte (bank); Drushti Desai with Bansi S. Mehta &amp; Co. (HDFC Ltd); joint report 4-Apr-2022</t>
        </is>
      </c>
    </row>
    <row r="14">
      <c r="A14" s="6" t="inlineStr">
        <is>
          <t>Valuation approaches considered</t>
        </is>
      </c>
      <c r="B14" s="13" t="inlineStr">
        <is>
          <t>Asset, income/DCF, market price, cost (per law-firm summary; weights not extractable from scanned annexures)</t>
        </is>
      </c>
    </row>
    <row r="15">
      <c r="A15" s="6" t="inlineStr">
        <is>
          <t>Guided timeline</t>
        </is>
      </c>
      <c r="B15" s="13" t="inlineStr">
        <is>
          <t>15–18 months (management, 4-Apr-2022); actual 15 months to effective date</t>
        </is>
      </c>
    </row>
    <row r="16">
      <c r="A16" s="6" t="inlineStr">
        <is>
          <t>Headline size</t>
        </is>
      </c>
      <c r="B16" s="13" t="inlineStr">
        <is>
          <t>~USD 40bn (press)</t>
        </is>
      </c>
    </row>
    <row r="19">
      <c r="A19" s="4" t="inlineStr">
        <is>
          <t>SHARE ARITHMETIC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6" t="inlineStr">
        <is>
          <t>HDFC Bank shares per 25 HDFC Ltd shares</t>
        </is>
      </c>
      <c r="B20" s="13" t="n">
        <v>42</v>
      </c>
    </row>
    <row r="21">
      <c r="A21" s="6" t="inlineStr">
        <is>
          <t>HDFC Ltd shares exchanged (denominator)</t>
        </is>
      </c>
      <c r="B21" s="13" t="n">
        <v>25</v>
      </c>
    </row>
    <row r="22">
      <c r="A22" s="14" t="inlineStr">
        <is>
          <t>Exchange ratio (HDFC Bank shares per HDFC Ltd share)</t>
        </is>
      </c>
      <c r="B22" s="15">
        <f>B20/B21</f>
        <v/>
      </c>
    </row>
    <row r="23">
      <c r="A23" s="6" t="inlineStr">
        <is>
          <t>HDFC Bank shares outstanding before (crore)</t>
        </is>
      </c>
      <c r="B23" s="16" t="n">
        <v>559.1798806</v>
      </c>
    </row>
    <row r="24">
      <c r="A24" s="6" t="inlineStr">
        <is>
          <t>New shares issued to HDFC Ltd holders (crore)</t>
        </is>
      </c>
      <c r="B24" s="16" t="n">
        <v>311.0396492</v>
      </c>
    </row>
    <row r="25">
      <c r="A25" s="6" t="inlineStr">
        <is>
          <t>Cross-held shares cancelled (crore)</t>
        </is>
      </c>
      <c r="B25" s="16" t="n">
        <v>116.4625834</v>
      </c>
    </row>
    <row r="26">
      <c r="A26" s="14" t="inlineStr">
        <is>
          <t>HDFC Bank shares outstanding after (crore)</t>
        </is>
      </c>
      <c r="B26" s="17">
        <f>B23+B24-B25</f>
        <v/>
      </c>
    </row>
    <row r="27">
      <c r="A27" s="6" t="inlineStr">
        <is>
          <t xml:space="preserve">  Check vs allotment intimation (753.7569464 crore) — must be 0</t>
        </is>
      </c>
      <c r="B27" s="18">
        <f>ROUND(B26-753.7569464,4)</f>
        <v/>
      </c>
    </row>
    <row r="28">
      <c r="A28" s="6" t="inlineStr">
        <is>
          <t>Former HDFC Ltd holders' share of the combined bank</t>
        </is>
      </c>
      <c r="B28" s="19">
        <f>B24/B26</f>
        <v/>
      </c>
    </row>
    <row r="29">
      <c r="A29" s="6" t="inlineStr">
        <is>
          <t>HDFC Ltd shares at record date implied by allotment (crore)</t>
        </is>
      </c>
      <c r="B29" s="20">
        <f>B24/B22</f>
        <v/>
      </c>
    </row>
    <row r="30">
      <c r="A30" s="6" t="inlineStr">
        <is>
          <t>HDFC Ltd shares at announcement (crore)</t>
        </is>
      </c>
      <c r="B30" s="16" t="n">
        <v>181.73</v>
      </c>
    </row>
    <row r="32">
      <c r="A32" s="4" t="inlineStr">
        <is>
          <t>TIMELINE AND APPROVALS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21" t="inlineStr">
        <is>
          <t>Date</t>
        </is>
      </c>
      <c r="B33" s="21" t="inlineStr">
        <is>
          <t>Event</t>
        </is>
      </c>
    </row>
    <row r="34">
      <c r="A34" s="13" t="inlineStr">
        <is>
          <t>4-Apr-2022</t>
        </is>
      </c>
      <c r="B34" s="13" t="inlineStr">
        <is>
          <t>Boards approve; announcement</t>
        </is>
      </c>
    </row>
    <row r="35">
      <c r="A35" s="13" t="inlineStr">
        <is>
          <t>2-Jul-2022</t>
        </is>
      </c>
      <c r="B35" s="13" t="inlineStr">
        <is>
          <t>BSE no adverse observations / NSE no objection</t>
        </is>
      </c>
    </row>
    <row r="36">
      <c r="A36" s="13" t="inlineStr">
        <is>
          <t>4-Jul-2022</t>
        </is>
      </c>
      <c r="B36" s="13" t="inlineStr">
        <is>
          <t>RBI no-objection</t>
        </is>
      </c>
    </row>
    <row r="37">
      <c r="A37" s="13" t="inlineStr">
        <is>
          <t>7/8-Jul-2022</t>
        </is>
      </c>
      <c r="B37" s="13" t="inlineStr">
        <is>
          <t>PFRDA approval</t>
        </is>
      </c>
    </row>
    <row r="38">
      <c r="A38" s="13" t="inlineStr">
        <is>
          <t>8-Aug-2022</t>
        </is>
      </c>
      <c r="B38" s="13" t="inlineStr">
        <is>
          <t>NHB no-objection</t>
        </is>
      </c>
    </row>
    <row r="39">
      <c r="A39" s="13" t="inlineStr">
        <is>
          <t>12-Aug-2022</t>
        </is>
      </c>
      <c r="B39" s="13" t="inlineStr">
        <is>
          <t>CCI approval</t>
        </is>
      </c>
    </row>
    <row r="40">
      <c r="A40" s="13" t="inlineStr">
        <is>
          <t>25-Nov-2022</t>
        </is>
      </c>
      <c r="B40" s="13" t="inlineStr">
        <is>
          <t>Shareholder meetings; HDFC Bank 99.681% for (public 99.537%)</t>
        </is>
      </c>
    </row>
    <row r="41">
      <c r="A41" s="13" t="inlineStr">
        <is>
          <t>17-Mar-2023</t>
        </is>
      </c>
      <c r="B41" s="13" t="inlineStr">
        <is>
          <t>NCLT Mumbai sanction</t>
        </is>
      </c>
    </row>
    <row r="42">
      <c r="A42" s="13" t="inlineStr">
        <is>
          <t>20-Apr-2023</t>
        </is>
      </c>
      <c r="B42" s="13" t="inlineStr">
        <is>
          <t>RBI forbearance letter: CRR/SLR/LCR relief refused; PSL phased over 3 years</t>
        </is>
      </c>
    </row>
    <row r="43">
      <c r="A43" s="13" t="inlineStr">
        <is>
          <t>23-Jun-2023</t>
        </is>
      </c>
      <c r="B43" s="13" t="inlineStr">
        <is>
          <t>IRDAI approval (HDFC Life/ERGO stakes above 50%)</t>
        </is>
      </c>
    </row>
    <row r="44">
      <c r="A44" s="13" t="inlineStr">
        <is>
          <t>1-Jul-2023</t>
        </is>
      </c>
      <c r="B44" s="13" t="inlineStr">
        <is>
          <t>Scheme effective</t>
        </is>
      </c>
    </row>
    <row r="45">
      <c r="A45" s="13" t="inlineStr">
        <is>
          <t>13-Jul-2023</t>
        </is>
      </c>
      <c r="B45" s="13" t="inlineStr">
        <is>
          <t>Record date; HDFC Ltd delisted</t>
        </is>
      </c>
    </row>
    <row r="47">
      <c r="A47" s="4" t="inlineStr">
        <is>
          <t>RBI FORBEARANCE — REQUESTED VS GRANTED (20-Apr-2023)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21" t="inlineStr">
        <is>
          <t>Item</t>
        </is>
      </c>
      <c r="B48" s="21" t="inlineStr">
        <is>
          <t>RBI response</t>
        </is>
      </c>
    </row>
    <row r="49">
      <c r="A49" s="13" t="inlineStr">
        <is>
          <t>CRR / SLR / LCR on HDFC Ltd's book</t>
        </is>
      </c>
      <c r="B49" s="13" t="inlineStr">
        <is>
          <t>Refused — comply from the effective date 'without exceptions'</t>
        </is>
      </c>
    </row>
    <row r="50">
      <c r="A50" s="13" t="inlineStr">
        <is>
          <t>Priority-sector lending</t>
        </is>
      </c>
      <c r="B50" s="13" t="inlineStr">
        <is>
          <t>Phased: 1/3 of HDFC Ltd loans in ANBC in year 1, rest over years 2–3</t>
        </is>
      </c>
    </row>
    <row r="51">
      <c r="A51" s="13" t="inlineStr">
        <is>
          <t>Subsidiaries (HDFC Life, ERGO, AMC)</t>
        </is>
      </c>
      <c r="B51" s="13" t="inlineStr">
        <is>
          <t>Allowed; Life/ERGO taken above 50% before effective date</t>
        </is>
      </c>
    </row>
    <row r="52">
      <c r="A52" s="13" t="inlineStr">
        <is>
          <t>HDFC Credila</t>
        </is>
      </c>
      <c r="B52" s="13" t="inlineStr">
        <is>
          <t>Reduce to 10% within 2 years (sold for ₹9,553 cr, Mar-2024)</t>
        </is>
      </c>
    </row>
    <row r="53">
      <c r="A53" s="13" t="inlineStr">
        <is>
          <t>HDFC Education</t>
        </is>
      </c>
      <c r="B53" s="13" t="inlineStr">
        <is>
          <t>Hold 2 years, then divest</t>
        </is>
      </c>
    </row>
    <row r="54">
      <c r="A54" s="13" t="inlineStr">
        <is>
          <t>Liabilities grandfathering</t>
        </is>
      </c>
      <c r="B54" s="13" t="inlineStr">
        <is>
          <t>Pending at the time</t>
        </is>
      </c>
    </row>
  </sheetData>
  <printOptions gridLines="0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2" t="inlineStr">
        <is>
          <t>HDFC Ltd (target) — standalone, FY2020–FY2023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Ind AS standalone; INR crore unless stated. Source: HDFC Ltd annual reports, results, Q4 FY23 call (see Evidence). n/a = not retrieved.</t>
        </is>
      </c>
    </row>
    <row r="4">
      <c r="A4" s="21" t="inlineStr"/>
      <c r="B4" s="21" t="inlineStr">
        <is>
          <t>FY2020</t>
        </is>
      </c>
      <c r="C4" s="21" t="inlineStr">
        <is>
          <t>FY2021</t>
        </is>
      </c>
      <c r="D4" s="21" t="inlineStr">
        <is>
          <t>FY2022</t>
        </is>
      </c>
      <c r="E4" s="21" t="inlineStr">
        <is>
          <t>FY2023</t>
        </is>
      </c>
    </row>
    <row r="5">
      <c r="A5" s="6" t="inlineStr">
        <is>
          <t>AUM incl. loans sold</t>
        </is>
      </c>
      <c r="B5" s="22" t="n">
        <v>516773</v>
      </c>
      <c r="C5" s="22" t="n">
        <v>569894</v>
      </c>
      <c r="D5" s="22" t="n">
        <v>653902</v>
      </c>
      <c r="E5" s="22" t="n">
        <v>723988</v>
      </c>
    </row>
    <row r="6">
      <c r="A6" s="6" t="inlineStr">
        <is>
          <t>Loans outstanding</t>
        </is>
      </c>
      <c r="B6" s="22" t="n">
        <v>450903</v>
      </c>
      <c r="C6" s="22" t="n">
        <v>498298</v>
      </c>
      <c r="D6" s="22" t="n">
        <v>568363</v>
      </c>
      <c r="E6" s="13" t="inlineStr">
        <is>
          <t>n/a</t>
        </is>
      </c>
    </row>
    <row r="7">
      <c r="A7" s="6" t="inlineStr">
        <is>
          <t>Borrowings (bank/FI + market + deposits)</t>
        </is>
      </c>
      <c r="B7" s="22" t="n">
        <v>419102</v>
      </c>
      <c r="C7" s="22" t="n">
        <v>441365</v>
      </c>
      <c r="D7" s="22" t="n">
        <v>499681</v>
      </c>
      <c r="E7" s="22" t="n">
        <v>568222</v>
      </c>
    </row>
    <row r="8">
      <c r="A8" s="6" t="inlineStr">
        <is>
          <t xml:space="preserve">  of which deposits</t>
        </is>
      </c>
      <c r="B8" s="22" t="n">
        <v>132324</v>
      </c>
      <c r="C8" s="22" t="n">
        <v>150131</v>
      </c>
      <c r="D8" s="22" t="n">
        <v>160900</v>
      </c>
      <c r="E8" s="22" t="n">
        <v>152111</v>
      </c>
    </row>
    <row r="9">
      <c r="A9" s="6" t="inlineStr">
        <is>
          <t>Shareholders' funds</t>
        </is>
      </c>
      <c r="B9" s="22" t="n">
        <v>86158</v>
      </c>
      <c r="C9" s="22" t="n">
        <v>108783</v>
      </c>
      <c r="D9" s="22" t="n">
        <v>120251</v>
      </c>
      <c r="E9" s="22" t="n">
        <v>133985</v>
      </c>
    </row>
    <row r="10">
      <c r="A10" s="6" t="inlineStr">
        <is>
          <t>Profit after tax (standalone)</t>
        </is>
      </c>
      <c r="B10" s="22" t="n">
        <v>17770</v>
      </c>
      <c r="C10" s="22" t="n">
        <v>12027</v>
      </c>
      <c r="D10" s="22" t="n">
        <v>13742</v>
      </c>
      <c r="E10" s="22" t="n">
        <v>16239</v>
      </c>
    </row>
    <row r="11">
      <c r="A11" s="6" t="inlineStr">
        <is>
          <t>Consolidated PAT attributable to HDFC</t>
        </is>
      </c>
      <c r="B11" s="13" t="inlineStr">
        <is>
          <t>n/a</t>
        </is>
      </c>
      <c r="C11" s="13" t="inlineStr">
        <is>
          <t>n/a</t>
        </is>
      </c>
      <c r="D11" s="22" t="n">
        <v>22595</v>
      </c>
      <c r="E11" s="22" t="n">
        <v>26161</v>
      </c>
    </row>
    <row r="12">
      <c r="A12" s="6" t="inlineStr">
        <is>
          <t>EPS (Rs)</t>
        </is>
      </c>
      <c r="B12" s="16" t="n">
        <v>103</v>
      </c>
      <c r="C12" s="16" t="n">
        <v>68</v>
      </c>
      <c r="D12" s="16" t="n">
        <v>76</v>
      </c>
      <c r="E12" s="16" t="n">
        <v>89.2</v>
      </c>
    </row>
    <row r="13">
      <c r="A13" s="6" t="inlineStr">
        <is>
          <t>BVPS (Rs)</t>
        </is>
      </c>
      <c r="B13" s="16" t="n">
        <v>497</v>
      </c>
      <c r="C13" s="16" t="n">
        <v>603</v>
      </c>
      <c r="D13" s="16" t="n">
        <v>663</v>
      </c>
      <c r="E13" s="13" t="inlineStr">
        <is>
          <t>n/a</t>
        </is>
      </c>
    </row>
    <row r="14">
      <c r="A14" s="6" t="inlineStr">
        <is>
          <t>Dividend per share (Rs)</t>
        </is>
      </c>
      <c r="B14" s="13" t="inlineStr">
        <is>
          <t>n/a</t>
        </is>
      </c>
      <c r="C14" s="16" t="n">
        <v>23</v>
      </c>
      <c r="D14" s="16" t="n">
        <v>30</v>
      </c>
      <c r="E14" s="16" t="n">
        <v>44</v>
      </c>
    </row>
    <row r="15">
      <c r="A15" s="6" t="inlineStr">
        <is>
          <t>NIM</t>
        </is>
      </c>
      <c r="B15" s="13" t="inlineStr">
        <is>
          <t>n/a</t>
        </is>
      </c>
      <c r="C15" s="23" t="n">
        <v>0.035</v>
      </c>
      <c r="D15" s="23" t="n">
        <v>0.035</v>
      </c>
      <c r="E15" s="23" t="n">
        <v>0.036</v>
      </c>
    </row>
    <row r="16">
      <c r="A16" s="6" t="inlineStr">
        <is>
          <t>Gross NPA</t>
        </is>
      </c>
      <c r="B16" s="23" t="n">
        <v>0.0199</v>
      </c>
      <c r="C16" s="23" t="n">
        <v>0.0198</v>
      </c>
      <c r="D16" s="23" t="n">
        <v>0.0191</v>
      </c>
      <c r="E16" s="23" t="n">
        <v>0.0118</v>
      </c>
    </row>
    <row r="18">
      <c r="A18" s="14" t="inlineStr">
        <is>
          <t>ROE (PAT ÷ average shareholders' funds)</t>
        </is>
      </c>
      <c r="C18" s="24">
        <f>C10/AVERAGE(B9,C9)</f>
        <v/>
      </c>
      <c r="D18" s="24">
        <f>D10/AVERAGE(C9,D9)</f>
        <v/>
      </c>
      <c r="E18" s="24">
        <f>E10/AVERAGE(D9,E9)</f>
        <v/>
      </c>
    </row>
    <row r="19">
      <c r="A19" s="6" t="inlineStr">
        <is>
          <t>Borrowings ÷ shareholders' funds (leverage)</t>
        </is>
      </c>
      <c r="B19" s="25">
        <f>B7/B9</f>
        <v/>
      </c>
      <c r="C19" s="25">
        <f>C7/C9</f>
        <v/>
      </c>
      <c r="D19" s="25">
        <f>D7/D9</f>
        <v/>
      </c>
      <c r="E19" s="25">
        <f>E7/E9</f>
        <v/>
      </c>
    </row>
    <row r="21">
      <c r="A21" s="3" t="inlineStr">
        <is>
          <t>FY2020 PAT and EPS include a Rs 9,020 cr fair-value gain on the GRUH–Bandhan merger. Standalone figures include the stakes in HDFC Bank and the subsidiaries.</t>
        </is>
      </c>
    </row>
  </sheetData>
  <printOptions gridLines="0"/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2" t="inlineStr">
        <is>
          <t>HDFC Bank (acquirer) — standalone, FY2020–FY2023 (pre-merger)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Indian GAAP standalone; INR crore unless stated. Source: HDFC Bank 6-K results filings (SEC EDGAR). Per-share figures pre-bonus (1:1 bonus Aug-2025).</t>
        </is>
      </c>
    </row>
    <row r="4">
      <c r="A4" s="21" t="inlineStr"/>
      <c r="B4" s="21" t="inlineStr">
        <is>
          <t>FY2020</t>
        </is>
      </c>
      <c r="C4" s="21" t="inlineStr">
        <is>
          <t>FY2021</t>
        </is>
      </c>
      <c r="D4" s="21" t="inlineStr">
        <is>
          <t>FY2022</t>
        </is>
      </c>
      <c r="E4" s="21" t="inlineStr">
        <is>
          <t>FY2023</t>
        </is>
      </c>
    </row>
    <row r="5">
      <c r="A5" s="6" t="inlineStr">
        <is>
          <t>Total assets</t>
        </is>
      </c>
      <c r="B5" s="22" t="n">
        <v>1530511</v>
      </c>
      <c r="C5" s="22" t="n">
        <v>1746871</v>
      </c>
      <c r="D5" s="22" t="n">
        <v>2068535</v>
      </c>
      <c r="E5" s="22" t="n">
        <v>2466081</v>
      </c>
    </row>
    <row r="6">
      <c r="A6" s="6" t="inlineStr">
        <is>
          <t>Advances (net)</t>
        </is>
      </c>
      <c r="B6" s="22" t="n">
        <v>993703</v>
      </c>
      <c r="C6" s="22" t="n">
        <v>1132837</v>
      </c>
      <c r="D6" s="22" t="n">
        <v>1368821</v>
      </c>
      <c r="E6" s="22" t="n">
        <v>1600586</v>
      </c>
    </row>
    <row r="7">
      <c r="A7" s="6" t="inlineStr">
        <is>
          <t>Deposits</t>
        </is>
      </c>
      <c r="B7" s="22" t="n">
        <v>1147502</v>
      </c>
      <c r="C7" s="22" t="n">
        <v>1335060</v>
      </c>
      <c r="D7" s="22" t="n">
        <v>1559217</v>
      </c>
      <c r="E7" s="22" t="n">
        <v>1883395</v>
      </c>
    </row>
    <row r="8">
      <c r="A8" s="6" t="inlineStr">
        <is>
          <t>CASA ratio</t>
        </is>
      </c>
      <c r="B8" s="23" t="n">
        <v>0.422</v>
      </c>
      <c r="C8" s="23" t="n">
        <v>0.461</v>
      </c>
      <c r="D8" s="23" t="n">
        <v>0.482</v>
      </c>
      <c r="E8" s="23" t="n">
        <v>0.444</v>
      </c>
    </row>
    <row r="9">
      <c r="A9" s="6" t="inlineStr">
        <is>
          <t>Net interest income</t>
        </is>
      </c>
      <c r="B9" s="22" t="n">
        <v>56186</v>
      </c>
      <c r="C9" s="22" t="n">
        <v>64880</v>
      </c>
      <c r="D9" s="22" t="n">
        <v>72010</v>
      </c>
      <c r="E9" s="22" t="n">
        <v>86842</v>
      </c>
    </row>
    <row r="10">
      <c r="A10" s="6" t="inlineStr">
        <is>
          <t>Profit after tax</t>
        </is>
      </c>
      <c r="B10" s="22" t="n">
        <v>26257</v>
      </c>
      <c r="C10" s="22" t="n">
        <v>31117</v>
      </c>
      <c r="D10" s="22" t="n">
        <v>36961</v>
      </c>
      <c r="E10" s="22" t="n">
        <v>44109</v>
      </c>
    </row>
    <row r="11">
      <c r="A11" s="6" t="inlineStr">
        <is>
          <t>Net worth</t>
        </is>
      </c>
      <c r="B11" s="22" t="n">
        <v>170986</v>
      </c>
      <c r="C11" s="22" t="n">
        <v>203721</v>
      </c>
      <c r="D11" s="22" t="n">
        <v>240093</v>
      </c>
      <c r="E11" s="22" t="n">
        <v>280199</v>
      </c>
    </row>
    <row r="12">
      <c r="A12" s="6" t="inlineStr">
        <is>
          <t>Basic EPS (Rs)</t>
        </is>
      </c>
      <c r="B12" s="16" t="n">
        <v>48</v>
      </c>
      <c r="C12" s="16" t="n">
        <v>56.6</v>
      </c>
      <c r="D12" s="16" t="n">
        <v>66.8</v>
      </c>
      <c r="E12" s="16" t="n">
        <v>79.25</v>
      </c>
    </row>
    <row r="13">
      <c r="A13" s="6" t="inlineStr">
        <is>
          <t>CET1</t>
        </is>
      </c>
      <c r="B13" s="23" t="n">
        <v>0.164</v>
      </c>
      <c r="C13" s="23" t="n">
        <v>0.169</v>
      </c>
      <c r="D13" s="23" t="n">
        <v>0.167</v>
      </c>
      <c r="E13" s="23" t="n">
        <v>0.164</v>
      </c>
    </row>
    <row r="14">
      <c r="A14" s="6" t="inlineStr">
        <is>
          <t>Gross NPA</t>
        </is>
      </c>
      <c r="B14" s="23" t="n">
        <v>0.0126</v>
      </c>
      <c r="C14" s="23" t="n">
        <v>0.0132</v>
      </c>
      <c r="D14" s="23" t="n">
        <v>0.0117</v>
      </c>
      <c r="E14" s="23" t="n">
        <v>0.0112</v>
      </c>
    </row>
    <row r="15">
      <c r="A15" s="6" t="inlineStr">
        <is>
          <t>ROA (average)</t>
        </is>
      </c>
      <c r="B15" s="23" t="n">
        <v>0.0201</v>
      </c>
      <c r="C15" s="23" t="n">
        <v>0.0197</v>
      </c>
      <c r="D15" s="23" t="n">
        <v>0.0203</v>
      </c>
      <c r="E15" s="23" t="n">
        <v>0.0207</v>
      </c>
    </row>
    <row r="16">
      <c r="A16" s="6" t="inlineStr">
        <is>
          <t>Branches</t>
        </is>
      </c>
      <c r="B16" s="22" t="n">
        <v>5254</v>
      </c>
      <c r="C16" s="22" t="n">
        <v>5608</v>
      </c>
      <c r="D16" s="22" t="n">
        <v>6342</v>
      </c>
      <c r="E16" s="22" t="n">
        <v>7821</v>
      </c>
    </row>
    <row r="18">
      <c r="A18" s="14" t="inlineStr">
        <is>
          <t>Loan-to-deposit ratio (advances ÷ deposits)</t>
        </is>
      </c>
      <c r="B18" s="24">
        <f>B6/B7</f>
        <v/>
      </c>
      <c r="C18" s="24">
        <f>C6/C7</f>
        <v/>
      </c>
      <c r="D18" s="24">
        <f>D6/D7</f>
        <v/>
      </c>
      <c r="E18" s="24">
        <f>E6/E7</f>
        <v/>
      </c>
    </row>
    <row r="19">
      <c r="A19" s="14" t="inlineStr">
        <is>
          <t>ROE (PAT ÷ average net worth)</t>
        </is>
      </c>
      <c r="C19" s="24">
        <f>C10/AVERAGE(B11,C11)</f>
        <v/>
      </c>
      <c r="D19" s="24">
        <f>D10/AVERAGE(C11,D11)</f>
        <v/>
      </c>
      <c r="E19" s="24">
        <f>E10/AVERAGE(D11,E11)</f>
        <v/>
      </c>
    </row>
    <row r="20">
      <c r="A20" s="6" t="inlineStr">
        <is>
          <t>BVPS (net worth ÷ shares) (Rs)</t>
        </is>
      </c>
      <c r="B20" s="20">
        <f>B11/B21</f>
        <v/>
      </c>
      <c r="C20" s="20">
        <f>C11/C21</f>
        <v/>
      </c>
      <c r="D20" s="20">
        <f>D11/D21</f>
        <v/>
      </c>
      <c r="E20" s="20">
        <f>E11/E21</f>
        <v/>
      </c>
    </row>
    <row r="21">
      <c r="A21" s="6" t="inlineStr">
        <is>
          <t>Shares (PAT ÷ EPS, crore)</t>
        </is>
      </c>
      <c r="B21" s="26">
        <f>B10/B12</f>
        <v/>
      </c>
      <c r="C21" s="26">
        <f>C10/C12</f>
        <v/>
      </c>
      <c r="D21" s="26">
        <f>D10/D12</f>
        <v/>
      </c>
      <c r="E21" s="26">
        <f>E10/E12</f>
        <v/>
      </c>
    </row>
    <row r="22">
      <c r="A22" s="14" t="inlineStr">
        <is>
          <t>EPS CAGR FY2020–FY2023 (pre-merger trend)</t>
        </is>
      </c>
      <c r="B22" s="27">
        <f>(E12/B12)^(1/3)-1</f>
        <v/>
      </c>
    </row>
    <row r="24">
      <c r="A24" s="3" t="inlineStr">
        <is>
          <t>BVPS derived from net worth ÷ (PAT ÷ EPS); the bank's FY2022 reported BVPS was Rs 433.0 (used on Premium &amp; Precedents and Valuation &amp; Verdict).</t>
        </is>
      </c>
    </row>
  </sheetData>
  <printOptions gridLines="0"/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5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4" customWidth="1" min="3" max="3"/>
    <col width="15" customWidth="1" min="4" max="4"/>
    <col width="4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2" t="inlineStr">
        <is>
          <t>What was paid — premium, implied multiples, precedents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Unaffected date = 1-Apr-2022, the last close before the 4-Apr-2022 pre-market announcement. Prices: BSE closes (press), cross-checked by back-calculating the 4-Apr % moves and the deck's market caps.</t>
        </is>
      </c>
    </row>
    <row r="4">
      <c r="A4" s="4" t="inlineStr">
        <is>
          <t>PREMIUM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6" t="inlineStr">
        <is>
          <t>HDFC Ltd close, 1-Apr-2022 (Rs)</t>
        </is>
      </c>
      <c r="B5" s="16" t="n">
        <v>2450.95</v>
      </c>
    </row>
    <row r="6">
      <c r="A6" s="6" t="inlineStr">
        <is>
          <t>HDFC Bank close, 1-Apr-2022 (Rs)</t>
        </is>
      </c>
      <c r="B6" s="16" t="n">
        <v>1506.3</v>
      </c>
    </row>
    <row r="7">
      <c r="A7" s="6" t="inlineStr">
        <is>
          <t>Deal exchange ratio</t>
        </is>
      </c>
      <c r="B7" s="28">
        <f>'Deal Terms'!B22</f>
        <v/>
      </c>
    </row>
    <row r="8">
      <c r="A8" s="6" t="inlineStr">
        <is>
          <t>Unaffected market ratio (HDFC Ltd ÷ HDFC Bank)</t>
        </is>
      </c>
      <c r="B8" s="29">
        <f>B5/B6</f>
        <v/>
      </c>
    </row>
    <row r="9">
      <c r="A9" s="14" t="inlineStr">
        <is>
          <t>PREMIUM OF DEAL RATIO OVER MARKET RATIO</t>
        </is>
      </c>
      <c r="B9" s="30">
        <f>B7/B8-1</f>
        <v/>
      </c>
    </row>
    <row r="10">
      <c r="A10" s="6" t="inlineStr">
        <is>
          <t>Implied value per HDFC Ltd share at the unaffected bank price (Rs)</t>
        </is>
      </c>
      <c r="B10" s="20">
        <f>B7*B6</f>
        <v/>
      </c>
    </row>
    <row r="11">
      <c r="A11" s="6" t="inlineStr">
        <is>
          <t>HDFC Ltd shares at announcement (crore)</t>
        </is>
      </c>
      <c r="B11" s="31">
        <f>'Deal Terms'!B30</f>
        <v/>
      </c>
    </row>
    <row r="12">
      <c r="A12" s="6" t="inlineStr">
        <is>
          <t>HDFC Ltd unaffected market cap</t>
        </is>
      </c>
      <c r="B12" s="32">
        <f>B5*B11</f>
        <v/>
      </c>
    </row>
    <row r="13">
      <c r="A13" s="14" t="inlineStr">
        <is>
          <t>VALUE TRANSFERRED TO HDFC LTD HOLDERS BY THE PREMIUM</t>
        </is>
      </c>
      <c r="B13" s="33">
        <f>B12*B9</f>
        <v/>
      </c>
    </row>
    <row r="14">
      <c r="A14" s="6" t="inlineStr">
        <is>
          <t>Implied equity value of HDFC Ltd at the deal ratio</t>
        </is>
      </c>
      <c r="B14" s="32">
        <f>B10*B11</f>
        <v/>
      </c>
    </row>
    <row r="15">
      <c r="A15" s="14" t="inlineStr">
        <is>
          <t>NET TRANSFER FROM LEGACY HDFC BANK HOLDERS (HDFC Ltd holders fund their own share)</t>
        </is>
      </c>
      <c r="B15" s="34">
        <f>B13*(1-'Deal Terms'!B28)</f>
        <v/>
      </c>
    </row>
    <row r="16">
      <c r="A16" s="4" t="inlineStr">
        <is>
          <t>IMPLIED MULTIPLES (HDFC LTD)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6" t="inlineStr">
        <is>
          <t>FY2022 BVPS, standalone (Rs)</t>
        </is>
      </c>
      <c r="B17" s="31">
        <f>'Target Standalone'!D13</f>
        <v/>
      </c>
    </row>
    <row r="18">
      <c r="A18" s="6" t="inlineStr">
        <is>
          <t>Implied P/B, standalone FY2022</t>
        </is>
      </c>
      <c r="B18" s="25">
        <f>B10/B17</f>
        <v/>
      </c>
    </row>
    <row r="19">
      <c r="A19" s="6" t="inlineStr">
        <is>
          <t>Unaffected P/B, standalone FY2022</t>
        </is>
      </c>
      <c r="B19" s="25">
        <f>B5/B17</f>
        <v/>
      </c>
    </row>
    <row r="20">
      <c r="A20" s="6" t="inlineStr">
        <is>
          <t>FY2022 EPS, standalone (Rs)</t>
        </is>
      </c>
      <c r="B20" s="31">
        <f>'Target Standalone'!D12</f>
        <v/>
      </c>
    </row>
    <row r="21">
      <c r="A21" s="6" t="inlineStr">
        <is>
          <t>Implied P/E, standalone FY2022</t>
        </is>
      </c>
      <c r="B21" s="25">
        <f>B10/B20</f>
        <v/>
      </c>
    </row>
    <row r="22">
      <c r="A22" s="6" t="inlineStr">
        <is>
          <t>Implied P/E, consolidated FY2022 (equity value ÷ attributable PAT)</t>
        </is>
      </c>
      <c r="B22" s="25">
        <f>B14/'Target Standalone'!D11</f>
        <v/>
      </c>
    </row>
    <row r="23">
      <c r="A23" s="3" t="inlineStr">
        <is>
          <t>Standalone multiples include HDFC Ltd's 21% stake in the bank and its subsidiaries; they are not the multiple paid for the mortgage book alone.</t>
        </is>
      </c>
    </row>
    <row r="25">
      <c r="A25" s="4" t="inlineStr">
        <is>
          <t>ANNOUNCEMENT-DAY REACTION, 4-APR-2022 (BSE)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21" t="inlineStr"/>
      <c r="B26" s="21" t="inlineStr">
        <is>
          <t>HDFC Ltd</t>
        </is>
      </c>
      <c r="C26" s="21" t="inlineStr">
        <is>
          <t>HDFC Bank</t>
        </is>
      </c>
    </row>
    <row r="27">
      <c r="A27" s="6" t="inlineStr">
        <is>
          <t>Close, 4-Apr-2022 (Rs)</t>
        </is>
      </c>
      <c r="B27" s="16" t="n">
        <v>2678.9</v>
      </c>
      <c r="C27" s="16" t="n">
        <v>1656.45</v>
      </c>
    </row>
    <row r="28">
      <c r="A28" s="6" t="inlineStr">
        <is>
          <t>Move on the day</t>
        </is>
      </c>
      <c r="B28" s="24">
        <f>B27/B5-1</f>
        <v/>
      </c>
      <c r="C28" s="24">
        <f>C27/B6-1</f>
        <v/>
      </c>
    </row>
    <row r="29">
      <c r="A29" s="6" t="inlineStr">
        <is>
          <t>Market-cap change on the day (reported)</t>
        </is>
      </c>
      <c r="B29" s="22" t="n">
        <v>41326</v>
      </c>
      <c r="C29" s="22" t="n">
        <v>83280</v>
      </c>
    </row>
    <row r="30">
      <c r="A30" s="14" t="inlineStr">
        <is>
          <t>Combined value created on the day</t>
        </is>
      </c>
      <c r="B30" s="33">
        <f>B29+C29</f>
        <v/>
      </c>
    </row>
    <row r="31">
      <c r="A31" s="3" t="inlineStr">
        <is>
          <t>Both stocks were ~25% below their 4-Apr intraday highs by 19-May-2022: the day-one value creation did not hold.</t>
        </is>
      </c>
    </row>
    <row r="33">
      <c r="A33" s="4" t="inlineStr">
        <is>
          <t>PRECEDENT TRANSACTIONS — INDIAN FINANCIAL SERVICES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21" t="inlineStr">
        <is>
          <t>Deal</t>
        </is>
      </c>
      <c r="B34" s="21" t="inlineStr">
        <is>
          <t>Announced</t>
        </is>
      </c>
      <c r="C34" s="21" t="inlineStr">
        <is>
          <t>Terms</t>
        </is>
      </c>
      <c r="D34" s="21" t="inlineStr">
        <is>
          <t>Premium / (discount)</t>
        </is>
      </c>
      <c r="E34" s="21" t="inlineStr">
        <is>
          <t>Note</t>
        </is>
      </c>
    </row>
    <row r="35">
      <c r="A35" s="13" t="inlineStr">
        <is>
          <t>Kotak Mahindra + ING Vysya</t>
        </is>
      </c>
      <c r="B35" s="13" t="inlineStr">
        <is>
          <t>20-Nov-2014</t>
        </is>
      </c>
      <c r="C35" s="13" t="inlineStr">
        <is>
          <t>725 : 1,000</t>
        </is>
      </c>
      <c r="D35" s="23" t="n">
        <v>0.16</v>
      </c>
      <c r="E35" s="13" t="inlineStr">
        <is>
          <t>Bank-bank; fairness opinions Avendus, Edelweiss</t>
        </is>
      </c>
    </row>
    <row r="36">
      <c r="A36" s="13" t="inlineStr">
        <is>
          <t>IDFC Bank + Capital First</t>
        </is>
      </c>
      <c r="B36" s="13" t="inlineStr">
        <is>
          <t>13-Jan-2018</t>
        </is>
      </c>
      <c r="C36" s="13" t="inlineStr">
        <is>
          <t>139 : 10</t>
        </is>
      </c>
      <c r="D36" s="23" t="n">
        <v>0.12</v>
      </c>
      <c r="E36" s="13" t="inlineStr">
        <is>
          <t>NBFC into bank; premium derived</t>
        </is>
      </c>
    </row>
    <row r="37">
      <c r="A37" s="13" t="inlineStr">
        <is>
          <t>GRUH Finance into Bandhan Bank</t>
        </is>
      </c>
      <c r="B37" s="13" t="inlineStr">
        <is>
          <t>7-Jan-2019</t>
        </is>
      </c>
      <c r="C37" s="13" t="inlineStr">
        <is>
          <t>568 : 1,000</t>
        </is>
      </c>
      <c r="D37" s="23" t="n">
        <v>-0.07000000000000001</v>
      </c>
      <c r="E37" s="13" t="inlineStr">
        <is>
          <t>Closest HFC-into-bank precedent; HDFC was the seller</t>
        </is>
      </c>
    </row>
    <row r="38">
      <c r="A38" s="13" t="inlineStr">
        <is>
          <t>IDFC Ltd into IDFC First Bank</t>
        </is>
      </c>
      <c r="B38" s="13" t="inlineStr">
        <is>
          <t>3-Jul-2023</t>
        </is>
      </c>
      <c r="C38" s="13" t="inlineStr">
        <is>
          <t>155 : 100</t>
        </is>
      </c>
      <c r="D38" s="23" t="n">
        <v>0.2</v>
      </c>
      <c r="E38" s="13" t="inlineStr">
        <is>
          <t>Holdco reverse merger</t>
        </is>
      </c>
    </row>
    <row r="39">
      <c r="A39" s="13" t="inlineStr">
        <is>
          <t>ICICI Ltd into ICICI Bank</t>
        </is>
      </c>
      <c r="B39" s="13" t="inlineStr">
        <is>
          <t>25-Oct-2001</t>
        </is>
      </c>
      <c r="C39" s="13" t="inlineStr">
        <is>
          <t>1 : 2</t>
        </is>
      </c>
      <c r="D39" s="23" t="inlineStr">
        <is>
          <t>n/v</t>
        </is>
      </c>
      <c r="E39" s="13" t="inlineStr">
        <is>
          <t>DFI parent into bank; premium not verified</t>
        </is>
      </c>
    </row>
    <row r="40">
      <c r="A40" s="13" t="inlineStr">
        <is>
          <t>HDFC Bank + Centurion Bank of Punjab</t>
        </is>
      </c>
      <c r="B40" s="13" t="inlineStr">
        <is>
          <t>25-Feb-2008</t>
        </is>
      </c>
      <c r="C40" s="13" t="inlineStr">
        <is>
          <t>1 : 29</t>
        </is>
      </c>
      <c r="D40" s="23" t="inlineStr">
        <is>
          <t>n/v</t>
        </is>
      </c>
      <c r="E40" s="13" t="inlineStr">
        <is>
          <t>Premium not verified</t>
        </is>
      </c>
    </row>
    <row r="41">
      <c r="A41" s="11" t="inlineStr">
        <is>
          <t>HDFC Ltd into HDFC Bank</t>
        </is>
      </c>
      <c r="B41" s="13" t="inlineStr">
        <is>
          <t>4-Apr-2022</t>
        </is>
      </c>
      <c r="C41" s="13" t="inlineStr">
        <is>
          <t>42 : 25</t>
        </is>
      </c>
      <c r="D41" s="27">
        <f>B9</f>
        <v/>
      </c>
    </row>
    <row r="43">
      <c r="A43" s="14" t="inlineStr">
        <is>
          <t>Precedent premium — median (verified deals)</t>
        </is>
      </c>
      <c r="D43" s="27">
        <f>MEDIAN(D35:D38)</f>
        <v/>
      </c>
    </row>
    <row r="44">
      <c r="A44" s="6" t="inlineStr">
        <is>
          <t>Precedent premium — 25th percentile</t>
        </is>
      </c>
      <c r="D44" s="24">
        <f>QUARTILE(D35:D38,1)</f>
        <v/>
      </c>
    </row>
    <row r="45">
      <c r="A45" s="6" t="inlineStr">
        <is>
          <t>Precedent premium — 75th percentile</t>
        </is>
      </c>
      <c r="D45" s="24">
        <f>QUARTILE(D35:D38,3)</f>
        <v/>
      </c>
    </row>
    <row r="46">
      <c r="A46" s="6" t="inlineStr">
        <is>
          <t>HDFC premium vs precedent median (pp)</t>
        </is>
      </c>
      <c r="D46" s="35">
        <f>(D41-D43)*100</f>
        <v/>
      </c>
    </row>
    <row r="48">
      <c r="A48" s="4" t="inlineStr">
        <is>
          <t>CONTRIBUTION ANALYSIS — WHAT HDFC LTD HOLDERS BROUGHT VS WHAT THEY RECEIVED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6" t="inlineStr">
        <is>
          <t>HDFC Bank FY2022 consolidated PAT attributable</t>
        </is>
      </c>
      <c r="B49" s="22" t="n">
        <v>38053</v>
      </c>
    </row>
    <row r="50">
      <c r="A50" s="6" t="inlineStr">
        <is>
          <t>HDFC Ltd FY2022 consolidated PAT attributable (includes its share of the bank)</t>
        </is>
      </c>
      <c r="B50" s="9">
        <f>'Target Standalone'!D11</f>
        <v/>
      </c>
    </row>
    <row r="51">
      <c r="A51" s="6" t="inlineStr">
        <is>
          <t>HDFC Ltd's stake in HDFC Bank (equity-accounted)</t>
        </is>
      </c>
      <c r="B51" s="23" t="n">
        <v>0.21</v>
      </c>
    </row>
    <row r="52">
      <c r="A52" s="6" t="inlineStr">
        <is>
          <t>HDFC Ltd earnings excluding its share of the bank</t>
        </is>
      </c>
      <c r="B52" s="32">
        <f>B50-B51*B49</f>
        <v/>
      </c>
    </row>
    <row r="53">
      <c r="A53" s="6" t="inlineStr">
        <is>
          <t>Combined look-through earnings (bank + HDFC Ltd ex bank stake)</t>
        </is>
      </c>
      <c r="B53" s="32">
        <f>B49+B52</f>
        <v/>
      </c>
    </row>
    <row r="54">
      <c r="A54" s="14" t="inlineStr">
        <is>
          <t>HDFC Ltd holders' share of look-through earnings</t>
        </is>
      </c>
      <c r="B54" s="27">
        <f>B50/B53</f>
        <v/>
      </c>
    </row>
    <row r="55">
      <c r="A55" s="14" t="inlineStr">
        <is>
          <t>HDFC Ltd holders' share of combined unaffected market value (net of cross-holding)</t>
        </is>
      </c>
      <c r="B55" s="36">
        <f>B12/('Deal Terms'!B23*B6+B12-'Deal Terms'!B25*B6)</f>
        <v/>
      </c>
    </row>
    <row r="56">
      <c r="A56" s="14" t="inlineStr">
        <is>
          <t>Ownership of the combined bank they received</t>
        </is>
      </c>
      <c r="B56" s="36">
        <f>'Deal Terms'!B28</f>
        <v/>
      </c>
    </row>
    <row r="57">
      <c r="A57" s="3" t="inlineStr">
        <is>
          <t>Desk calculation; assumes HDFC Ltd's consolidated PAT equity-accounts 21% of HDFC Bank's consolidated PAT. Received (41%) sits between the market-value (40%) and earnings (43%) contributions: on fundamentals the bank did not overpay.</t>
        </is>
      </c>
    </row>
  </sheetData>
  <printOptions gridLines="0"/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2" t="inlineStr">
        <is>
          <t>Synergies claimed vs the regulatory bill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Management gave no rupee synergy target. The quantifiable item is a dis-synergy: RBI refused to phase CRR/SLR on HDFC Ltd's liabilities. Yields are desk assumptions (blue) — see Sensitivities.</t>
        </is>
      </c>
    </row>
    <row r="4">
      <c r="A4" s="4" t="inlineStr">
        <is>
          <t>WHAT MANAGEMENT CLAIMED (4-APR-2022)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6" t="inlineStr">
        <is>
          <t>EPS accretion</t>
        </is>
      </c>
      <c r="B5" s="13" t="inlineStr">
        <is>
          <t>'EPS accretive from the first year itself' (K. Mistry); deck pro forma EPS ~65 → ~67</t>
        </is>
      </c>
    </row>
    <row r="6">
      <c r="A6" s="6" t="inlineStr">
        <is>
          <t>Cost of funds</t>
        </is>
      </c>
      <c r="B6" s="13" t="inlineStr">
        <is>
          <t>'the overall cost of funds will come down' (K. Mistry)</t>
        </is>
      </c>
    </row>
    <row r="7">
      <c r="A7" s="6" t="inlineStr">
        <is>
          <t>Cost-to-income</t>
        </is>
      </c>
      <c r="B7" s="13" t="inlineStr">
        <is>
          <t>Merged ~32–33% vs 36–37% for the bank alone (S. Jagdishan)</t>
        </is>
      </c>
    </row>
    <row r="8">
      <c r="A8" s="6" t="inlineStr">
        <is>
          <t>Cross-sell</t>
        </is>
      </c>
      <c r="B8" s="13" t="inlineStr">
        <is>
          <t>70% of HDFC customers don't bank with HDFC Bank; &gt;70% of bank customers have no mortgage</t>
        </is>
      </c>
    </row>
    <row r="9">
      <c r="A9" s="6" t="inlineStr">
        <is>
          <t>Rupee synergy target</t>
        </is>
      </c>
      <c r="B9" s="13" t="inlineStr">
        <is>
          <t>None disclosed</t>
        </is>
      </c>
    </row>
    <row r="11">
      <c r="A11" s="4" t="inlineStr">
        <is>
          <t>THE REGULATORY DIS-SYNERGY — CRR AND SLR ON HDFC LTD'S LIABILITIES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6" t="inlineStr">
        <is>
          <t>Liabilities brought in (HDFC Ltd gross borrowings, FY2023) — NDTL proxy; upper bound (inter-bank and intra-group items would be netted)</t>
        </is>
      </c>
      <c r="B12" s="9">
        <f>'Target Standalone'!E7</f>
        <v/>
      </c>
    </row>
    <row r="13">
      <c r="A13" s="6" t="inlineStr">
        <is>
          <t>Cash reserve ratio (earns nothing)</t>
        </is>
      </c>
      <c r="B13" s="37" t="n">
        <v>0.045</v>
      </c>
    </row>
    <row r="14">
      <c r="A14" s="6" t="inlineStr">
        <is>
          <t>Statutory liquidity ratio (held in G-secs)</t>
        </is>
      </c>
      <c r="B14" s="37" t="n">
        <v>0.18</v>
      </c>
    </row>
    <row r="15">
      <c r="A15" s="6" t="inlineStr">
        <is>
          <t>Yield on the loans these balances displace (desk assumption)</t>
        </is>
      </c>
      <c r="B15" s="37" t="n">
        <v>0.08599999999999999</v>
      </c>
    </row>
    <row r="16">
      <c r="A16" s="6" t="inlineStr">
        <is>
          <t>Yield on SLR G-secs (desk assumption, 10-yr ~7.1–7.3% in 2023)</t>
        </is>
      </c>
      <c r="B16" s="37" t="n">
        <v>0.07199999999999999</v>
      </c>
    </row>
    <row r="17">
      <c r="A17" s="6" t="inlineStr">
        <is>
          <t>Tax rate</t>
        </is>
      </c>
      <c r="B17" s="37" t="n">
        <v>0.2517</v>
      </c>
    </row>
    <row r="18">
      <c r="A18" s="6" t="inlineStr">
        <is>
          <t>CRR balance required</t>
        </is>
      </c>
      <c r="B18" s="32">
        <f>B12*B13</f>
        <v/>
      </c>
    </row>
    <row r="19">
      <c r="A19" s="6" t="inlineStr">
        <is>
          <t>SLR balance required</t>
        </is>
      </c>
      <c r="B19" s="32">
        <f>B12*B14</f>
        <v/>
      </c>
    </row>
    <row r="20">
      <c r="A20" s="14" t="inlineStr">
        <is>
          <t>Total locked in reserves</t>
        </is>
      </c>
      <c r="B20" s="33">
        <f>B18+B19</f>
        <v/>
      </c>
      <c r="C20" s="3" t="inlineStr">
        <is>
          <t>Press estimates were ~Rs 1 lakh crore; ours is ~28% higher because the base is gross borrowings — treat as an upper bound.</t>
        </is>
      </c>
    </row>
    <row r="21">
      <c r="A21" s="6" t="inlineStr">
        <is>
          <t>Pre-tax earnings drag per year</t>
        </is>
      </c>
      <c r="B21" s="32">
        <f>B18*B15+B19*(B15-B16)</f>
        <v/>
      </c>
    </row>
    <row r="22">
      <c r="A22" s="14" t="inlineStr">
        <is>
          <t>AFTER-TAX EARNINGS DRAG PER YEAR</t>
        </is>
      </c>
      <c r="B22" s="33">
        <f>B21*(1-B17)</f>
        <v/>
      </c>
    </row>
    <row r="23">
      <c r="A23" s="6" t="inlineStr">
        <is>
          <t>HDFC Bank P/E at the unaffected price (FY2022 EPS) — memo</t>
        </is>
      </c>
      <c r="B23" s="7">
        <f>'Premium &amp; Precedents'!B6/'Acquirer Standalone'!D12</f>
        <v/>
      </c>
    </row>
    <row r="24">
      <c r="A24" s="6" t="inlineStr">
        <is>
          <t>Cost of equity used to discount the drag (desk assumption)</t>
        </is>
      </c>
      <c r="B24" s="23" t="n">
        <v>0.13</v>
      </c>
    </row>
    <row r="25">
      <c r="A25" s="6" t="inlineStr">
        <is>
          <t>Years of transition (close to Sep-2026 is ~3.25 years)</t>
        </is>
      </c>
      <c r="B25" s="38" t="n">
        <v>3</v>
      </c>
    </row>
    <row r="26">
      <c r="A26" s="14" t="inlineStr">
        <is>
          <t>PRESENT VALUE OF THE DRAG OVER THE TRANSITION</t>
        </is>
      </c>
      <c r="B26" s="33">
        <f>B22*(1-(1+B24)^-B25)/B24</f>
        <v/>
      </c>
    </row>
    <row r="27">
      <c r="A27" s="6" t="inlineStr">
        <is>
          <t>Memo: perpetual capitalisation at the bank's P/E (upper bound — NOT used; CRR/SLR is the permanent cost of being a bank)</t>
        </is>
      </c>
      <c r="B27" s="32">
        <f>B22*B23</f>
        <v/>
      </c>
    </row>
    <row r="28">
      <c r="A28" s="6" t="inlineStr">
        <is>
          <t>Gross value transferred by the premium</t>
        </is>
      </c>
      <c r="B28" s="9">
        <f>'Premium &amp; Precedents'!B13</f>
        <v/>
      </c>
    </row>
    <row r="29">
      <c r="A29" s="6" t="inlineStr">
        <is>
          <t>Net transfer from legacy HDFC Bank holders</t>
        </is>
      </c>
      <c r="B29" s="9">
        <f>'Premium &amp; Precedents'!B15</f>
        <v/>
      </c>
    </row>
    <row r="30">
      <c r="A30" s="14" t="inlineStr">
        <is>
          <t>PV of the drag ÷ gross premium</t>
        </is>
      </c>
      <c r="B30" s="39">
        <f>B26/B28</f>
        <v/>
      </c>
    </row>
    <row r="31">
      <c r="A31" s="14" t="inlineStr">
        <is>
          <t>PV of the drag ÷ net transfer</t>
        </is>
      </c>
      <c r="B31" s="39">
        <f>B26/B29</f>
        <v/>
      </c>
    </row>
    <row r="32">
      <c r="A32" s="3" t="inlineStr">
        <is>
          <t>The risk was disclosed on day one (management had 'requested RBI for phased compliance'); the surprise was the refusal. The SLR leg is an upper estimate: it ignores mortgage credit cost, zero risk weight on G-secs and liquid assets HDFC Ltd already held. Not modelled: LCR, priority-sector cost, cost-of-funds benefit.</t>
        </is>
      </c>
    </row>
    <row r="34">
      <c r="A34" s="4" t="inlineStr">
        <is>
          <t>FUNDING REPAIR — WHAT HAS BEEN DELIVERED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6" t="inlineStr">
        <is>
          <t>Standalone borrowings at the Dec-2023 peak (Rs bn)</t>
        </is>
      </c>
      <c r="B35" s="40">
        <f>Scorecard!N7</f>
        <v/>
      </c>
    </row>
    <row r="36">
      <c r="A36" s="6" t="inlineStr">
        <is>
          <t>Standalone borrowings, Sep-2026 (Rs bn)</t>
        </is>
      </c>
      <c r="B36" s="40">
        <f>Scorecard!N18</f>
        <v/>
      </c>
    </row>
    <row r="37">
      <c r="A37" s="14" t="inlineStr">
        <is>
          <t>Borrowings retired (Rs bn)</t>
        </is>
      </c>
      <c r="B37" s="41">
        <f>B35-B36</f>
        <v/>
      </c>
    </row>
    <row r="38">
      <c r="A38" s="6" t="inlineStr">
        <is>
          <t>Pre-merger standalone borrowings, Jun-2023 (Rs bn)</t>
        </is>
      </c>
      <c r="B38" s="40">
        <f>Scorecard!N5</f>
        <v/>
      </c>
    </row>
    <row r="39">
      <c r="A39" s="6" t="inlineStr">
        <is>
          <t>Borrowings today ÷ pre-merger level (x)</t>
        </is>
      </c>
      <c r="B39" s="42">
        <f>B36/B38</f>
        <v/>
      </c>
    </row>
    <row r="40">
      <c r="A40" s="6" t="inlineStr">
        <is>
          <t>Management (Oct-2026 call): ~Rs 2.6 lakh cr of legacy maturities substituted with deposits</t>
        </is>
      </c>
      <c r="B40" s="43" t="n">
        <v>2600</v>
      </c>
    </row>
    <row r="42">
      <c r="A42" s="4" t="inlineStr">
        <is>
          <t>THE REFUSAL ITSELF — VALUE OF THE PHASE-IN THAT WAS DENIED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6" t="inlineStr">
        <is>
          <t>Relief under a 3-year phase-in: share of the drag avoided in years 1 and 2</t>
        </is>
      </c>
      <c r="B43" s="44">
        <f>2/3</f>
        <v/>
      </c>
      <c r="C43" s="44">
        <f>1/3</f>
        <v/>
      </c>
    </row>
    <row r="44">
      <c r="A44" s="14" t="inlineStr">
        <is>
          <t>PV of the denied phase-in (Rs crore)</t>
        </is>
      </c>
      <c r="B44" s="33">
        <f>B22*B43/(1+B24)+B22*C43/(1+B24)^2</f>
        <v/>
      </c>
    </row>
    <row r="46">
      <c r="A46" s="4" t="inlineStr">
        <is>
          <t>LOWER BOUND — NARROWER BASE AND SPREAD (tested in review)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6" t="inlineStr">
        <is>
          <t>Liabilities base, netting inter-bank and intra-group items (Rs crore)</t>
        </is>
      </c>
      <c r="B47" s="22" t="n">
        <v>460000</v>
      </c>
    </row>
    <row r="48">
      <c r="A48" s="6" t="inlineStr">
        <is>
          <t>Net yield on the loans displaced</t>
        </is>
      </c>
      <c r="B48" s="23" t="n">
        <v>0.08</v>
      </c>
    </row>
    <row r="49">
      <c r="A49" s="6" t="inlineStr">
        <is>
          <t>SLR spread: loan yield less G-sec yield</t>
        </is>
      </c>
      <c r="B49" s="23" t="n">
        <v>0.01</v>
      </c>
    </row>
    <row r="50">
      <c r="A50" s="6" t="inlineStr">
        <is>
          <t>After-tax drag per year, lower bound (Rs crore)</t>
        </is>
      </c>
      <c r="B50" s="32">
        <f>B47*(B13*B48+B14*B49)*(1-B17)</f>
        <v/>
      </c>
    </row>
    <row r="51">
      <c r="A51" s="14" t="inlineStr">
        <is>
          <t>PV over the transition, lower bound (Rs crore)</t>
        </is>
      </c>
      <c r="B51" s="33">
        <f>B50*(1-(1+B24)^-B25)/B24</f>
        <v/>
      </c>
    </row>
  </sheetData>
  <printOptions gridLines="0"/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2" t="inlineStr">
        <is>
          <t>Accretion / dilution — promised vs realised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Announcement pro forma from the 4-Apr-2022 deck (annualised Dec-2021, standalone). Realised EPS from HDFC Bank results; FY2026 = sum of quarterly standalone EPS, bonus-adjusted ×2.</t>
        </is>
      </c>
    </row>
    <row r="4">
      <c r="A4" s="4" t="inlineStr">
        <is>
          <t>AT ANNOUNCEMENT — THE DECK'S PRO FORMA (ANNUALISED DEC-2021)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21" t="inlineStr"/>
      <c r="B5" s="21" t="inlineStr">
        <is>
          <t>HDFC Bank</t>
        </is>
      </c>
      <c r="C5" s="21" t="inlineStr">
        <is>
          <t>HDFC Ltd</t>
        </is>
      </c>
      <c r="D5" s="21" t="inlineStr">
        <is>
          <t>Pro forma</t>
        </is>
      </c>
    </row>
    <row r="6">
      <c r="A6" s="6" t="inlineStr">
        <is>
          <t>Annualised PAT</t>
        </is>
      </c>
      <c r="B6" s="22" t="n">
        <v>35875</v>
      </c>
      <c r="C6" s="22" t="n">
        <v>13388</v>
      </c>
      <c r="D6" s="22" t="n">
        <v>49263</v>
      </c>
    </row>
    <row r="7">
      <c r="A7" s="6" t="inlineStr">
        <is>
          <t>Shares (crore)</t>
        </is>
      </c>
      <c r="B7" s="45" t="n">
        <v>554</v>
      </c>
      <c r="D7" s="45" t="n">
        <v>742</v>
      </c>
    </row>
    <row r="8">
      <c r="A8" s="6" t="inlineStr">
        <is>
          <t>EPS (Rs)</t>
        </is>
      </c>
      <c r="B8" s="20">
        <f>B6/B7</f>
        <v/>
      </c>
      <c r="D8" s="20">
        <f>D6/D7</f>
        <v/>
      </c>
    </row>
    <row r="9">
      <c r="A9" s="14" t="inlineStr">
        <is>
          <t>EPS ACCRETION, ILLUSTRATIVE PRO FORMA (deck printed ~+3%)</t>
        </is>
      </c>
      <c r="D9" s="27">
        <f>D8/B8-1</f>
        <v/>
      </c>
    </row>
    <row r="11">
      <c r="A11" s="4" t="inlineStr">
        <is>
          <t>ADJUSTED FOR WHAT RBI LATER REFUSED (CRR/SLR FROM DAY ONE)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6" t="inlineStr">
        <is>
          <t>HDFC Ltd borrowings at FY2022 (liabilities brought in)</t>
        </is>
      </c>
      <c r="B12" s="9">
        <f>'Target Standalone'!D7</f>
        <v/>
      </c>
    </row>
    <row r="13">
      <c r="A13" s="6" t="inlineStr">
        <is>
          <t>After-tax CRR/SLR drag on that base</t>
        </is>
      </c>
      <c r="B13" s="9">
        <f>B12*(Synergies!B13*Synergies!B15+Synergies!B14*(Synergies!B15-Synergies!B16))*(1-Synergies!B17)</f>
        <v/>
      </c>
    </row>
    <row r="14">
      <c r="A14" s="6" t="inlineStr">
        <is>
          <t>Pro forma EPS after the drag (Rs)</t>
        </is>
      </c>
      <c r="D14" s="20">
        <f>(D6-B13)/D7</f>
        <v/>
      </c>
    </row>
    <row r="15">
      <c r="A15" s="14" t="inlineStr">
        <is>
          <t>EPS ACCRETION / (DILUTION) AFTER THE DRAG, BEFORE ANY FUNDING SAVING (FY2022 base)</t>
        </is>
      </c>
      <c r="D15" s="27">
        <f>D14/B8-1</f>
        <v/>
      </c>
    </row>
    <row r="16">
      <c r="A16" s="6" t="inlineStr">
        <is>
          <t>Funding-cost saving needed on HDFC Ltd's book to break even on EPS (bp)</t>
        </is>
      </c>
      <c r="D16" s="46">
        <f>MAX(0,(B8*D7-(D6-B13))/(1-Synergies!B17)/B12*10000)</f>
        <v/>
      </c>
    </row>
    <row r="18">
      <c r="A18" s="4" t="inlineStr">
        <is>
          <t>REALISED — HDFC BANK STANDALONE EPS (Rs, PRE-BONUS BASIS)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21" t="inlineStr"/>
      <c r="B19" s="21" t="inlineStr">
        <is>
          <t>FY2020</t>
        </is>
      </c>
      <c r="C19" s="21" t="inlineStr">
        <is>
          <t>FY2021</t>
        </is>
      </c>
      <c r="D19" s="21" t="inlineStr">
        <is>
          <t>FY2022</t>
        </is>
      </c>
      <c r="E19" s="21" t="inlineStr">
        <is>
          <t>FY2023</t>
        </is>
      </c>
      <c r="F19" s="21" t="inlineStr">
        <is>
          <t>FY2024 (derived)</t>
        </is>
      </c>
      <c r="G19" s="21" t="inlineStr">
        <is>
          <t>FY2026</t>
        </is>
      </c>
    </row>
    <row r="20">
      <c r="A20" s="6" t="inlineStr">
        <is>
          <t>Basic EPS</t>
        </is>
      </c>
      <c r="B20" s="31">
        <f>'Acquirer Standalone'!B12</f>
        <v/>
      </c>
      <c r="C20" s="31">
        <f>'Acquirer Standalone'!C12</f>
        <v/>
      </c>
      <c r="D20" s="31">
        <f>'Acquirer Standalone'!D12</f>
        <v/>
      </c>
      <c r="E20" s="31">
        <f>'Acquirer Standalone'!E12</f>
        <v/>
      </c>
      <c r="F20" s="31">
        <f>(Scorecard!I5+Scorecard!I6+Scorecard!I7+Scorecard!I8)*100/('Deal Terms'!B23*0.25+'Deal Terms'!B26*0.75)</f>
        <v/>
      </c>
      <c r="G20" s="31">
        <f>(Scorecard!R13+Scorecard!R14+Scorecard!R15+Scorecard!R16)*2</f>
        <v/>
      </c>
    </row>
    <row r="21">
      <c r="A21" s="14" t="inlineStr">
        <is>
          <t>EPS CAGR, FY2020–FY2023 (three years before the merger)</t>
        </is>
      </c>
      <c r="E21" s="27">
        <f>(E20/B20)^(1/3)-1</f>
        <v/>
      </c>
    </row>
    <row r="22">
      <c r="A22" s="14" t="inlineStr">
        <is>
          <t>EPS CAGR, FY2023–FY2026 (three years across the merger)</t>
        </is>
      </c>
      <c r="G22" s="27">
        <f>(G20/E20)^(1/3)-1</f>
        <v/>
      </c>
    </row>
    <row r="23">
      <c r="A23" s="6" t="inlineStr">
        <is>
          <t>PAT growth FY2023–FY2026 vs EPS growth (share issuance absorbs the difference)</t>
        </is>
      </c>
      <c r="E23" s="24">
        <f>AD_PAT26/'Acquirer Standalone'!E10-1</f>
        <v/>
      </c>
      <c r="G23" s="24">
        <f>G20/E20-1</f>
        <v/>
      </c>
    </row>
    <row r="25">
      <c r="A25" s="14" t="inlineStr">
        <is>
          <t>FY2024 EPS growth — the 'accretive from the first year' test (derived: FY24 PAT ÷ time-weighted shares)</t>
        </is>
      </c>
      <c r="F25" s="27">
        <f>F20/E20-1</f>
        <v/>
      </c>
    </row>
    <row r="26">
      <c r="A26" s="6" t="inlineStr">
        <is>
          <t>FY2023 EPS growth, the last standalone year, for comparison</t>
        </is>
      </c>
      <c r="E26" s="24">
        <f>E20/D20-1</f>
        <v/>
      </c>
    </row>
    <row r="27">
      <c r="A27" s="3" t="inlineStr">
        <is>
          <t>FY2026 standalone PAT Rs 74,670 cr = sum of quarterly PAT; includes the Rs 9,130 cr HDB Financial IPO gain, offset by a Rs 9,000 cr floating provision in the same quarter.</t>
        </is>
      </c>
    </row>
  </sheetData>
  <printOptions gridLines="0"/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2" t="inlineStr">
        <is>
          <t>Sources &amp; uses, ownership and the balance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All-stock deal: the 'source' is new HDFC Bank shares; the 'use' is 100% of HDFC Ltd. Values at the unaffected HDFC Bank price.</t>
        </is>
      </c>
    </row>
    <row r="4">
      <c r="A4" s="4" t="inlineStr">
        <is>
          <t>SOURCES AND USES (AT THE UNAFFECTED BANK PRICE)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21" t="inlineStr">
        <is>
          <t>Sources</t>
        </is>
      </c>
      <c r="B5" s="21" t="inlineStr">
        <is>
          <t>Rs crore</t>
        </is>
      </c>
      <c r="C5" s="21" t="inlineStr"/>
      <c r="D5" s="21" t="inlineStr">
        <is>
          <t>Uses</t>
        </is>
      </c>
      <c r="E5" s="21" t="inlineStr">
        <is>
          <t>Rs crore</t>
        </is>
      </c>
    </row>
    <row r="6">
      <c r="A6" s="6" t="inlineStr">
        <is>
          <t>New HDFC Bank shares issued</t>
        </is>
      </c>
      <c r="B6" s="9">
        <f>'Deal Terms'!B24*'Premium &amp; Precedents'!B6</f>
        <v/>
      </c>
      <c r="D6" s="6" t="inlineStr">
        <is>
          <t>100% of HDFC Ltd (record-date shares × implied value)</t>
        </is>
      </c>
      <c r="E6" s="9">
        <f>'Deal Terms'!B29*'Premium &amp; Precedents'!B10</f>
        <v/>
      </c>
    </row>
    <row r="7">
      <c r="A7" s="6" t="inlineStr">
        <is>
          <t xml:space="preserve">  less: HDFC Ltd's own HDFC Bank shares, cancelled</t>
        </is>
      </c>
      <c r="B7" s="9">
        <f>-'Deal Terms'!B25*'Premium &amp; Precedents'!B6</f>
        <v/>
      </c>
    </row>
    <row r="8">
      <c r="A8" s="14" t="inlineStr">
        <is>
          <t>NET NEW SHARES ISSUED (net issuance value)</t>
        </is>
      </c>
      <c r="B8" s="33">
        <f>B6+B7</f>
        <v/>
      </c>
    </row>
    <row r="9">
      <c r="A9" s="6" t="inlineStr">
        <is>
          <t>Check: sources = uses (must be ~0; rounding of the record-date share count)</t>
        </is>
      </c>
      <c r="B9" s="32">
        <f>ROUND(B6-E6,0)</f>
        <v/>
      </c>
    </row>
    <row r="10">
      <c r="A10" s="6" t="inlineStr">
        <is>
          <t>Cancelled stake as % of HDFC Ltd's unaffected market cap</t>
        </is>
      </c>
      <c r="B10" s="24">
        <f>-B7/'Premium &amp; Precedents'!B12</f>
        <v/>
      </c>
    </row>
    <row r="12">
      <c r="A12" s="4" t="inlineStr">
        <is>
          <t>OWNERSHIP OF THE COMBINED BANK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6" t="inlineStr">
        <is>
          <t>Former HDFC Ltd holders</t>
        </is>
      </c>
      <c r="B13" s="10">
        <f>'Deal Terms'!B28</f>
        <v/>
      </c>
    </row>
    <row r="14">
      <c r="A14" s="6" t="inlineStr">
        <is>
          <t>Existing HDFC Bank public holders</t>
        </is>
      </c>
      <c r="B14" s="24">
        <f>1-B13</f>
        <v/>
      </c>
    </row>
    <row r="15">
      <c r="A15" s="6" t="inlineStr">
        <is>
          <t>Promoter / parent holding after the deal</t>
        </is>
      </c>
      <c r="B15" s="23" t="n">
        <v>0</v>
      </c>
    </row>
    <row r="17">
      <c r="A17" s="4" t="inlineStr">
        <is>
          <t>PRO FORMA AT ANNOUNCEMENT (DECK, STANDALONE, 31-DEC-2021)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21" t="inlineStr"/>
      <c r="B18" s="21" t="inlineStr">
        <is>
          <t>HDFC Bank</t>
        </is>
      </c>
      <c r="C18" s="21" t="inlineStr">
        <is>
          <t>HDFC Ltd</t>
        </is>
      </c>
      <c r="D18" s="21" t="inlineStr">
        <is>
          <t>Pro forma</t>
        </is>
      </c>
      <c r="E18" s="21" t="inlineStr">
        <is>
          <t>Change</t>
        </is>
      </c>
    </row>
    <row r="19">
      <c r="A19" s="6" t="inlineStr">
        <is>
          <t>Net worth</t>
        </is>
      </c>
      <c r="B19" s="22" t="n">
        <v>229640</v>
      </c>
      <c r="C19" s="22" t="n">
        <v>115400</v>
      </c>
      <c r="D19" s="22" t="n">
        <v>330768</v>
      </c>
      <c r="E19" s="24">
        <f>D19/B19-1</f>
        <v/>
      </c>
    </row>
    <row r="20">
      <c r="A20" s="6" t="inlineStr">
        <is>
          <t>Advances</t>
        </is>
      </c>
      <c r="B20" s="22" t="n">
        <v>1268863</v>
      </c>
      <c r="C20" s="22" t="n">
        <v>525806</v>
      </c>
      <c r="D20" s="22" t="n">
        <v>1786669</v>
      </c>
      <c r="E20" s="24">
        <f>D20/B20-1</f>
        <v/>
      </c>
    </row>
    <row r="21">
      <c r="A21" s="6" t="inlineStr">
        <is>
          <t>Annualised PAT</t>
        </is>
      </c>
      <c r="B21" s="22" t="n">
        <v>35875</v>
      </c>
      <c r="C21" s="22" t="n">
        <v>13388</v>
      </c>
      <c r="D21" s="22" t="n">
        <v>49263</v>
      </c>
      <c r="E21" s="24">
        <f>D21/B21-1</f>
        <v/>
      </c>
    </row>
    <row r="22">
      <c r="A22" s="6" t="inlineStr">
        <is>
          <t>Shares (crore)</t>
        </is>
      </c>
      <c r="B22" s="22" t="n">
        <v>554</v>
      </c>
      <c r="C22" s="22" t="n">
        <v>181</v>
      </c>
      <c r="D22" s="22" t="n">
        <v>742</v>
      </c>
      <c r="E22" s="24">
        <f>D22/B22-1</f>
        <v/>
      </c>
    </row>
    <row r="23">
      <c r="A23" s="6" t="inlineStr">
        <is>
          <t>BVPS (Rs)</t>
        </is>
      </c>
      <c r="B23" s="22" t="n">
        <v>414</v>
      </c>
      <c r="C23" s="22" t="n">
        <v>638</v>
      </c>
      <c r="D23" s="22" t="n">
        <v>446</v>
      </c>
      <c r="E23" s="24">
        <f>D23/B23-1</f>
        <v/>
      </c>
    </row>
    <row r="25">
      <c r="A25" s="4" t="inlineStr">
        <is>
          <t>BALANCE SHEET SHOCK — LAST QUARTER STANDALONE VS FIRST QUARTER MERGED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21" t="inlineStr"/>
      <c r="B26" s="21" t="inlineStr">
        <is>
          <t>Jun-2023</t>
        </is>
      </c>
      <c r="C26" s="21" t="inlineStr">
        <is>
          <t>Sep-2023</t>
        </is>
      </c>
      <c r="D26" s="21" t="inlineStr">
        <is>
          <t>Change</t>
        </is>
      </c>
    </row>
    <row r="27">
      <c r="A27" s="6" t="inlineStr">
        <is>
          <t>Gross advances (Rs bn)</t>
        </is>
      </c>
      <c r="B27" s="40">
        <f>Scorecard!B5</f>
        <v/>
      </c>
      <c r="C27" s="40">
        <f>Scorecard!B6</f>
        <v/>
      </c>
      <c r="D27" s="24">
        <f>C27/B27-1</f>
        <v/>
      </c>
    </row>
    <row r="28">
      <c r="A28" s="6" t="inlineStr">
        <is>
          <t>Deposits (Rs bn)</t>
        </is>
      </c>
      <c r="B28" s="40">
        <f>Scorecard!C5</f>
        <v/>
      </c>
      <c r="C28" s="40">
        <f>Scorecard!C6</f>
        <v/>
      </c>
      <c r="D28" s="24">
        <f>C28/B28-1</f>
        <v/>
      </c>
    </row>
    <row r="29">
      <c r="A29" s="6" t="inlineStr">
        <is>
          <t>Loan-to-deposit ratio</t>
        </is>
      </c>
      <c r="B29" s="10">
        <f>Scorecard!F5</f>
        <v/>
      </c>
      <c r="C29" s="10">
        <f>Scorecard!F6</f>
        <v/>
      </c>
      <c r="D29" s="47">
        <f>C29-B29</f>
        <v/>
      </c>
    </row>
    <row r="30">
      <c r="A30" s="6" t="inlineStr">
        <is>
          <t>CASA ratio</t>
        </is>
      </c>
      <c r="B30" s="10">
        <f>Scorecard!D5</f>
        <v/>
      </c>
      <c r="C30" s="10">
        <f>Scorecard!D6</f>
        <v/>
      </c>
      <c r="D30" s="47">
        <f>C30-B30</f>
        <v/>
      </c>
    </row>
    <row r="31">
      <c r="A31" s="6" t="inlineStr">
        <is>
          <t>NIM on total assets</t>
        </is>
      </c>
      <c r="B31" s="8">
        <f>Scorecard!G5</f>
        <v/>
      </c>
      <c r="C31" s="8">
        <f>Scorecard!G6</f>
        <v/>
      </c>
      <c r="D31" s="47">
        <f>C31-B31</f>
        <v/>
      </c>
    </row>
    <row r="32">
      <c r="A32" s="6" t="inlineStr">
        <is>
          <t>Borrowings (Rs bn)</t>
        </is>
      </c>
      <c r="B32" s="40">
        <f>Scorecard!N5</f>
        <v/>
      </c>
      <c r="C32" s="40">
        <f>Scorecard!N6</f>
        <v/>
      </c>
      <c r="D32" s="24">
        <f>C32/B32-1</f>
        <v/>
      </c>
    </row>
  </sheetData>
  <printOptions gridLines="0"/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R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2" t="inlineStr">
        <is>
          <t>Post-deal scorecard — HDFC Bank standalone, quarterly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Source: HDFC Bank results releases and presentations (bank site; SEC 6-K). Rs bn; ratios %. LDR = gross advances ÷ deposits (desk derivation). EPS/BVPS bonus-adjusted (1:1, Aug-2025). Q1 FY24 = pre-merger.</t>
        </is>
      </c>
    </row>
    <row r="4">
      <c r="A4" s="21" t="inlineStr">
        <is>
          <t>Quarter</t>
        </is>
      </c>
      <c r="B4" s="21" t="inlineStr">
        <is>
          <t>Gross advances</t>
        </is>
      </c>
      <c r="C4" s="21" t="inlineStr">
        <is>
          <t>Deposits</t>
        </is>
      </c>
      <c r="D4" s="21" t="inlineStr">
        <is>
          <t>CASA</t>
        </is>
      </c>
      <c r="E4" s="21" t="inlineStr">
        <is>
          <t>Cost/income</t>
        </is>
      </c>
      <c r="F4" s="21" t="inlineStr">
        <is>
          <t>LDR (derived)</t>
        </is>
      </c>
      <c r="G4" s="21" t="inlineStr">
        <is>
          <t>NIM, total assets</t>
        </is>
      </c>
      <c r="H4" s="21" t="inlineStr">
        <is>
          <t>NII</t>
        </is>
      </c>
      <c r="I4" s="21" t="inlineStr">
        <is>
          <t>PAT</t>
        </is>
      </c>
      <c r="J4" s="21" t="inlineStr">
        <is>
          <t>ROA</t>
        </is>
      </c>
      <c r="K4" s="21" t="inlineStr">
        <is>
          <t>ROE</t>
        </is>
      </c>
      <c r="L4" s="21" t="inlineStr">
        <is>
          <t>CET1</t>
        </is>
      </c>
      <c r="M4" s="21" t="inlineStr">
        <is>
          <t>Gross NPA</t>
        </is>
      </c>
      <c r="N4" s="21" t="inlineStr">
        <is>
          <t>Borrowings</t>
        </is>
      </c>
      <c r="O4" s="21" t="inlineStr">
        <is>
          <t>Borr. % liabilities</t>
        </is>
      </c>
      <c r="P4" s="21" t="inlineStr">
        <is>
          <t>BVPS (adj.)</t>
        </is>
      </c>
      <c r="Q4" s="21" t="inlineStr">
        <is>
          <t>Branches</t>
        </is>
      </c>
      <c r="R4" s="21" t="inlineStr">
        <is>
          <t>EPS (adj.)</t>
        </is>
      </c>
    </row>
    <row r="5">
      <c r="A5" s="13" t="inlineStr">
        <is>
          <t>Q1FY24</t>
        </is>
      </c>
      <c r="B5" s="43" t="n">
        <v>16156.7</v>
      </c>
      <c r="C5" s="43" t="n">
        <v>19131</v>
      </c>
      <c r="D5" s="37" t="n">
        <v>0.425</v>
      </c>
      <c r="E5" s="37" t="n">
        <v>0.428</v>
      </c>
      <c r="F5" s="24">
        <f>B5/C5</f>
        <v/>
      </c>
      <c r="G5" s="37" t="n">
        <v>0.04099999999999999</v>
      </c>
      <c r="H5" s="43" t="n">
        <v>236</v>
      </c>
      <c r="I5" s="43" t="n">
        <v>119.5</v>
      </c>
      <c r="J5" s="13" t="inlineStr">
        <is>
          <t>n/r</t>
        </is>
      </c>
      <c r="K5" s="13" t="inlineStr">
        <is>
          <t>n/r</t>
        </is>
      </c>
      <c r="L5" s="37" t="n">
        <v>0.162</v>
      </c>
      <c r="M5" s="37" t="n">
        <v>0.0117</v>
      </c>
      <c r="N5" s="43" t="n">
        <v>2094.2</v>
      </c>
      <c r="O5" s="13" t="inlineStr">
        <is>
          <t>n/r</t>
        </is>
      </c>
      <c r="P5" s="16" t="n">
        <v>263</v>
      </c>
      <c r="Q5" s="43" t="n">
        <v>7860</v>
      </c>
      <c r="R5" s="16" t="n">
        <v>10.7</v>
      </c>
    </row>
    <row r="6">
      <c r="A6" s="13" t="inlineStr">
        <is>
          <t>Q2FY24</t>
        </is>
      </c>
      <c r="B6" s="43" t="n">
        <v>23546.3</v>
      </c>
      <c r="C6" s="43" t="n">
        <v>21728.6</v>
      </c>
      <c r="D6" s="37" t="n">
        <v>0.376</v>
      </c>
      <c r="E6" s="37" t="n">
        <v>0.404</v>
      </c>
      <c r="F6" s="24">
        <f>B6/C6</f>
        <v/>
      </c>
      <c r="G6" s="37" t="n">
        <v>0.0365</v>
      </c>
      <c r="H6" s="43" t="n">
        <v>273.9</v>
      </c>
      <c r="I6" s="43" t="n">
        <v>159.8</v>
      </c>
      <c r="J6" s="13" t="inlineStr">
        <is>
          <t>n/r</t>
        </is>
      </c>
      <c r="K6" s="13" t="inlineStr">
        <is>
          <t>n/r</t>
        </is>
      </c>
      <c r="L6" s="37" t="n">
        <v>0.173</v>
      </c>
      <c r="M6" s="37" t="n">
        <v>0.0134</v>
      </c>
      <c r="N6" s="43" t="n">
        <v>7167.7</v>
      </c>
      <c r="O6" s="37" t="n">
        <v>0.21</v>
      </c>
      <c r="P6" s="16" t="n">
        <v>267</v>
      </c>
      <c r="Q6" s="43" t="n">
        <v>7945</v>
      </c>
      <c r="R6" s="13" t="inlineStr">
        <is>
          <t>n/r</t>
        </is>
      </c>
    </row>
    <row r="7">
      <c r="A7" s="13" t="inlineStr">
        <is>
          <t>Q3FY24</t>
        </is>
      </c>
      <c r="B7" s="43" t="n">
        <v>24693</v>
      </c>
      <c r="C7" s="43" t="n">
        <v>22140</v>
      </c>
      <c r="D7" s="37" t="n">
        <v>0.377</v>
      </c>
      <c r="E7" s="37" t="n">
        <v>0.403</v>
      </c>
      <c r="F7" s="24">
        <f>B7/C7</f>
        <v/>
      </c>
      <c r="G7" s="37" t="n">
        <v>0.034</v>
      </c>
      <c r="H7" s="43" t="n">
        <v>284.7</v>
      </c>
      <c r="I7" s="43" t="n">
        <v>163.7</v>
      </c>
      <c r="J7" s="13" t="inlineStr">
        <is>
          <t>n/r</t>
        </is>
      </c>
      <c r="K7" s="13" t="inlineStr">
        <is>
          <t>n/r</t>
        </is>
      </c>
      <c r="L7" s="37" t="n">
        <v>0.163</v>
      </c>
      <c r="M7" s="37" t="n">
        <v>0.0126</v>
      </c>
      <c r="N7" s="43" t="n">
        <v>7377</v>
      </c>
      <c r="O7" s="13" t="inlineStr">
        <is>
          <t>n/r</t>
        </is>
      </c>
      <c r="P7" s="16" t="n">
        <v>278</v>
      </c>
      <c r="Q7" s="43" t="n">
        <v>8091</v>
      </c>
      <c r="R7" s="13" t="inlineStr">
        <is>
          <t>n/r</t>
        </is>
      </c>
    </row>
    <row r="8">
      <c r="A8" s="13" t="inlineStr">
        <is>
          <t>Q4FY24</t>
        </is>
      </c>
      <c r="B8" s="43" t="n">
        <v>25078</v>
      </c>
      <c r="C8" s="43" t="n">
        <v>23798</v>
      </c>
      <c r="D8" s="37" t="n">
        <v>0.382</v>
      </c>
      <c r="E8" s="37" t="n">
        <v>0.38</v>
      </c>
      <c r="F8" s="24">
        <f>B8/C8</f>
        <v/>
      </c>
      <c r="G8" s="37" t="n">
        <v>0.0344</v>
      </c>
      <c r="H8" s="43" t="n">
        <v>290.8</v>
      </c>
      <c r="I8" s="43" t="n">
        <v>165.1</v>
      </c>
      <c r="J8" s="13" t="inlineStr">
        <is>
          <t>n/r</t>
        </is>
      </c>
      <c r="K8" s="13" t="inlineStr">
        <is>
          <t>n/r</t>
        </is>
      </c>
      <c r="L8" s="37" t="n">
        <v>0.163</v>
      </c>
      <c r="M8" s="37" t="n">
        <v>0.0124</v>
      </c>
      <c r="N8" s="43" t="n">
        <v>6621.5</v>
      </c>
      <c r="O8" s="37" t="n">
        <v>0.18</v>
      </c>
      <c r="P8" s="16" t="n">
        <v>290</v>
      </c>
      <c r="Q8" s="43" t="n">
        <v>8738</v>
      </c>
      <c r="R8" s="13" t="inlineStr">
        <is>
          <t>n/r</t>
        </is>
      </c>
    </row>
    <row r="9">
      <c r="A9" s="13" t="inlineStr">
        <is>
          <t>Q1FY25</t>
        </is>
      </c>
      <c r="B9" s="43" t="n">
        <v>24869</v>
      </c>
      <c r="C9" s="43" t="n">
        <v>23791</v>
      </c>
      <c r="D9" s="37" t="n">
        <v>0.363</v>
      </c>
      <c r="E9" s="37" t="n">
        <v>0.41</v>
      </c>
      <c r="F9" s="24">
        <f>B9/C9</f>
        <v/>
      </c>
      <c r="G9" s="37" t="n">
        <v>0.0347</v>
      </c>
      <c r="H9" s="43" t="n">
        <v>298.4</v>
      </c>
      <c r="I9" s="43" t="n">
        <v>161.7</v>
      </c>
      <c r="J9" s="13" t="inlineStr">
        <is>
          <t>n/r</t>
        </is>
      </c>
      <c r="K9" s="13" t="inlineStr">
        <is>
          <t>n/r</t>
        </is>
      </c>
      <c r="L9" s="37" t="n">
        <v>0.168</v>
      </c>
      <c r="M9" s="37" t="n">
        <v>0.0133</v>
      </c>
      <c r="N9" s="43" t="n">
        <v>5993.4</v>
      </c>
      <c r="O9" s="13" t="inlineStr">
        <is>
          <t>n/r</t>
        </is>
      </c>
      <c r="P9" s="16" t="n">
        <v>301</v>
      </c>
      <c r="Q9" s="43" t="n">
        <v>8851</v>
      </c>
      <c r="R9" s="16" t="n">
        <v>10.64</v>
      </c>
    </row>
    <row r="10">
      <c r="A10" s="13" t="inlineStr">
        <is>
          <t>Q2FY25</t>
        </is>
      </c>
      <c r="B10" s="43" t="n">
        <v>25190</v>
      </c>
      <c r="C10" s="43" t="n">
        <v>25001</v>
      </c>
      <c r="D10" s="37" t="n">
        <v>0.353</v>
      </c>
      <c r="E10" s="37" t="n">
        <v>0.406</v>
      </c>
      <c r="F10" s="24">
        <f>B10/C10</f>
        <v/>
      </c>
      <c r="G10" s="37" t="n">
        <v>0.0346</v>
      </c>
      <c r="H10" s="43" t="n">
        <v>301.1</v>
      </c>
      <c r="I10" s="43" t="n">
        <v>168.2</v>
      </c>
      <c r="J10" s="13" t="inlineStr">
        <is>
          <t>n/r</t>
        </is>
      </c>
      <c r="K10" s="13" t="inlineStr">
        <is>
          <t>n/r</t>
        </is>
      </c>
      <c r="L10" s="37" t="n">
        <v>0.173</v>
      </c>
      <c r="M10" s="37" t="n">
        <v>0.0136</v>
      </c>
      <c r="N10" s="43" t="n">
        <v>5855.6</v>
      </c>
      <c r="O10" s="13" t="inlineStr">
        <is>
          <t>n/r</t>
        </is>
      </c>
      <c r="P10" s="16" t="n">
        <v>304</v>
      </c>
      <c r="Q10" s="43" t="n">
        <v>9092</v>
      </c>
      <c r="R10" s="13" t="inlineStr">
        <is>
          <t>n/r</t>
        </is>
      </c>
    </row>
    <row r="11">
      <c r="A11" s="13" t="inlineStr">
        <is>
          <t>Q3FY25</t>
        </is>
      </c>
      <c r="B11" s="43" t="n">
        <v>25426</v>
      </c>
      <c r="C11" s="43" t="n">
        <v>25638</v>
      </c>
      <c r="D11" s="37" t="n">
        <v>0.34</v>
      </c>
      <c r="E11" s="37" t="n">
        <v>0.406</v>
      </c>
      <c r="F11" s="24">
        <f>B11/C11</f>
        <v/>
      </c>
      <c r="G11" s="37" t="n">
        <v>0.0343</v>
      </c>
      <c r="H11" s="43" t="n">
        <v>306.5</v>
      </c>
      <c r="I11" s="43" t="n">
        <v>167.4</v>
      </c>
      <c r="J11" s="13" t="inlineStr">
        <is>
          <t>n/r</t>
        </is>
      </c>
      <c r="K11" s="13" t="inlineStr">
        <is>
          <t>n/r</t>
        </is>
      </c>
      <c r="L11" s="37" t="n">
        <v>0.175</v>
      </c>
      <c r="M11" s="37" t="n">
        <v>0.0142</v>
      </c>
      <c r="N11" s="43" t="n">
        <v>5702.4</v>
      </c>
      <c r="O11" s="37" t="n">
        <v>0.15</v>
      </c>
      <c r="P11" s="16" t="n">
        <v>316</v>
      </c>
      <c r="Q11" s="43" t="n">
        <v>9143</v>
      </c>
      <c r="R11" s="16" t="n">
        <v>11</v>
      </c>
    </row>
    <row r="12">
      <c r="A12" s="13" t="inlineStr">
        <is>
          <t>Q4FY25</t>
        </is>
      </c>
      <c r="B12" s="43" t="n">
        <v>26435</v>
      </c>
      <c r="C12" s="43" t="n">
        <v>27147</v>
      </c>
      <c r="D12" s="37" t="n">
        <v>0.348</v>
      </c>
      <c r="E12" s="37" t="n">
        <v>0.398</v>
      </c>
      <c r="F12" s="24">
        <f>B12/C12</f>
        <v/>
      </c>
      <c r="G12" s="37" t="n">
        <v>0.0346</v>
      </c>
      <c r="H12" s="43" t="n">
        <v>320.7</v>
      </c>
      <c r="I12" s="43" t="n">
        <v>176.2</v>
      </c>
      <c r="J12" s="13" t="inlineStr">
        <is>
          <t>n/r</t>
        </is>
      </c>
      <c r="K12" s="13" t="inlineStr">
        <is>
          <t>n/r</t>
        </is>
      </c>
      <c r="L12" s="37" t="n">
        <v>0.172</v>
      </c>
      <c r="M12" s="37" t="n">
        <v>0.0133</v>
      </c>
      <c r="N12" s="43" t="n">
        <v>5479.3</v>
      </c>
      <c r="O12" s="37" t="n">
        <v>0.14</v>
      </c>
      <c r="P12" s="16" t="n">
        <v>328</v>
      </c>
      <c r="Q12" s="43" t="n">
        <v>9455</v>
      </c>
      <c r="R12" s="16" t="n">
        <v>11.5</v>
      </c>
    </row>
    <row r="13">
      <c r="A13" s="13" t="inlineStr">
        <is>
          <t>Q1FY26</t>
        </is>
      </c>
      <c r="B13" s="43" t="n">
        <v>26532</v>
      </c>
      <c r="C13" s="43" t="n">
        <v>27641</v>
      </c>
      <c r="D13" s="37" t="n">
        <v>0.339</v>
      </c>
      <c r="E13" s="37" t="n">
        <v>0.396</v>
      </c>
      <c r="F13" s="24">
        <f>B13/C13</f>
        <v/>
      </c>
      <c r="G13" s="37" t="n">
        <v>0.0335</v>
      </c>
      <c r="H13" s="43" t="n">
        <v>314.4</v>
      </c>
      <c r="I13" s="43" t="n">
        <v>181.6</v>
      </c>
      <c r="J13" s="37" t="n">
        <v>0.019</v>
      </c>
      <c r="K13" s="37" t="n">
        <v>0.147</v>
      </c>
      <c r="L13" s="37" t="n">
        <v>0.174</v>
      </c>
      <c r="M13" s="37" t="n">
        <v>0.014</v>
      </c>
      <c r="N13" s="43" t="n">
        <v>5100.6</v>
      </c>
      <c r="O13" s="37" t="n">
        <v>0.13</v>
      </c>
      <c r="P13" s="16" t="n">
        <v>341</v>
      </c>
      <c r="Q13" s="43" t="n">
        <v>9499</v>
      </c>
      <c r="R13" s="16" t="n">
        <v>11.9</v>
      </c>
    </row>
    <row r="14">
      <c r="A14" s="13" t="inlineStr">
        <is>
          <t>Q2FY26</t>
        </is>
      </c>
      <c r="B14" s="43" t="n">
        <v>27692</v>
      </c>
      <c r="C14" s="43" t="n">
        <v>28018</v>
      </c>
      <c r="D14" s="37" t="n">
        <v>0.339</v>
      </c>
      <c r="E14" s="37" t="n">
        <v>0.392</v>
      </c>
      <c r="F14" s="24">
        <f>B14/C14</f>
        <v/>
      </c>
      <c r="G14" s="37" t="n">
        <v>0.0327</v>
      </c>
      <c r="H14" s="43" t="n">
        <v>315.5</v>
      </c>
      <c r="I14" s="43" t="n">
        <v>186.4</v>
      </c>
      <c r="J14" s="37" t="n">
        <v>0.019</v>
      </c>
      <c r="K14" s="37" t="n">
        <v>0.144</v>
      </c>
      <c r="L14" s="37" t="n">
        <v>0.175</v>
      </c>
      <c r="M14" s="37" t="n">
        <v>0.0124</v>
      </c>
      <c r="N14" s="43" t="n">
        <v>5096</v>
      </c>
      <c r="O14" s="37" t="n">
        <v>0.13</v>
      </c>
      <c r="P14" s="16" t="n">
        <v>340</v>
      </c>
      <c r="Q14" s="43" t="n">
        <v>9545</v>
      </c>
      <c r="R14" s="16" t="n">
        <v>12.1</v>
      </c>
    </row>
    <row r="15">
      <c r="A15" s="13" t="inlineStr">
        <is>
          <t>Q3FY26</t>
        </is>
      </c>
      <c r="B15" s="43" t="n">
        <v>28446</v>
      </c>
      <c r="C15" s="43" t="n">
        <v>28601</v>
      </c>
      <c r="D15" s="37" t="n">
        <v>0.336</v>
      </c>
      <c r="E15" s="37" t="n">
        <v>0.392</v>
      </c>
      <c r="F15" s="24">
        <f>B15/C15</f>
        <v/>
      </c>
      <c r="G15" s="37" t="n">
        <v>0.0335</v>
      </c>
      <c r="H15" s="43" t="n">
        <v>326.2</v>
      </c>
      <c r="I15" s="43" t="n">
        <v>186.5</v>
      </c>
      <c r="J15" s="37" t="n">
        <v>0.0192</v>
      </c>
      <c r="K15" s="37" t="n">
        <v>0.139</v>
      </c>
      <c r="L15" s="37" t="n">
        <v>0.174</v>
      </c>
      <c r="M15" s="37" t="n">
        <v>0.0124</v>
      </c>
      <c r="N15" s="43" t="n">
        <v>5211</v>
      </c>
      <c r="O15" s="37" t="n">
        <v>0.13</v>
      </c>
      <c r="P15" s="16" t="n">
        <v>353</v>
      </c>
      <c r="Q15" s="43" t="n">
        <v>9616</v>
      </c>
      <c r="R15" s="16" t="n">
        <v>12.1</v>
      </c>
    </row>
    <row r="16">
      <c r="A16" s="13" t="inlineStr">
        <is>
          <t>Q4FY26</t>
        </is>
      </c>
      <c r="B16" s="43" t="n">
        <v>29600</v>
      </c>
      <c r="C16" s="43" t="n">
        <v>31053</v>
      </c>
      <c r="D16" s="37" t="n">
        <v>0.341</v>
      </c>
      <c r="E16" s="37" t="n">
        <v>0.399</v>
      </c>
      <c r="F16" s="24">
        <f>B16/C16</f>
        <v/>
      </c>
      <c r="G16" s="37" t="n">
        <v>0.0338</v>
      </c>
      <c r="H16" s="43" t="n">
        <v>330.8</v>
      </c>
      <c r="I16" s="43" t="n">
        <v>192.2</v>
      </c>
      <c r="J16" s="37" t="n">
        <v>0.0196</v>
      </c>
      <c r="K16" s="37" t="n">
        <v>0.141</v>
      </c>
      <c r="L16" s="37" t="n">
        <v>0.173</v>
      </c>
      <c r="M16" s="37" t="n">
        <v>0.0115</v>
      </c>
      <c r="N16" s="43" t="n">
        <v>4894</v>
      </c>
      <c r="O16" s="37" t="n">
        <v>0.11</v>
      </c>
      <c r="P16" s="16" t="n">
        <v>366</v>
      </c>
      <c r="Q16" s="43" t="n">
        <v>9689</v>
      </c>
      <c r="R16" s="16" t="n">
        <v>12.5</v>
      </c>
    </row>
    <row r="17">
      <c r="A17" s="13" t="inlineStr">
        <is>
          <t>Q1FY27</t>
        </is>
      </c>
      <c r="B17" s="43" t="n">
        <v>30608</v>
      </c>
      <c r="C17" s="43" t="n">
        <v>31708</v>
      </c>
      <c r="D17" s="37" t="n">
        <v>0.323</v>
      </c>
      <c r="E17" s="37" t="n">
        <v>0.392</v>
      </c>
      <c r="F17" s="24">
        <f>B17/C17</f>
        <v/>
      </c>
      <c r="G17" s="37" t="n">
        <v>0.0326</v>
      </c>
      <c r="H17" s="43" t="n">
        <v>335.3</v>
      </c>
      <c r="I17" s="43" t="n">
        <v>190.6</v>
      </c>
      <c r="J17" s="37" t="n">
        <v>0.0185</v>
      </c>
      <c r="K17" s="37" t="n">
        <v>0.138</v>
      </c>
      <c r="L17" s="37" t="n">
        <v>0.174</v>
      </c>
      <c r="M17" s="37" t="n">
        <v>0.0117</v>
      </c>
      <c r="N17" s="43" t="n">
        <v>4618</v>
      </c>
      <c r="O17" s="37" t="n">
        <v>0.11</v>
      </c>
      <c r="P17" s="16" t="n">
        <v>379</v>
      </c>
      <c r="Q17" s="43" t="n">
        <v>9694</v>
      </c>
      <c r="R17" s="16" t="n">
        <v>12.4</v>
      </c>
    </row>
    <row r="18">
      <c r="A18" s="13" t="inlineStr">
        <is>
          <t>Q2FY27</t>
        </is>
      </c>
      <c r="B18" s="43" t="n">
        <v>32195</v>
      </c>
      <c r="C18" s="43" t="n">
        <v>33274</v>
      </c>
      <c r="D18" s="37" t="n">
        <v>0.316</v>
      </c>
      <c r="E18" s="37" t="n">
        <v>0.391</v>
      </c>
      <c r="F18" s="24">
        <f>B18/C18</f>
        <v/>
      </c>
      <c r="G18" s="37" t="n">
        <v>0.0316</v>
      </c>
      <c r="H18" s="43" t="n">
        <v>346.2</v>
      </c>
      <c r="I18" s="43" t="n">
        <v>195.1</v>
      </c>
      <c r="J18" s="37" t="n">
        <v>0.0178</v>
      </c>
      <c r="K18" s="37" t="n">
        <v>0.135</v>
      </c>
      <c r="L18" s="37" t="n">
        <v>0.171</v>
      </c>
      <c r="M18" s="37" t="n">
        <v>0.0111</v>
      </c>
      <c r="N18" s="43" t="n">
        <v>4890</v>
      </c>
      <c r="O18" s="37" t="n">
        <v>0.11</v>
      </c>
      <c r="P18" s="16" t="n">
        <v>379</v>
      </c>
      <c r="Q18" s="43" t="n">
        <v>9706</v>
      </c>
      <c r="R18" s="16" t="n">
        <v>12.66</v>
      </c>
    </row>
    <row r="20">
      <c r="A20" s="3" t="inlineStr">
        <is>
          <t>Management targets vs record (see note): LDR to 85–90% in FY2027 — 96.8% at Sep-2026; NIM 'upward from the next quarter' (Oct-2026); legacy borrowings ~Rs 2.6 lakh cr to be substituted with deposits.</t>
        </is>
      </c>
    </row>
    <row r="21">
      <c r="A21" s="3" t="inlineStr">
        <is>
          <t>Q2 FY24 NIM shown is core (3.65%); reported NIM was 3.4% after debt-funded merger costs. Q4 FY24 cost/income includes the HDFC Credila gain (41.3% excluding one-offs).</t>
        </is>
      </c>
    </row>
  </sheetData>
  <printOptions gridLines="0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6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2" t="inlineStr">
        <is>
          <t>Who captured the value — returns, decomposition and the verdict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Prices: HDFC Bank 1-Apr-2022 Rs 1,506.30 (BSE); 19-Oct-2026 Rs 712.00 (post-bonus = Rs 1,424 pre-bonus). Index returns are price-only (NSE closing files); total-return indices would widen the gap.</t>
        </is>
      </c>
    </row>
    <row r="4">
      <c r="A4" s="4" t="inlineStr">
        <is>
          <t>TOTAL SHAREHOLDER RETURN, 1-APR-2022 TO 19-OCT-2026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6" t="inlineStr">
        <is>
          <t>HDFC Bank price, 1-Apr-2022 (Rs)</t>
        </is>
      </c>
      <c r="B5" s="31">
        <f>'Premium &amp; Precedents'!B6</f>
        <v/>
      </c>
    </row>
    <row r="6">
      <c r="A6" s="6" t="inlineStr">
        <is>
          <t>HDFC Bank price, 19-Oct-2026, pre-bonus equivalent (Rs)</t>
        </is>
      </c>
      <c r="B6" s="20">
        <f>C6*2</f>
        <v/>
      </c>
      <c r="C6" s="16" t="n">
        <v>712</v>
      </c>
      <c r="D6" s="3" t="inlineStr">
        <is>
          <t>&lt;- close, post-bonus (input)</t>
        </is>
      </c>
    </row>
    <row r="7">
      <c r="A7" s="6" t="inlineStr">
        <is>
          <t>Dividends per pre-bonus share since 1-Apr-2022 (Rs)</t>
        </is>
      </c>
      <c r="B7" s="16" t="n">
        <v>107</v>
      </c>
    </row>
    <row r="8">
      <c r="A8" s="6" t="inlineStr">
        <is>
          <t>HDFC Bank price return</t>
        </is>
      </c>
      <c r="B8" s="24">
        <f>B6/B5-1</f>
        <v/>
      </c>
    </row>
    <row r="9">
      <c r="A9" s="14" t="inlineStr">
        <is>
          <t>HDFC BANK TOTAL SHAREHOLDER RETURN (dividends not reinvested)</t>
        </is>
      </c>
      <c r="B9" s="27">
        <f>(B6+B7)/B5-1</f>
        <v/>
      </c>
    </row>
    <row r="10">
      <c r="A10" s="6" t="inlineStr">
        <is>
          <t>Nifty 50, price return</t>
        </is>
      </c>
      <c r="B10" s="24">
        <f>D10/C10-1</f>
        <v/>
      </c>
      <c r="C10" s="16" t="n">
        <v>17670.45</v>
      </c>
      <c r="D10" s="16" t="n">
        <v>22888.95</v>
      </c>
    </row>
    <row r="11">
      <c r="A11" s="6" t="inlineStr">
        <is>
          <t>Nifty Bank, price return (price index; includes HDFC Bank)</t>
        </is>
      </c>
      <c r="B11" s="24">
        <f>D11/C11-1</f>
        <v/>
      </c>
      <c r="C11" s="16" t="n">
        <v>37148.5</v>
      </c>
      <c r="D11" s="16" t="n">
        <v>55488.1</v>
      </c>
    </row>
    <row r="12">
      <c r="A12" s="14" t="inlineStr">
        <is>
          <t>Underperformance vs Nifty Bank (pp)</t>
        </is>
      </c>
      <c r="B12" s="48">
        <f>(B9-B11)*100</f>
        <v/>
      </c>
    </row>
    <row r="14">
      <c r="A14" s="4" t="inlineStr">
        <is>
          <t>A FORMER HDFC LTD SHAREHOLDER (25 SHARES ON 1-APR-2022)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6" t="inlineStr">
        <is>
          <t>Value on 1-Apr-2022 (25 × Rs 2,450.95)</t>
        </is>
      </c>
      <c r="B15" s="9">
        <f>25*'Premium &amp; Precedents'!B5</f>
        <v/>
      </c>
    </row>
    <row r="16">
      <c r="A16" s="6" t="inlineStr">
        <is>
          <t>Value today: 42 shares -&gt; 84 after bonus x today's close</t>
        </is>
      </c>
      <c r="B16" s="32">
        <f>84*C6</f>
        <v/>
      </c>
    </row>
    <row r="17">
      <c r="A17" s="6" t="inlineStr">
        <is>
          <t>HDFC Ltd dividends received (FY22 Rs 30 + FY23 Rs 44, × 25)</t>
        </is>
      </c>
      <c r="B17" s="22">
        <f>25*(30+44)</f>
        <v/>
      </c>
    </row>
    <row r="18">
      <c r="A18" s="6" t="inlineStr">
        <is>
          <t>HDFC Bank dividends received since the swap</t>
        </is>
      </c>
      <c r="B18" s="22" t="n">
        <v>3045</v>
      </c>
    </row>
    <row r="19">
      <c r="A19" s="14" t="inlineStr">
        <is>
          <t>TOTAL RETURN</t>
        </is>
      </c>
      <c r="B19" s="27">
        <f>(B16+B17+B18)/B15-1</f>
        <v/>
      </c>
    </row>
    <row r="21">
      <c r="A21" s="4" t="inlineStr">
        <is>
          <t>DECOMPOSITION OF HDFC BANK'S PRICE CHANGE — BOOK GREW, THE MULTIPLE FELL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6" t="inlineStr">
        <is>
          <t>BVPS, Mar-2022, standalone, reported (Rs)</t>
        </is>
      </c>
      <c r="B22" s="16" t="n">
        <v>433</v>
      </c>
    </row>
    <row r="23">
      <c r="A23" s="6" t="inlineStr">
        <is>
          <t>BVPS, Sep-2026, standalone, pre-bonus equivalent (Rs)</t>
        </is>
      </c>
      <c r="B23" s="31">
        <f>Scorecard!P18*2</f>
        <v/>
      </c>
    </row>
    <row r="24">
      <c r="A24" s="6" t="inlineStr">
        <is>
          <t>Book value per share growth</t>
        </is>
      </c>
      <c r="B24" s="24">
        <f>B23/B22-1</f>
        <v/>
      </c>
    </row>
    <row r="25">
      <c r="A25" s="6" t="inlineStr">
        <is>
          <t>P/B on 1-Apr-2022</t>
        </is>
      </c>
      <c r="B25" s="25">
        <f>B5/B22</f>
        <v/>
      </c>
    </row>
    <row r="26">
      <c r="A26" s="6" t="inlineStr">
        <is>
          <t>P/B on 19-Oct-2026</t>
        </is>
      </c>
      <c r="B26" s="25">
        <f>B6/B23</f>
        <v/>
      </c>
    </row>
    <row r="27">
      <c r="A27" s="14" t="inlineStr">
        <is>
          <t>Change in P/B</t>
        </is>
      </c>
      <c r="B27" s="27">
        <f>B26/B25-1</f>
        <v/>
      </c>
    </row>
    <row r="28">
      <c r="A28" s="6" t="inlineStr">
        <is>
          <t>Check: (1 + book growth) × (1 + P/B change) − 1 = price return</t>
        </is>
      </c>
      <c r="B28" s="49">
        <f>ROUND((1+B24)*(1+B27)-1-B8,6)</f>
        <v/>
      </c>
    </row>
    <row r="30">
      <c r="A30" s="4" t="inlineStr">
        <is>
          <t>WHAT DROVE THE MULTIPLE — PROFITABILITY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21" t="inlineStr"/>
      <c r="B31" s="21" t="inlineStr">
        <is>
          <t>Bank alone (FY23 / Q1 FY24)</t>
        </is>
      </c>
      <c r="C31" s="21" t="inlineStr">
        <is>
          <t>Pro forma at close</t>
        </is>
      </c>
      <c r="D31" s="21" t="inlineStr">
        <is>
          <t>Latest (Q2 FY27)</t>
        </is>
      </c>
      <c r="E31" s="21" t="inlineStr">
        <is>
          <t>Change vs pro forma (bp)</t>
        </is>
      </c>
    </row>
    <row r="32">
      <c r="A32" s="6" t="inlineStr">
        <is>
          <t>ROE</t>
        </is>
      </c>
      <c r="B32" s="10">
        <f>'Acquirer Standalone'!E19</f>
        <v/>
      </c>
      <c r="C32" s="10">
        <f>'Pro Forma'!D21/'Pro Forma'!D19</f>
        <v/>
      </c>
      <c r="D32" s="10">
        <f>Scorecard!K18</f>
        <v/>
      </c>
      <c r="E32" s="50">
        <f>(D32-C32)*10000</f>
        <v/>
      </c>
    </row>
    <row r="33">
      <c r="A33" s="6" t="inlineStr">
        <is>
          <t>NIM on total assets (core)</t>
        </is>
      </c>
      <c r="B33" s="8">
        <f>Scorecard!G5</f>
        <v/>
      </c>
      <c r="C33" s="8">
        <f>Scorecard!G6</f>
        <v/>
      </c>
      <c r="D33" s="8">
        <f>Scorecard!G18</f>
        <v/>
      </c>
      <c r="E33" s="50">
        <f>(D33-C33)*10000</f>
        <v/>
      </c>
    </row>
    <row r="34">
      <c r="A34" s="6" t="inlineStr">
        <is>
          <t>Loan-to-deposit ratio</t>
        </is>
      </c>
      <c r="B34" s="10">
        <f>Scorecard!F5</f>
        <v/>
      </c>
      <c r="C34" s="10">
        <f>Scorecard!F6</f>
        <v/>
      </c>
      <c r="D34" s="10">
        <f>Scorecard!F18</f>
        <v/>
      </c>
      <c r="E34" s="50">
        <f>(D34-C34)*10000</f>
        <v/>
      </c>
    </row>
    <row r="35">
      <c r="A35" s="6" t="inlineStr">
        <is>
          <t>CASA ratio</t>
        </is>
      </c>
      <c r="B35" s="10">
        <f>Scorecard!D5</f>
        <v/>
      </c>
      <c r="C35" s="10">
        <f>Scorecard!D6</f>
        <v/>
      </c>
      <c r="D35" s="10">
        <f>Scorecard!D18</f>
        <v/>
      </c>
      <c r="E35" s="50">
        <f>(D35-C35)*10000</f>
        <v/>
      </c>
    </row>
    <row r="36">
      <c r="A36" s="6" t="inlineStr">
        <is>
          <t>Cost/income</t>
        </is>
      </c>
      <c r="B36" s="10">
        <f>Scorecard!E5</f>
        <v/>
      </c>
      <c r="C36" s="10">
        <f>Scorecard!E6</f>
        <v/>
      </c>
      <c r="D36" s="10">
        <f>Scorecard!E18</f>
        <v/>
      </c>
      <c r="E36" s="50">
        <f>(D36-C36)*10000</f>
        <v/>
      </c>
    </row>
    <row r="37">
      <c r="A37" s="3" t="inlineStr">
        <is>
          <t>Pro forma ROE = deck's annualised pro forma PAT ÷ pro forma net worth (Dec-2021). Other 'pro forma' values are the first merged quarter (Q2 FY24); NIM is core (reported 3.4%).</t>
        </is>
      </c>
    </row>
    <row r="39">
      <c r="A39" s="4" t="inlineStr">
        <is>
          <t>VALUE ACROSS THE WHOLE GROUP (APPROXIMATE)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6" t="inlineStr">
        <is>
          <t>Combined unaffected value: bank + HDFC Ltd − cross-holding (Rs crore)</t>
        </is>
      </c>
      <c r="B40" s="9">
        <f>'Deal Terms'!B23*'Premium &amp; Precedents'!B6+'Premium &amp; Precedents'!B12-'Deal Terms'!B25*'Premium &amp; Precedents'!B6</f>
        <v/>
      </c>
    </row>
    <row r="41">
      <c r="A41" s="6" t="inlineStr">
        <is>
          <t>HDFC Bank market value today (shares today x close)</t>
        </is>
      </c>
      <c r="B41" s="32">
        <f>C41*C6</f>
        <v/>
      </c>
      <c r="C41" s="16" t="n">
        <v>1541.86</v>
      </c>
      <c r="D41" s="3" t="inlineStr">
        <is>
          <t>&lt;- shares today, crore (6-K paid-up capital Rs 1,541.86 cr, FV Re 1)</t>
        </is>
      </c>
    </row>
    <row r="42">
      <c r="A42" s="6" t="inlineStr">
        <is>
          <t>Change in combined value</t>
        </is>
      </c>
      <c r="B42" s="24">
        <f>B41/B40-1</f>
        <v/>
      </c>
    </row>
    <row r="43">
      <c r="A43" s="6" t="inlineStr">
        <is>
          <t>Value had the combined group tracked Nifty Bank (price)</t>
        </is>
      </c>
      <c r="B43" s="32">
        <f>B40*(1+B11)</f>
        <v/>
      </c>
    </row>
    <row r="44">
      <c r="A44" s="14" t="inlineStr">
        <is>
          <t>RELATIVE VALUE SHORTFALL VS NIFTY BANK (approx.)</t>
        </is>
      </c>
      <c r="B44" s="33">
        <f>B43-B41</f>
        <v/>
      </c>
    </row>
    <row r="46">
      <c r="A46" s="4" t="inlineStr">
        <is>
          <t>WHAT ELSE HAPPENED — GOVERNANCE AND THE SECTOR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6" t="inlineStr">
        <is>
          <t>HDFC Bank close, 18-Mar-2026, before the chairman's resignation (post-bonus)</t>
        </is>
      </c>
      <c r="B47" s="16" t="n">
        <v>842.95</v>
      </c>
    </row>
    <row r="48">
      <c r="A48" s="6" t="inlineStr">
        <is>
          <t>Dividends per pre-bonus share paid by then</t>
        </is>
      </c>
      <c r="B48" s="16" t="n">
        <v>81</v>
      </c>
    </row>
    <row r="49">
      <c r="A49" s="6" t="inlineStr">
        <is>
          <t>TSR from 1-Apr-2022 to 18-Mar-2026</t>
        </is>
      </c>
      <c r="B49" s="24">
        <f>(B47*2+B48)/B5-1</f>
        <v/>
      </c>
    </row>
    <row r="50">
      <c r="A50" s="14" t="inlineStr">
        <is>
          <t>Return lost after the resignation (pp)</t>
        </is>
      </c>
      <c r="B50" s="51">
        <f>(B49-B9)*100</f>
        <v/>
      </c>
    </row>
    <row r="51">
      <c r="A51" s="6" t="inlineStr">
        <is>
          <t>Nifty Bank P/B, 1-Apr-2022 → 19-Oct-2026</t>
        </is>
      </c>
      <c r="B51" s="52" t="n">
        <v>2.77</v>
      </c>
      <c r="C51" s="52" t="n">
        <v>1.67</v>
      </c>
    </row>
    <row r="52">
      <c r="A52" s="6" t="inlineStr">
        <is>
          <t>Sector de-rating vs HDFC Bank's</t>
        </is>
      </c>
      <c r="B52" s="24">
        <f>C51/B51-1</f>
        <v/>
      </c>
      <c r="C52" s="24">
        <f>B27</f>
        <v/>
      </c>
    </row>
    <row r="53">
      <c r="A53" s="6" t="inlineStr">
        <is>
          <t>HDFC Bank's P/B premium to the sector: then -&gt; now</t>
        </is>
      </c>
      <c r="B53" s="25">
        <f>B25/B51</f>
        <v/>
      </c>
      <c r="C53" s="25">
        <f>B26/C51</f>
        <v/>
      </c>
    </row>
    <row r="54">
      <c r="A54" s="14" t="inlineStr">
        <is>
          <t>Deal-specific relative de-rating (premium to sector)</t>
        </is>
      </c>
      <c r="B54" s="27">
        <f>C53/B53-1</f>
        <v/>
      </c>
    </row>
    <row r="55">
      <c r="A55" s="3" t="inlineStr">
        <is>
          <t>Chairman Atanu Chakraborty resigned 18-Mar-2026; Sashidhar Jagdishan's term ends 26-Oct-2026 (Anup Bagchi from 27-Oct). Most of the multiple's fall is sector-wide; the deal cannot be cleanly separated from governance and the rate cycle.</t>
        </is>
      </c>
    </row>
    <row r="57">
      <c r="A57" s="4" t="inlineStr">
        <is>
          <t>THE VERDICT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6" t="inlineStr">
        <is>
          <t>Price paid: fair. A 3.25% premium (Rs 14,500 cr gross, ~Rs 8,500 cr net of HDFC Ltd holders' own share), second-lowest of the verified precedents (only GRUH-Bandhan, -7%, was lower); holders received 41% for ~40-43% of value and earnings.</t>
        </is>
      </c>
    </row>
    <row r="59">
      <c r="A59" s="6" t="inlineStr">
        <is>
          <t>The reserve bill: CRR/SLR from day one costs up to ~Rs 2,700 cr a year after tax on desk assumptions (an upper bound), ~Rs 4,400-8,100 cr in present value over a 3-4 year transition, and erases the illustrative ~+2.5% pro forma accretion before any funding saving. The refusal itself (the denied phase-in) was worth ~Rs 2,300 cr.</t>
        </is>
      </c>
    </row>
    <row r="60">
      <c r="A60" s="6" t="inlineStr">
        <is>
          <t>Outcome: HDFC Bank returned +1.6% (TSR) against +49% for Nifty Bank (price). Book per share grew ~75%; the P/B fell ~46%, of which ~40% was the sector; ROE fell from a 14.9% pro forma to 13.5%.</t>
        </is>
      </c>
    </row>
    <row r="61">
      <c r="A61" s="6" t="inlineStr">
        <is>
          <t>Who captured the value: neither set of shareholders. The funding repair (~Rs 2.5 lakh cr retired from the peak) is real, but it was paid for with margin and growth; the 2026 governance shock explains much of the most recent fall.</t>
        </is>
      </c>
    </row>
  </sheetData>
  <printOptions gridLines="0"/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2" t="inlineStr">
        <is>
          <t>Sensitivities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Each grid recomputes from the inputs on Synergies and Accretion-Dilution; base-case cells are checked against the source sheets.</t>
        </is>
      </c>
    </row>
    <row r="4">
      <c r="A4" s="4" t="inlineStr">
        <is>
          <t>1) PRESENT VALUE OF THE CRR/SLR DRAG (Rs crore) — loan yield (rows) × years of transition (columns), discounted at Synergies!B24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21" t="inlineStr">
        <is>
          <t>Loan yield ↓ / years →</t>
        </is>
      </c>
      <c r="B5" s="21" t="inlineStr">
        <is>
          <t>2 yrs</t>
        </is>
      </c>
      <c r="C5" s="21" t="inlineStr">
        <is>
          <t>3 yrs</t>
        </is>
      </c>
      <c r="D5" s="21" t="inlineStr">
        <is>
          <t>4 yrs</t>
        </is>
      </c>
      <c r="E5" s="21" t="inlineStr">
        <is>
          <t>5 yrs</t>
        </is>
      </c>
      <c r="F5" s="21" t="inlineStr">
        <is>
          <t>6 yrs</t>
        </is>
      </c>
    </row>
    <row r="6">
      <c r="A6" s="23" t="n">
        <v>0.08</v>
      </c>
      <c r="B6" s="32">
        <f>Synergies!$B$12*(Synergies!$B$13*$A6+Synergies!$B$14*($A6-Synergies!$B$16))*(1-Synergies!$B$17)*(1-(1+Synergies!$B$24)^-2)/Synergies!$B$24</f>
        <v/>
      </c>
      <c r="C6" s="32">
        <f>Synergies!$B$12*(Synergies!$B$13*$A6+Synergies!$B$14*($A6-Synergies!$B$16))*(1-Synergies!$B$17)*(1-(1+Synergies!$B$24)^-3)/Synergies!$B$24</f>
        <v/>
      </c>
      <c r="D6" s="32">
        <f>Synergies!$B$12*(Synergies!$B$13*$A6+Synergies!$B$14*($A6-Synergies!$B$16))*(1-Synergies!$B$17)*(1-(1+Synergies!$B$24)^-4)/Synergies!$B$24</f>
        <v/>
      </c>
      <c r="E6" s="32">
        <f>Synergies!$B$12*(Synergies!$B$13*$A6+Synergies!$B$14*($A6-Synergies!$B$16))*(1-Synergies!$B$17)*(1-(1+Synergies!$B$24)^-5)/Synergies!$B$24</f>
        <v/>
      </c>
      <c r="F6" s="32">
        <f>Synergies!$B$12*(Synergies!$B$13*$A6+Synergies!$B$14*($A6-Synergies!$B$16))*(1-Synergies!$B$17)*(1-(1+Synergies!$B$24)^-6)/Synergies!$B$24</f>
        <v/>
      </c>
    </row>
    <row r="7">
      <c r="A7" s="23" t="n">
        <v>0.083</v>
      </c>
      <c r="B7" s="32">
        <f>Synergies!$B$12*(Synergies!$B$13*$A7+Synergies!$B$14*($A7-Synergies!$B$16))*(1-Synergies!$B$17)*(1-(1+Synergies!$B$24)^-2)/Synergies!$B$24</f>
        <v/>
      </c>
      <c r="C7" s="32">
        <f>Synergies!$B$12*(Synergies!$B$13*$A7+Synergies!$B$14*($A7-Synergies!$B$16))*(1-Synergies!$B$17)*(1-(1+Synergies!$B$24)^-3)/Synergies!$B$24</f>
        <v/>
      </c>
      <c r="D7" s="32">
        <f>Synergies!$B$12*(Synergies!$B$13*$A7+Synergies!$B$14*($A7-Synergies!$B$16))*(1-Synergies!$B$17)*(1-(1+Synergies!$B$24)^-4)/Synergies!$B$24</f>
        <v/>
      </c>
      <c r="E7" s="32">
        <f>Synergies!$B$12*(Synergies!$B$13*$A7+Synergies!$B$14*($A7-Synergies!$B$16))*(1-Synergies!$B$17)*(1-(1+Synergies!$B$24)^-5)/Synergies!$B$24</f>
        <v/>
      </c>
      <c r="F7" s="32">
        <f>Synergies!$B$12*(Synergies!$B$13*$A7+Synergies!$B$14*($A7-Synergies!$B$16))*(1-Synergies!$B$17)*(1-(1+Synergies!$B$24)^-6)/Synergies!$B$24</f>
        <v/>
      </c>
    </row>
    <row r="8">
      <c r="A8" s="23" t="n">
        <v>0.08599999999999999</v>
      </c>
      <c r="B8" s="32">
        <f>Synergies!$B$12*(Synergies!$B$13*$A8+Synergies!$B$14*($A8-Synergies!$B$16))*(1-Synergies!$B$17)*(1-(1+Synergies!$B$24)^-2)/Synergies!$B$24</f>
        <v/>
      </c>
      <c r="C8" s="32">
        <f>Synergies!$B$12*(Synergies!$B$13*$A8+Synergies!$B$14*($A8-Synergies!$B$16))*(1-Synergies!$B$17)*(1-(1+Synergies!$B$24)^-3)/Synergies!$B$24</f>
        <v/>
      </c>
      <c r="D8" s="32">
        <f>Synergies!$B$12*(Synergies!$B$13*$A8+Synergies!$B$14*($A8-Synergies!$B$16))*(1-Synergies!$B$17)*(1-(1+Synergies!$B$24)^-4)/Synergies!$B$24</f>
        <v/>
      </c>
      <c r="E8" s="32">
        <f>Synergies!$B$12*(Synergies!$B$13*$A8+Synergies!$B$14*($A8-Synergies!$B$16))*(1-Synergies!$B$17)*(1-(1+Synergies!$B$24)^-5)/Synergies!$B$24</f>
        <v/>
      </c>
      <c r="F8" s="32">
        <f>Synergies!$B$12*(Synergies!$B$13*$A8+Synergies!$B$14*($A8-Synergies!$B$16))*(1-Synergies!$B$17)*(1-(1+Synergies!$B$24)^-6)/Synergies!$B$24</f>
        <v/>
      </c>
    </row>
    <row r="9">
      <c r="A9" s="23" t="n">
        <v>0.089</v>
      </c>
      <c r="B9" s="32">
        <f>Synergies!$B$12*(Synergies!$B$13*$A9+Synergies!$B$14*($A9-Synergies!$B$16))*(1-Synergies!$B$17)*(1-(1+Synergies!$B$24)^-2)/Synergies!$B$24</f>
        <v/>
      </c>
      <c r="C9" s="32">
        <f>Synergies!$B$12*(Synergies!$B$13*$A9+Synergies!$B$14*($A9-Synergies!$B$16))*(1-Synergies!$B$17)*(1-(1+Synergies!$B$24)^-3)/Synergies!$B$24</f>
        <v/>
      </c>
      <c r="D9" s="32">
        <f>Synergies!$B$12*(Synergies!$B$13*$A9+Synergies!$B$14*($A9-Synergies!$B$16))*(1-Synergies!$B$17)*(1-(1+Synergies!$B$24)^-4)/Synergies!$B$24</f>
        <v/>
      </c>
      <c r="E9" s="32">
        <f>Synergies!$B$12*(Synergies!$B$13*$A9+Synergies!$B$14*($A9-Synergies!$B$16))*(1-Synergies!$B$17)*(1-(1+Synergies!$B$24)^-5)/Synergies!$B$24</f>
        <v/>
      </c>
      <c r="F9" s="32">
        <f>Synergies!$B$12*(Synergies!$B$13*$A9+Synergies!$B$14*($A9-Synergies!$B$16))*(1-Synergies!$B$17)*(1-(1+Synergies!$B$24)^-6)/Synergies!$B$24</f>
        <v/>
      </c>
    </row>
    <row r="10">
      <c r="A10" s="23" t="n">
        <v>0.092</v>
      </c>
      <c r="B10" s="32">
        <f>Synergies!$B$12*(Synergies!$B$13*$A10+Synergies!$B$14*($A10-Synergies!$B$16))*(1-Synergies!$B$17)*(1-(1+Synergies!$B$24)^-2)/Synergies!$B$24</f>
        <v/>
      </c>
      <c r="C10" s="32">
        <f>Synergies!$B$12*(Synergies!$B$13*$A10+Synergies!$B$14*($A10-Synergies!$B$16))*(1-Synergies!$B$17)*(1-(1+Synergies!$B$24)^-3)/Synergies!$B$24</f>
        <v/>
      </c>
      <c r="D10" s="32">
        <f>Synergies!$B$12*(Synergies!$B$13*$A10+Synergies!$B$14*($A10-Synergies!$B$16))*(1-Synergies!$B$17)*(1-(1+Synergies!$B$24)^-4)/Synergies!$B$24</f>
        <v/>
      </c>
      <c r="E10" s="32">
        <f>Synergies!$B$12*(Synergies!$B$13*$A10+Synergies!$B$14*($A10-Synergies!$B$16))*(1-Synergies!$B$17)*(1-(1+Synergies!$B$24)^-5)/Synergies!$B$24</f>
        <v/>
      </c>
      <c r="F10" s="32">
        <f>Synergies!$B$12*(Synergies!$B$13*$A10+Synergies!$B$14*($A10-Synergies!$B$16))*(1-Synergies!$B$17)*(1-(1+Synergies!$B$24)^-6)/Synergies!$B$24</f>
        <v/>
      </c>
    </row>
    <row r="11">
      <c r="A11" s="6" t="inlineStr">
        <is>
          <t>Base-case check: 8.6% row, 3-year column vs Synergies!B26 (must be 0)</t>
        </is>
      </c>
      <c r="B11" s="9">
        <f>ROUND(C8-Synergies!B26,0)</f>
        <v/>
      </c>
    </row>
    <row r="12">
      <c r="A12" s="3" t="inlineStr">
        <is>
          <t>Compare with the ~Rs 14,500 cr gross premium and ~Rs 8,500 cr net transfer: at 3–4 years the PV is roughly half the gross premium and close to the net transfer.</t>
        </is>
      </c>
    </row>
    <row r="13">
      <c r="A13" s="3" t="inlineStr">
        <is>
          <t>Lower bound (computed on Synergies rows 47-51): base Rs 4.6 lakh cr, 8.0% net loan yield, 100bp SLR spread -&gt; ~Rs 1,860 cr a year after tax, ~Rs 4,400 cr PV over 3 years.</t>
        </is>
      </c>
    </row>
    <row r="14">
      <c r="A14" s="4" t="inlineStr">
        <is>
          <t>2) EPS ACCRETION / (DILUTION) AT ANNOUNCEMENT — funding-cost saving on HDFC Ltd's book (rows, bp) × share of the CRR/SLR drag borne (columns)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21" t="inlineStr">
        <is>
          <t>Saving (bp) ↓ / drag borne →</t>
        </is>
      </c>
      <c r="B15" s="21" t="inlineStr">
        <is>
          <t>0%</t>
        </is>
      </c>
      <c r="C15" s="21" t="inlineStr">
        <is>
          <t>25%</t>
        </is>
      </c>
      <c r="D15" s="21" t="inlineStr">
        <is>
          <t>50%</t>
        </is>
      </c>
      <c r="E15" s="21" t="inlineStr">
        <is>
          <t>75%</t>
        </is>
      </c>
      <c r="F15" s="21" t="inlineStr">
        <is>
          <t>100%</t>
        </is>
      </c>
    </row>
    <row r="16">
      <c r="A16" s="38" t="n">
        <v>0</v>
      </c>
      <c r="B16" s="24">
        <f>(('Accretion-Dilution'!$D$6+'Accretion-Dilution'!$B$12*$A16/10000*(1-Synergies!$B$17)-'Accretion-Dilution'!$B$13*0)/'Accretion-Dilution'!$D$7)/'Accretion-Dilution'!$B$8-1</f>
        <v/>
      </c>
      <c r="C16" s="24">
        <f>(('Accretion-Dilution'!$D$6+'Accretion-Dilution'!$B$12*$A16/10000*(1-Synergies!$B$17)-'Accretion-Dilution'!$B$13*0.25)/'Accretion-Dilution'!$D$7)/'Accretion-Dilution'!$B$8-1</f>
        <v/>
      </c>
      <c r="D16" s="24">
        <f>(('Accretion-Dilution'!$D$6+'Accretion-Dilution'!$B$12*$A16/10000*(1-Synergies!$B$17)-'Accretion-Dilution'!$B$13*0.5)/'Accretion-Dilution'!$D$7)/'Accretion-Dilution'!$B$8-1</f>
        <v/>
      </c>
      <c r="E16" s="24">
        <f>(('Accretion-Dilution'!$D$6+'Accretion-Dilution'!$B$12*$A16/10000*(1-Synergies!$B$17)-'Accretion-Dilution'!$B$13*0.75)/'Accretion-Dilution'!$D$7)/'Accretion-Dilution'!$B$8-1</f>
        <v/>
      </c>
      <c r="F16" s="24">
        <f>(('Accretion-Dilution'!$D$6+'Accretion-Dilution'!$B$12*$A16/10000*(1-Synergies!$B$17)-'Accretion-Dilution'!$B$13*1.0)/'Accretion-Dilution'!$D$7)/'Accretion-Dilution'!$B$8-1</f>
        <v/>
      </c>
    </row>
    <row r="17">
      <c r="A17" s="38" t="n">
        <v>25</v>
      </c>
      <c r="B17" s="24">
        <f>(('Accretion-Dilution'!$D$6+'Accretion-Dilution'!$B$12*$A17/10000*(1-Synergies!$B$17)-'Accretion-Dilution'!$B$13*0)/'Accretion-Dilution'!$D$7)/'Accretion-Dilution'!$B$8-1</f>
        <v/>
      </c>
      <c r="C17" s="24">
        <f>(('Accretion-Dilution'!$D$6+'Accretion-Dilution'!$B$12*$A17/10000*(1-Synergies!$B$17)-'Accretion-Dilution'!$B$13*0.25)/'Accretion-Dilution'!$D$7)/'Accretion-Dilution'!$B$8-1</f>
        <v/>
      </c>
      <c r="D17" s="24">
        <f>(('Accretion-Dilution'!$D$6+'Accretion-Dilution'!$B$12*$A17/10000*(1-Synergies!$B$17)-'Accretion-Dilution'!$B$13*0.5)/'Accretion-Dilution'!$D$7)/'Accretion-Dilution'!$B$8-1</f>
        <v/>
      </c>
      <c r="E17" s="24">
        <f>(('Accretion-Dilution'!$D$6+'Accretion-Dilution'!$B$12*$A17/10000*(1-Synergies!$B$17)-'Accretion-Dilution'!$B$13*0.75)/'Accretion-Dilution'!$D$7)/'Accretion-Dilution'!$B$8-1</f>
        <v/>
      </c>
      <c r="F17" s="24">
        <f>(('Accretion-Dilution'!$D$6+'Accretion-Dilution'!$B$12*$A17/10000*(1-Synergies!$B$17)-'Accretion-Dilution'!$B$13*1.0)/'Accretion-Dilution'!$D$7)/'Accretion-Dilution'!$B$8-1</f>
        <v/>
      </c>
    </row>
    <row r="18">
      <c r="A18" s="38" t="n">
        <v>50</v>
      </c>
      <c r="B18" s="24">
        <f>(('Accretion-Dilution'!$D$6+'Accretion-Dilution'!$B$12*$A18/10000*(1-Synergies!$B$17)-'Accretion-Dilution'!$B$13*0)/'Accretion-Dilution'!$D$7)/'Accretion-Dilution'!$B$8-1</f>
        <v/>
      </c>
      <c r="C18" s="24">
        <f>(('Accretion-Dilution'!$D$6+'Accretion-Dilution'!$B$12*$A18/10000*(1-Synergies!$B$17)-'Accretion-Dilution'!$B$13*0.25)/'Accretion-Dilution'!$D$7)/'Accretion-Dilution'!$B$8-1</f>
        <v/>
      </c>
      <c r="D18" s="24">
        <f>(('Accretion-Dilution'!$D$6+'Accretion-Dilution'!$B$12*$A18/10000*(1-Synergies!$B$17)-'Accretion-Dilution'!$B$13*0.5)/'Accretion-Dilution'!$D$7)/'Accretion-Dilution'!$B$8-1</f>
        <v/>
      </c>
      <c r="E18" s="24">
        <f>(('Accretion-Dilution'!$D$6+'Accretion-Dilution'!$B$12*$A18/10000*(1-Synergies!$B$17)-'Accretion-Dilution'!$B$13*0.75)/'Accretion-Dilution'!$D$7)/'Accretion-Dilution'!$B$8-1</f>
        <v/>
      </c>
      <c r="F18" s="24">
        <f>(('Accretion-Dilution'!$D$6+'Accretion-Dilution'!$B$12*$A18/10000*(1-Synergies!$B$17)-'Accretion-Dilution'!$B$13*1.0)/'Accretion-Dilution'!$D$7)/'Accretion-Dilution'!$B$8-1</f>
        <v/>
      </c>
    </row>
    <row r="19">
      <c r="A19" s="38" t="n">
        <v>75</v>
      </c>
      <c r="B19" s="24">
        <f>(('Accretion-Dilution'!$D$6+'Accretion-Dilution'!$B$12*$A19/10000*(1-Synergies!$B$17)-'Accretion-Dilution'!$B$13*0)/'Accretion-Dilution'!$D$7)/'Accretion-Dilution'!$B$8-1</f>
        <v/>
      </c>
      <c r="C19" s="24">
        <f>(('Accretion-Dilution'!$D$6+'Accretion-Dilution'!$B$12*$A19/10000*(1-Synergies!$B$17)-'Accretion-Dilution'!$B$13*0.25)/'Accretion-Dilution'!$D$7)/'Accretion-Dilution'!$B$8-1</f>
        <v/>
      </c>
      <c r="D19" s="24">
        <f>(('Accretion-Dilution'!$D$6+'Accretion-Dilution'!$B$12*$A19/10000*(1-Synergies!$B$17)-'Accretion-Dilution'!$B$13*0.5)/'Accretion-Dilution'!$D$7)/'Accretion-Dilution'!$B$8-1</f>
        <v/>
      </c>
      <c r="E19" s="24">
        <f>(('Accretion-Dilution'!$D$6+'Accretion-Dilution'!$B$12*$A19/10000*(1-Synergies!$B$17)-'Accretion-Dilution'!$B$13*0.75)/'Accretion-Dilution'!$D$7)/'Accretion-Dilution'!$B$8-1</f>
        <v/>
      </c>
      <c r="F19" s="24">
        <f>(('Accretion-Dilution'!$D$6+'Accretion-Dilution'!$B$12*$A19/10000*(1-Synergies!$B$17)-'Accretion-Dilution'!$B$13*1.0)/'Accretion-Dilution'!$D$7)/'Accretion-Dilution'!$B$8-1</f>
        <v/>
      </c>
    </row>
    <row r="20">
      <c r="A20" s="38" t="n">
        <v>100</v>
      </c>
      <c r="B20" s="24">
        <f>(('Accretion-Dilution'!$D$6+'Accretion-Dilution'!$B$12*$A20/10000*(1-Synergies!$B$17)-'Accretion-Dilution'!$B$13*0)/'Accretion-Dilution'!$D$7)/'Accretion-Dilution'!$B$8-1</f>
        <v/>
      </c>
      <c r="C20" s="24">
        <f>(('Accretion-Dilution'!$D$6+'Accretion-Dilution'!$B$12*$A20/10000*(1-Synergies!$B$17)-'Accretion-Dilution'!$B$13*0.25)/'Accretion-Dilution'!$D$7)/'Accretion-Dilution'!$B$8-1</f>
        <v/>
      </c>
      <c r="D20" s="24">
        <f>(('Accretion-Dilution'!$D$6+'Accretion-Dilution'!$B$12*$A20/10000*(1-Synergies!$B$17)-'Accretion-Dilution'!$B$13*0.5)/'Accretion-Dilution'!$D$7)/'Accretion-Dilution'!$B$8-1</f>
        <v/>
      </c>
      <c r="E20" s="24">
        <f>(('Accretion-Dilution'!$D$6+'Accretion-Dilution'!$B$12*$A20/10000*(1-Synergies!$B$17)-'Accretion-Dilution'!$B$13*0.75)/'Accretion-Dilution'!$D$7)/'Accretion-Dilution'!$B$8-1</f>
        <v/>
      </c>
      <c r="F20" s="24">
        <f>(('Accretion-Dilution'!$D$6+'Accretion-Dilution'!$B$12*$A20/10000*(1-Synergies!$B$17)-'Accretion-Dilution'!$B$13*1.0)/'Accretion-Dilution'!$D$7)/'Accretion-Dilution'!$B$8-1</f>
        <v/>
      </c>
    </row>
    <row r="21">
      <c r="A21" s="6" t="inlineStr">
        <is>
          <t>Check: 0 bp / 0% cell = deck accretion; 0 bp / 100% cell = adjusted (both must be 0)</t>
        </is>
      </c>
      <c r="B21" s="49">
        <f>ROUND(B16-'Accretion-Dilution'!D9,6)</f>
        <v/>
      </c>
      <c r="F21" s="49">
        <f>ROUND(F16-'Accretion-Dilution'!D15,6)</f>
        <v/>
      </c>
    </row>
    <row r="23">
      <c r="A23" s="4" t="inlineStr">
        <is>
          <t>3) JUSTIFIED P/B = (ROE − g) ÷ (Ke − g), g = 8% — ROE (rows) × cost of equity (columns)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21" t="inlineStr">
        <is>
          <t>ROE ↓ / Ke →</t>
        </is>
      </c>
      <c r="B24" s="21" t="inlineStr">
        <is>
          <t>12.0%</t>
        </is>
      </c>
      <c r="C24" s="21" t="inlineStr">
        <is>
          <t>12.5%</t>
        </is>
      </c>
      <c r="D24" s="21" t="inlineStr">
        <is>
          <t>13.0%</t>
        </is>
      </c>
      <c r="E24" s="21" t="inlineStr">
        <is>
          <t>13.5%</t>
        </is>
      </c>
      <c r="F24" s="21" t="inlineStr">
        <is>
          <t>14.0%</t>
        </is>
      </c>
      <c r="H24" s="23" t="n">
        <v>0.08</v>
      </c>
      <c r="I24" s="3" t="inlineStr">
        <is>
          <t>← growth g (input)</t>
        </is>
      </c>
    </row>
    <row r="25">
      <c r="A25" s="23" t="n">
        <v>0.12</v>
      </c>
      <c r="B25" s="25">
        <f>($A25-$H$24)/(0.12-$H$24)</f>
        <v/>
      </c>
      <c r="C25" s="25">
        <f>($A25-$H$24)/(0.125-$H$24)</f>
        <v/>
      </c>
      <c r="D25" s="25">
        <f>($A25-$H$24)/(0.13-$H$24)</f>
        <v/>
      </c>
      <c r="E25" s="25">
        <f>($A25-$H$24)/(0.135-$H$24)</f>
        <v/>
      </c>
      <c r="F25" s="25">
        <f>($A25-$H$24)/(0.14-$H$24)</f>
        <v/>
      </c>
    </row>
    <row r="26">
      <c r="A26" s="23" t="n">
        <v>0.135</v>
      </c>
      <c r="B26" s="25">
        <f>($A26-$H$24)/(0.12-$H$24)</f>
        <v/>
      </c>
      <c r="C26" s="25">
        <f>($A26-$H$24)/(0.125-$H$24)</f>
        <v/>
      </c>
      <c r="D26" s="25">
        <f>($A26-$H$24)/(0.13-$H$24)</f>
        <v/>
      </c>
      <c r="E26" s="25">
        <f>($A26-$H$24)/(0.135-$H$24)</f>
        <v/>
      </c>
      <c r="F26" s="25">
        <f>($A26-$H$24)/(0.14-$H$24)</f>
        <v/>
      </c>
    </row>
    <row r="27">
      <c r="A27" s="23" t="n">
        <v>0.15</v>
      </c>
      <c r="B27" s="25">
        <f>($A27-$H$24)/(0.12-$H$24)</f>
        <v/>
      </c>
      <c r="C27" s="25">
        <f>($A27-$H$24)/(0.125-$H$24)</f>
        <v/>
      </c>
      <c r="D27" s="25">
        <f>($A27-$H$24)/(0.13-$H$24)</f>
        <v/>
      </c>
      <c r="E27" s="25">
        <f>($A27-$H$24)/(0.135-$H$24)</f>
        <v/>
      </c>
      <c r="F27" s="25">
        <f>($A27-$H$24)/(0.14-$H$24)</f>
        <v/>
      </c>
    </row>
    <row r="28">
      <c r="A28" s="23" t="n">
        <v>0.165</v>
      </c>
      <c r="B28" s="25">
        <f>($A28-$H$24)/(0.12-$H$24)</f>
        <v/>
      </c>
      <c r="C28" s="25">
        <f>($A28-$H$24)/(0.125-$H$24)</f>
        <v/>
      </c>
      <c r="D28" s="25">
        <f>($A28-$H$24)/(0.13-$H$24)</f>
        <v/>
      </c>
      <c r="E28" s="25">
        <f>($A28-$H$24)/(0.135-$H$24)</f>
        <v/>
      </c>
      <c r="F28" s="25">
        <f>($A28-$H$24)/(0.14-$H$24)</f>
        <v/>
      </c>
    </row>
    <row r="29">
      <c r="A29" s="23" t="n">
        <v>0.18</v>
      </c>
      <c r="B29" s="25">
        <f>($A29-$H$24)/(0.12-$H$24)</f>
        <v/>
      </c>
      <c r="C29" s="25">
        <f>($A29-$H$24)/(0.125-$H$24)</f>
        <v/>
      </c>
      <c r="D29" s="25">
        <f>($A29-$H$24)/(0.13-$H$24)</f>
        <v/>
      </c>
      <c r="E29" s="25">
        <f>($A29-$H$24)/(0.135-$H$24)</f>
        <v/>
      </c>
      <c r="F29" s="25">
        <f>($A29-$H$24)/(0.14-$H$24)</f>
        <v/>
      </c>
    </row>
    <row r="30">
      <c r="A30" s="6" t="inlineStr">
        <is>
          <t>ROE the current P/B implies at Ke 13% and g 8%</t>
        </is>
      </c>
      <c r="B30" s="10">
        <f>$H$24+'Valuation &amp; Verdict'!B26*(0.13-$H$24)</f>
        <v/>
      </c>
    </row>
    <row r="31">
      <c r="A31" s="3" t="inlineStr">
        <is>
          <t>Illustrative, not a valuation call: the current P/B implies the market expects ROE to recover above today's 13.5%. Ke is a desk assumption (India 10-yr 7.40%, Oct-2026).</t>
        </is>
      </c>
    </row>
  </sheetData>
  <printOptions gridLines="0"/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70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2" t="inlineStr">
        <is>
          <t>Evidence — sources for every input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Full URL list: research packs DEALS/HDFC-HDFCBANK/_build/HDFC_DEAL_TERMS.md and HDFC_SCORECARD.md.</t>
        </is>
      </c>
    </row>
    <row r="4">
      <c r="A4" s="21" t="inlineStr">
        <is>
          <t>Input</t>
        </is>
      </c>
      <c r="B4" s="21" t="inlineStr">
        <is>
          <t>Value</t>
        </is>
      </c>
      <c r="C4" s="21" t="inlineStr">
        <is>
          <t>Source</t>
        </is>
      </c>
      <c r="D4" s="21" t="inlineStr">
        <is>
          <t>Date</t>
        </is>
      </c>
    </row>
    <row r="5">
      <c r="A5" s="13" t="inlineStr">
        <is>
          <t>Swap ratio, structure, valuers, fairness opinions</t>
        </is>
      </c>
      <c r="B5" s="13" t="inlineStr">
        <is>
          <t>42 : 25</t>
        </is>
      </c>
      <c r="C5" s="13" t="inlineStr">
        <is>
          <t>HDFC Ltd / HDFC Bank Reg 30 intimations; HDFC Bank 6-K</t>
        </is>
      </c>
      <c r="D5" s="13" t="inlineStr">
        <is>
          <t>4-Apr-2022</t>
        </is>
      </c>
    </row>
    <row r="6">
      <c r="A6" s="13" t="inlineStr">
        <is>
          <t>Unaffected closes</t>
        </is>
      </c>
      <c r="B6" s="13" t="inlineStr">
        <is>
          <t>Rs 2,450.95 / Rs 1,506.30</t>
        </is>
      </c>
      <c r="C6" s="13" t="inlineStr">
        <is>
          <t>Business Today (BSE previous close); back-calculated from Business Standard 4-Apr moves; deck market caps</t>
        </is>
      </c>
      <c r="D6" s="13" t="inlineStr">
        <is>
          <t>1-Apr-2022</t>
        </is>
      </c>
    </row>
    <row r="7">
      <c r="A7" s="13" t="inlineStr">
        <is>
          <t>Announcement-day closes and m-cap change</t>
        </is>
      </c>
      <c r="B7" s="13" t="inlineStr">
        <is>
          <t>Rs 2,678.90 / Rs 1,656.45</t>
        </is>
      </c>
      <c r="C7" s="13" t="inlineStr">
        <is>
          <t>Business Standard</t>
        </is>
      </c>
      <c r="D7" s="13" t="inlineStr">
        <is>
          <t>4-Apr-2022</t>
        </is>
      </c>
    </row>
    <row r="8">
      <c r="A8" s="13" t="inlineStr">
        <is>
          <t>Shares issued / cancelled / outstanding</t>
        </is>
      </c>
      <c r="B8" s="13" t="inlineStr">
        <is>
          <t>311.04 / 116.46 / 753.76 cr</t>
        </is>
      </c>
      <c r="C8" s="13" t="inlineStr">
        <is>
          <t>HDFC Bank allotment intimation (BSE)</t>
        </is>
      </c>
      <c r="D8" s="13" t="inlineStr">
        <is>
          <t>14-Jul-2023</t>
        </is>
      </c>
    </row>
    <row r="9">
      <c r="A9" s="13" t="inlineStr">
        <is>
          <t>RBI forbearance decisions</t>
        </is>
      </c>
      <c r="B9" s="13" t="inlineStr">
        <is>
          <t>CRR/SLR/LCR refused; PSL phased</t>
        </is>
      </c>
      <c r="C9" s="13" t="inlineStr">
        <is>
          <t>HDFC Bank disclosure (BSE)</t>
        </is>
      </c>
      <c r="D9" s="13" t="inlineStr">
        <is>
          <t>21-Apr-2023</t>
        </is>
      </c>
    </row>
    <row r="10">
      <c r="A10" s="13" t="inlineStr">
        <is>
          <t>Shareholder vote</t>
        </is>
      </c>
      <c r="B10" s="13" t="inlineStr">
        <is>
          <t>99.681% for</t>
        </is>
      </c>
      <c r="C10" s="13" t="inlineStr">
        <is>
          <t>HDFC Bank 6-K; meeting proceedings</t>
        </is>
      </c>
      <c r="D10" s="13" t="inlineStr">
        <is>
          <t>25/26-Nov-2022</t>
        </is>
      </c>
    </row>
    <row r="11">
      <c r="A11" s="13" t="inlineStr">
        <is>
          <t>HDFC Ltd financials FY20–FY23</t>
        </is>
      </c>
      <c r="B11" s="13" t="inlineStr">
        <is>
          <t>see Target Standalone</t>
        </is>
      </c>
      <c r="C11" s="13" t="inlineStr">
        <is>
          <t>HDFC Ltd annual report FY22; Q4 FY23 call; Business Standard (FY20–21 results)</t>
        </is>
      </c>
      <c r="D11" s="13" t="inlineStr">
        <is>
          <t>2020–2023</t>
        </is>
      </c>
    </row>
    <row r="12">
      <c r="A12" s="13" t="inlineStr">
        <is>
          <t>HDFC Bank financials FY20–FY23</t>
        </is>
      </c>
      <c r="B12" s="13" t="inlineStr">
        <is>
          <t>see Acquirer Standalone</t>
        </is>
      </c>
      <c r="C12" s="13" t="inlineStr">
        <is>
          <t>HDFC Bank 6-K results filings (SEC EDGAR)</t>
        </is>
      </c>
      <c r="D12" s="13" t="inlineStr">
        <is>
          <t>2020–2023</t>
        </is>
      </c>
    </row>
    <row r="13">
      <c r="A13" s="13" t="inlineStr">
        <is>
          <t>Deck pro forma</t>
        </is>
      </c>
      <c r="B13" s="13" t="inlineStr">
        <is>
          <t>EPS ~65 → ~67; BVPS 414 → 446</t>
        </is>
      </c>
      <c r="C13" s="13" t="inlineStr">
        <is>
          <t>Announcement deck (HDFC Ltd Reg 30, Annexure)</t>
        </is>
      </c>
      <c r="D13" s="13" t="inlineStr">
        <is>
          <t>4-Apr-2022</t>
        </is>
      </c>
    </row>
    <row r="14">
      <c r="A14" s="13" t="inlineStr">
        <is>
          <t>Quarterly scorecard Q1 FY24–Q2 FY27</t>
        </is>
      </c>
      <c r="B14" s="13" t="inlineStr">
        <is>
          <t>see Scorecard</t>
        </is>
      </c>
      <c r="C14" s="13" t="inlineStr">
        <is>
          <t>HDFC Bank results releases and presentations; 6-K</t>
        </is>
      </c>
      <c r="D14" s="13" t="inlineStr">
        <is>
          <t>Jul-2023 – Oct-2026</t>
        </is>
      </c>
    </row>
    <row r="15">
      <c r="A15" s="13" t="inlineStr">
        <is>
          <t>HDFC Bank close</t>
        </is>
      </c>
      <c r="B15" s="13" t="inlineStr">
        <is>
          <t>Rs 712.00</t>
        </is>
      </c>
      <c r="C15" s="13" t="inlineStr">
        <is>
          <t>StockAnalysis / NSE history (20-Oct market holiday)</t>
        </is>
      </c>
      <c r="D15" s="13" t="inlineStr">
        <is>
          <t>19-Oct-2026</t>
        </is>
      </c>
    </row>
    <row r="16">
      <c r="A16" s="13" t="inlineStr">
        <is>
          <t>Nifty 50 / Nifty Bank levels</t>
        </is>
      </c>
      <c r="B16" s="13" t="inlineStr">
        <is>
          <t>17,670.45 / 37,148.50 → 22,888.95 / 55,488.10</t>
        </is>
      </c>
      <c r="C16" s="13" t="inlineStr">
        <is>
          <t>NSE index closing files</t>
        </is>
      </c>
      <c r="D16" s="13" t="inlineStr">
        <is>
          <t>1-Apr-2022 / 19-Oct-2026</t>
        </is>
      </c>
    </row>
    <row r="17">
      <c r="A17" s="13" t="inlineStr">
        <is>
          <t>Dividends since 1-Apr-2022</t>
        </is>
      </c>
      <c r="B17" s="13" t="inlineStr">
        <is>
          <t>Rs 107 per pre-bonus share</t>
        </is>
      </c>
      <c r="C17" s="13" t="inlineStr">
        <is>
          <t>HDFC Bank 6-K; Angel One; Business Standard</t>
        </is>
      </c>
      <c r="D17" s="13" t="inlineStr">
        <is>
          <t>2022–2026</t>
        </is>
      </c>
    </row>
    <row r="18">
      <c r="A18" s="13" t="inlineStr">
        <is>
          <t>Precedent premiums</t>
        </is>
      </c>
      <c r="B18" s="13" t="inlineStr">
        <is>
          <t>16% / 12% / −7% / 20%</t>
        </is>
      </c>
      <c r="C18" s="13" t="inlineStr">
        <is>
          <t>Kotak BSE filing; Business Standard / Reuters; Business Today</t>
        </is>
      </c>
      <c r="D18" s="13" t="inlineStr">
        <is>
          <t>2014–2024</t>
        </is>
      </c>
    </row>
    <row r="19">
      <c r="A19" s="13" t="inlineStr">
        <is>
          <t>CRR 4.5%, SLR 18%</t>
        </is>
      </c>
      <c r="B19" s="13" t="inlineStr">
        <is>
          <t>regulatory rates</t>
        </is>
      </c>
      <c r="C19" s="13" t="inlineStr">
        <is>
          <t>RBI</t>
        </is>
      </c>
      <c r="D19" s="13" t="inlineStr">
        <is>
          <t>2023</t>
        </is>
      </c>
    </row>
    <row r="20">
      <c r="A20" s="13" t="inlineStr">
        <is>
          <t>Loan yield 8.6%, G-sec 7.2%</t>
        </is>
      </c>
      <c r="B20" s="13" t="inlineStr">
        <is>
          <t>desk assumptions</t>
        </is>
      </c>
      <c r="C20" s="13" t="inlineStr">
        <is>
          <t>Desk — see Sensitivities</t>
        </is>
      </c>
      <c r="D20" s="13" t="inlineStr">
        <is>
          <t>—</t>
        </is>
      </c>
    </row>
    <row r="21">
      <c r="A21" s="13" t="inlineStr">
        <is>
          <t>India 10-yr G-sec (for Ke)</t>
        </is>
      </c>
      <c r="B21" s="13" t="inlineStr">
        <is>
          <t>7.40%</t>
        </is>
      </c>
      <c r="C21" s="13" t="inlineStr">
        <is>
          <t>RBI market rates</t>
        </is>
      </c>
      <c r="D21" s="13" t="inlineStr">
        <is>
          <t>19-Oct-2026</t>
        </is>
      </c>
    </row>
  </sheetData>
  <printOptions gridLines="0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Debjit Mukherjee</dc:creator>
  <dc:title xmlns:dc="http://purl.org/dc/elements/1.1/">HDFC Ltd into HDFC Bank — Deal Model</dc:title>
  <dcterms:created xmlns:dcterms="http://purl.org/dc/terms/" xmlns:xsi="http://www.w3.org/2001/XMLSchema-instance" xsi:type="dcterms:W3CDTF">2026-10-22T13:07:43Z</dcterms:created>
  <dcterms:modified xmlns:dcterms="http://purl.org/dc/terms/" xmlns:xsi="http://www.w3.org/2001/XMLSchema-instance" xsi:type="dcterms:W3CDTF">2026-10-22T13:07:43Z</dcterms:modified>
  <cp:lastModifiedBy>Debjit Mukherjee</cp:lastModifiedBy>
</cp:coreProperties>
</file>