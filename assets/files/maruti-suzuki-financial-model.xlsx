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Valuation Summary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Balance Sheet &amp; Cash" sheetId="4" state="visible" r:id="rId4"/>
    <sheet xmlns:r="http://schemas.openxmlformats.org/officeDocument/2006/relationships" name="Volumes &amp; Peers" sheetId="5" state="visible" r:id="rId5"/>
  </sheets>
  <definedNames>
    <definedName name="_xlnm.Print_Area" localSheetId="0">'Overview'!$A$1:$G$62</definedName>
    <definedName name="_xlnm.Print_Area" localSheetId="1">'Valuation Summary'!$A$1:$H$138</definedName>
    <definedName name="_xlnm.Print_Area" localSheetId="2">'Income Statement'!$A$1:$J$36</definedName>
    <definedName name="_xlnm.Print_Area" localSheetId="3">'Balance Sheet &amp; Cash'!$A$1:$H$74</definedName>
    <definedName name="_xlnm.Print_Area" localSheetId="4">'Volumes &amp; Peers'!$A$1:$N$114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.0"/>
    <numFmt numFmtId="166" formatCode="0.0"/>
    <numFmt numFmtId="167" formatCode="0.000"/>
  </numFmts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FFFFFF"/>
      <sz val="10"/>
    </font>
    <font>
      <b val="1"/>
      <color rgb="00FFFFFF"/>
      <sz val="11"/>
    </font>
    <font>
      <sz val="10"/>
    </font>
    <font>
      <i val="1"/>
      <color rgb="00404040"/>
      <sz val="9"/>
    </font>
    <font>
      <i val="1"/>
      <sz val="9"/>
    </font>
    <font>
      <b val="1"/>
      <sz val="10"/>
    </font>
    <font>
      <b val="1"/>
      <sz val="1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E5496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3" fontId="4" fillId="0" borderId="0" applyAlignment="1" pivotButton="0" quotePrefix="0" xfId="0">
      <alignment horizontal="right"/>
    </xf>
    <xf numFmtId="164" fontId="0" fillId="0" borderId="0" pivotButton="0" quotePrefix="0" xfId="0"/>
    <xf numFmtId="165" fontId="4" fillId="0" borderId="0" applyAlignment="1" pivotButton="0" quotePrefix="0" xfId="0">
      <alignment horizontal="right"/>
    </xf>
    <xf numFmtId="165" fontId="0" fillId="0" borderId="0" pivotButton="0" quotePrefix="0" xfId="0"/>
    <xf numFmtId="2" fontId="0" fillId="0" borderId="0" pivotButton="0" quotePrefix="0" xfId="0"/>
    <xf numFmtId="4" fontId="4" fillId="0" borderId="0" applyAlignment="1" pivotButton="0" quotePrefix="0" xfId="0">
      <alignment horizontal="right"/>
    </xf>
    <xf numFmtId="166" fontId="0" fillId="0" borderId="0" pivotButton="0" quotePrefix="0" xfId="0"/>
    <xf numFmtId="10" fontId="0" fillId="0" borderId="0" pivotButton="0" quotePrefix="0" xfId="0"/>
    <xf numFmtId="164" fontId="4" fillId="0" borderId="0" applyAlignment="1" pivotButton="0" quotePrefix="0" xfId="0">
      <alignment horizontal="right"/>
    </xf>
    <xf numFmtId="10" fontId="4" fillId="0" borderId="0" applyAlignment="1" pivotButton="0" quotePrefix="0" xfId="0">
      <alignment horizontal="right"/>
    </xf>
    <xf numFmtId="3" fontId="0" fillId="0" borderId="0" pivotButton="0" quotePrefix="0" xfId="0"/>
    <xf numFmtId="0" fontId="5" fillId="0" borderId="0" pivotButton="0" quotePrefix="0" xfId="0"/>
    <xf numFmtId="164" fontId="0" fillId="0" borderId="0" pivotButton="0" quotePrefix="0" xfId="0"/>
    <xf numFmtId="165" fontId="4" fillId="0" borderId="0" applyAlignment="1" pivotButton="0" quotePrefix="0" xfId="0">
      <alignment horizontal="right"/>
    </xf>
    <xf numFmtId="165" fontId="0" fillId="0" borderId="0" pivotButton="0" quotePrefix="0" xfId="0"/>
    <xf numFmtId="164" fontId="4" fillId="0" borderId="0" applyAlignment="1" pivotButton="0" quotePrefix="0" xfId="0">
      <alignment horizontal="right"/>
    </xf>
    <xf numFmtId="2" fontId="4" fillId="0" borderId="0" applyAlignment="1" pivotButton="0" quotePrefix="0" xfId="0">
      <alignment horizontal="right"/>
    </xf>
    <xf numFmtId="9" fontId="4" fillId="0" borderId="0" applyAlignment="1" pivotButton="0" quotePrefix="0" xfId="0">
      <alignment horizontal="right"/>
    </xf>
    <xf numFmtId="0" fontId="6" fillId="0" borderId="0" pivotButton="0" quotePrefix="0" xfId="0"/>
    <xf numFmtId="0" fontId="7" fillId="0" borderId="0" pivotButton="0" quotePrefix="0" xfId="0"/>
    <xf numFmtId="3" fontId="7" fillId="0" borderId="0" pivotButton="0" quotePrefix="0" xfId="0"/>
    <xf numFmtId="167" fontId="0" fillId="0" borderId="0" pivotButton="0" quotePrefix="0" xfId="0"/>
    <xf numFmtId="9" fontId="0" fillId="0" borderId="0" pivotButton="0" quotePrefix="0" xfId="0"/>
    <xf numFmtId="3" fontId="8" fillId="4" borderId="0" pivotButton="0" quotePrefix="0" xfId="0"/>
    <xf numFmtId="166" fontId="4" fillId="0" borderId="0" applyAlignment="1" pivotButton="0" quotePrefix="0" xfId="0">
      <alignment horizontal="right"/>
    </xf>
    <xf numFmtId="0" fontId="7" fillId="4" borderId="0" pivotButton="0" quotePrefix="0" xfId="0"/>
    <xf numFmtId="3" fontId="0" fillId="4" borderId="0" pivotButton="0" quotePrefix="0" xfId="0"/>
    <xf numFmtId="0" fontId="0" fillId="4" borderId="0" pivotButton="0" quotePrefix="0" xfId="0"/>
    <xf numFmtId="0" fontId="9" fillId="4" borderId="0" pivotButton="0" quotePrefix="0" xfId="0"/>
    <xf numFmtId="10" fontId="7" fillId="0" borderId="0" applyAlignment="1" pivotButton="0" quotePrefix="0" xfId="0">
      <alignment horizontal="right"/>
    </xf>
    <xf numFmtId="164" fontId="7" fillId="0" borderId="0" applyAlignment="1" pivotButton="0" quotePrefix="0" xfId="0">
      <alignment horizontal="right"/>
    </xf>
    <xf numFmtId="3" fontId="7" fillId="4" borderId="0" applyAlignment="1" pivotButton="0" quotePrefix="0" xfId="0">
      <alignment horizontal="right"/>
    </xf>
    <xf numFmtId="3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right"/>
    </xf>
    <xf numFmtId="4" fontId="0" fillId="0" borderId="0" pivotButton="0" quotePrefix="0" xfId="0"/>
    <xf numFmtId="166" fontId="7" fillId="4" borderId="0" applyAlignment="1" pivotButton="0" quotePrefix="0" xfId="0">
      <alignment horizontal="right"/>
    </xf>
    <xf numFmtId="166" fontId="7" fillId="0" borderId="0" pivotButton="0" quotePrefix="0" xfId="0"/>
    <xf numFmtId="164" fontId="8" fillId="0" borderId="0" pivotButton="0" quotePrefix="0" xfId="0"/>
    <xf numFmtId="16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0"/>
  <sheetViews>
    <sheetView workbookViewId="0">
      <selection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24" customHeight="1">
      <c r="A1" s="1" t="inlineStr">
        <is>
          <t>Maruti Suzuki India Limited (NSE: MARUTI)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Equity Research Model  |  Automobiles — Passenger Vehicles  |  Figures as at 18 August 2026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/>
    <row r="4">
      <c r="A4" s="4" t="inlineStr">
        <is>
          <t>MARKET DATA</t>
        </is>
      </c>
      <c r="B4" s="5" t="n"/>
      <c r="C4" s="5" t="n"/>
      <c r="D4" s="5" t="n"/>
      <c r="E4" s="5" t="n"/>
      <c r="F4" s="5" t="n"/>
      <c r="G4" s="5" t="n"/>
      <c r="H4" s="5" t="n"/>
      <c r="I4" s="5" t="n"/>
    </row>
    <row r="5">
      <c r="A5" s="6" t="inlineStr">
        <is>
          <t>Current market price (₹, 18-Aug-2026 close)</t>
        </is>
      </c>
      <c r="B5" s="7" t="n">
        <v>13691</v>
      </c>
    </row>
    <row r="6">
      <c r="A6" s="6" t="inlineStr">
        <is>
          <t>Price on 19-Aug-2026 (₹) — unchanged</t>
        </is>
      </c>
      <c r="B6" s="7" t="n">
        <v>13690</v>
      </c>
    </row>
    <row r="7">
      <c r="A7" s="6" t="inlineStr">
        <is>
          <t>52-week high / low (₹)</t>
        </is>
      </c>
      <c r="B7" s="6" t="inlineStr">
        <is>
          <t>17,372 / 12,201</t>
        </is>
      </c>
    </row>
    <row r="8">
      <c r="A8" s="6" t="inlineStr">
        <is>
          <t>Discount to 52-week high</t>
        </is>
      </c>
      <c r="B8" s="19">
        <f>B5/17372-1</f>
        <v/>
      </c>
    </row>
    <row r="9">
      <c r="A9" s="6" t="inlineStr">
        <is>
          <t>Market capitalisation (₹ crore)</t>
        </is>
      </c>
      <c r="B9" s="7" t="n">
        <v>429201</v>
      </c>
    </row>
    <row r="10">
      <c r="A10" s="6" t="inlineStr">
        <is>
          <t>Shares outstanding (crore) — equity capital / face value</t>
        </is>
      </c>
      <c r="B10" s="20" t="n">
        <v>31.4</v>
      </c>
    </row>
    <row r="11">
      <c r="A11" s="6" t="inlineStr">
        <is>
          <t>Cross-check: market cap / price (crore shares)</t>
        </is>
      </c>
      <c r="B11" s="21">
        <f>B9/B5</f>
        <v/>
      </c>
    </row>
    <row r="12">
      <c r="A12" s="6" t="inlineStr">
        <is>
          <t>Face value (₹)</t>
        </is>
      </c>
      <c r="B12" s="7" t="n">
        <v>5</v>
      </c>
    </row>
    <row r="13">
      <c r="A13" s="6" t="inlineStr">
        <is>
          <t>Book value per share (₹)</t>
        </is>
      </c>
      <c r="B13" s="7" t="n">
        <v>3408</v>
      </c>
    </row>
    <row r="14">
      <c r="A14" s="6" t="inlineStr">
        <is>
          <t>Price / book (x)</t>
        </is>
      </c>
      <c r="B14" s="11">
        <f>B5/B13</f>
        <v/>
      </c>
    </row>
    <row r="15">
      <c r="A15" s="6" t="inlineStr">
        <is>
          <t>Trailing twelve-month EPS (₹)</t>
        </is>
      </c>
      <c r="B15" s="12" t="n">
        <v>455.91</v>
      </c>
    </row>
    <row r="16">
      <c r="A16" s="6" t="inlineStr">
        <is>
          <t>Trailing P/E (x)</t>
        </is>
      </c>
      <c r="B16" s="13">
        <f>B5/B15</f>
        <v/>
      </c>
    </row>
    <row r="17">
      <c r="A17" s="6" t="inlineStr">
        <is>
          <t>Dividend per share, FY2026 proposed (₹)</t>
        </is>
      </c>
      <c r="B17" s="7" t="n">
        <v>140</v>
      </c>
    </row>
    <row r="18">
      <c r="A18" s="6" t="inlineStr">
        <is>
          <t>Dividend yield</t>
        </is>
      </c>
      <c r="B18" s="14">
        <f>B17/B5</f>
        <v/>
      </c>
    </row>
    <row r="19">
      <c r="A19" s="6" t="inlineStr">
        <is>
          <t>Return on equity (FY2026)</t>
        </is>
      </c>
      <c r="B19" s="22" t="n">
        <v>0.143</v>
      </c>
    </row>
    <row r="20">
      <c r="A20" s="6" t="inlineStr">
        <is>
          <t>Return on capital employed (FY2026)</t>
        </is>
      </c>
      <c r="B20" s="22" t="n">
        <v>0.189</v>
      </c>
    </row>
    <row r="21">
      <c r="A21" s="6" t="inlineStr">
        <is>
          <t>Total borrowings (₹ crore, Mar-2026)</t>
        </is>
      </c>
      <c r="B21" s="7" t="n">
        <v>102</v>
      </c>
    </row>
    <row r="22">
      <c r="A22" s="6" t="inlineStr">
        <is>
          <t>Investments (₹ crore, Mar-2026)</t>
        </is>
      </c>
      <c r="B22" s="7" t="n">
        <v>76838</v>
      </c>
    </row>
    <row r="23">
      <c r="A23" s="6" t="inlineStr">
        <is>
          <t>Promoter — Suzuki Motor Corporation</t>
        </is>
      </c>
      <c r="B23" s="16" t="n">
        <v>0.5865</v>
      </c>
    </row>
    <row r="24">
      <c r="A24" s="6" t="inlineStr">
        <is>
          <t>Foreign institutional holding</t>
        </is>
      </c>
      <c r="B24" s="16" t="n">
        <v>0.1282</v>
      </c>
    </row>
    <row r="25">
      <c r="A25" s="6" t="inlineStr">
        <is>
          <t>Domestic institutional holding</t>
        </is>
      </c>
      <c r="B25" s="16" t="n">
        <v>0.2509</v>
      </c>
    </row>
    <row r="26"/>
    <row r="27">
      <c r="A27" s="4" t="inlineStr">
        <is>
          <t>Q1 FY2027 RESULTS  (quarter ended June 2026, reported 31 July 2026)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6" t="inlineStr">
        <is>
          <t>Consolidated revenue (₹ crore)</t>
        </is>
      </c>
      <c r="B28" s="7" t="n">
        <v>52470</v>
      </c>
    </row>
    <row r="29">
      <c r="A29" s="6" t="inlineStr">
        <is>
          <t>Consolidated revenue growth, year on year</t>
        </is>
      </c>
      <c r="B29" s="22" t="n">
        <v>0.359</v>
      </c>
    </row>
    <row r="30">
      <c r="A30" s="6" t="inlineStr">
        <is>
          <t>Standalone net sales (₹ crore) — company press release</t>
        </is>
      </c>
      <c r="B30" s="7" t="n">
        <v>49959</v>
      </c>
    </row>
    <row r="31">
      <c r="A31" s="6" t="inlineStr">
        <is>
          <t>Operating profit (₹ crore)</t>
        </is>
      </c>
      <c r="B31" s="7" t="n">
        <v>4313</v>
      </c>
    </row>
    <row r="32">
      <c r="A32" s="6" t="inlineStr">
        <is>
          <t>Operating margin</t>
        </is>
      </c>
      <c r="B32" s="14">
        <f>B31/B28</f>
        <v/>
      </c>
    </row>
    <row r="33">
      <c r="A33" s="6" t="inlineStr">
        <is>
          <t>Operating margin, Q1 FY2026</t>
        </is>
      </c>
      <c r="B33" s="14">
        <f>4623/38605</f>
        <v/>
      </c>
    </row>
    <row r="34">
      <c r="A34" s="6" t="inlineStr">
        <is>
          <t>Margin change, year on year (basis points)</t>
        </is>
      </c>
      <c r="B34" s="17">
        <f>(B32-B33)*10000</f>
        <v/>
      </c>
    </row>
    <row r="35">
      <c r="A35" s="6" t="inlineStr">
        <is>
          <t>Other income (₹ crore)</t>
        </is>
      </c>
      <c r="B35" s="7" t="n">
        <v>1972</v>
      </c>
    </row>
    <row r="36">
      <c r="A36" s="6" t="inlineStr">
        <is>
          <t>Depreciation (₹ crore)</t>
        </is>
      </c>
      <c r="B36" s="7" t="n">
        <v>1780</v>
      </c>
    </row>
    <row r="37">
      <c r="A37" s="6" t="inlineStr">
        <is>
          <t>Profit before tax (₹ crore)</t>
        </is>
      </c>
      <c r="B37" s="7" t="n">
        <v>4441</v>
      </c>
    </row>
    <row r="38">
      <c r="A38" s="6" t="inlineStr">
        <is>
          <t>Other income as share of profit before tax</t>
        </is>
      </c>
      <c r="B38" s="19">
        <f>B35/B37</f>
        <v/>
      </c>
    </row>
    <row r="39">
      <c r="A39" s="6" t="inlineStr">
        <is>
          <t>Consolidated net profit (₹ crore)</t>
        </is>
      </c>
      <c r="B39" s="7" t="n">
        <v>3447</v>
      </c>
    </row>
    <row r="40">
      <c r="A40" s="6" t="inlineStr">
        <is>
          <t>Net profit growth, year on year</t>
        </is>
      </c>
      <c r="B40" s="22" t="n">
        <v>-0.091</v>
      </c>
    </row>
    <row r="41">
      <c r="A41" s="6" t="inlineStr">
        <is>
          <t>Standalone net profit (₹ crore)</t>
        </is>
      </c>
      <c r="B41" s="7" t="n">
        <v>3352</v>
      </c>
    </row>
    <row r="42">
      <c r="A42" s="6" t="inlineStr">
        <is>
          <t>Earnings per share (₹)</t>
        </is>
      </c>
      <c r="B42" s="12" t="n">
        <v>109.63</v>
      </c>
    </row>
    <row r="43">
      <c r="A43" s="6" t="inlineStr">
        <is>
          <t>Total sales volume growth</t>
        </is>
      </c>
      <c r="B43" s="22" t="n">
        <v>0.293</v>
      </c>
    </row>
    <row r="44">
      <c r="A44" s="6" t="inlineStr">
        <is>
          <t>Domestic small car volume growth</t>
        </is>
      </c>
      <c r="B44" s="22" t="n">
        <v>0.341</v>
      </c>
    </row>
    <row r="45">
      <c r="A45" s="6" t="inlineStr">
        <is>
          <t>Sport-utility vehicle volume growth</t>
        </is>
      </c>
      <c r="B45" s="22" t="n">
        <v>0.446</v>
      </c>
    </row>
    <row r="46">
      <c r="A46" s="6" t="inlineStr">
        <is>
          <t>Export volume growth</t>
        </is>
      </c>
      <c r="B46" s="22" t="n">
        <v>0.286</v>
      </c>
    </row>
    <row r="47">
      <c r="A47" s="6" t="inlineStr">
        <is>
          <t>Domestic passenger vehicle market share</t>
        </is>
      </c>
      <c r="B47" s="22" t="n">
        <v>0.412</v>
      </c>
    </row>
    <row r="48">
      <c r="A48" s="6" t="inlineStr">
        <is>
          <t>Market share change, year on year (percentage points)</t>
        </is>
      </c>
      <c r="B48" s="20" t="n">
        <v>2.3</v>
      </c>
    </row>
    <row r="49">
      <c r="A49" s="6" t="inlineStr">
        <is>
          <t>Network inventory (days)</t>
        </is>
      </c>
      <c r="B49" s="7" t="n">
        <v>13</v>
      </c>
    </row>
    <row r="50"/>
    <row r="51"/>
    <row r="52">
      <c r="A52" s="4" t="inlineStr">
        <is>
          <t>THE QUARTER IN ONE LINE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</row>
    <row r="53">
      <c r="A53" s="18" t="inlineStr">
        <is>
          <t>Volumes rose 29.3%. Revenue rose 36%. Market share rose 2.3 points to 41.2%, the highest in years. Profit fell 9.1%.</t>
        </is>
      </c>
    </row>
    <row r="54">
      <c r="A54" s="18" t="inlineStr">
        <is>
          <t>Operating margin fell from 11.98% to 8.22% — the lowest since the FY2022 semiconductor and commodity crisis.</t>
        </is>
      </c>
    </row>
    <row r="55">
      <c r="A55" s="18" t="inlineStr">
        <is>
          <t>The company's own explanation: material costs "had started to increase in the quarter and were seriously aggravated</t>
        </is>
      </c>
    </row>
    <row r="56">
      <c r="A56" s="18" t="inlineStr">
        <is>
          <t>during the war." This is a cost shock, not a demand or franchise problem. Whether it is a trough or a new normal is</t>
        </is>
      </c>
    </row>
    <row r="57">
      <c r="A57" s="18" t="inlineStr">
        <is>
          <t>the entire valuation question, and this model does not assume the answer — it prices the range.</t>
        </is>
      </c>
    </row>
    <row r="58">
      <c r="A58" s="18" t="inlineStr"/>
    </row>
    <row r="59">
      <c r="A59" s="18" t="inlineStr">
        <is>
          <t>Note: Suzuki Motor Gujarat amalgamated into Maruti Suzuki from 1 December 2025, appointed date 1 April 2025.</t>
        </is>
      </c>
    </row>
    <row r="60">
      <c r="A60" s="18" t="inlineStr">
        <is>
          <t>Prior periods are restated, so the growth rates above are like-for-like.</t>
        </is>
      </c>
    </row>
  </sheetData>
  <pageMargins left="0.3" right="0.3" top="0.4" bottom="0.4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36"/>
  <sheetViews>
    <sheetView workbookViewId="0">
      <selection activeCell="A1" sqref="A1"/>
    </sheetView>
  </sheetViews>
  <sheetFormatPr baseColWidth="8" defaultRowHeight="15"/>
  <cols>
    <col width="5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24" customHeight="1">
      <c r="A1" s="1" t="inlineStr">
        <is>
          <t>Valuation Summary — Maruti Suzuki India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Discounted cash flow, normalised earnings multiple and EV/EBITDA. Rating anchored to the Indian 10-year G-sec.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/>
    <row r="4">
      <c r="A4" s="4" t="inlineStr">
        <is>
          <t>KEY INPUTS</t>
        </is>
      </c>
      <c r="B4" s="5" t="n"/>
      <c r="C4" s="5" t="n"/>
      <c r="D4" s="5" t="n"/>
      <c r="E4" s="5" t="n"/>
      <c r="F4" s="5" t="n"/>
      <c r="G4" s="5" t="n"/>
      <c r="H4" s="5" t="n"/>
      <c r="I4" s="5" t="n"/>
    </row>
    <row r="5">
      <c r="A5" s="6" t="inlineStr">
        <is>
          <t>Current market price (₹, 18-Aug-2026)</t>
        </is>
      </c>
      <c r="B5" s="7" t="n">
        <v>13691</v>
      </c>
    </row>
    <row r="6">
      <c r="A6" s="6" t="inlineStr">
        <is>
          <t>Shares outstanding (crore)</t>
        </is>
      </c>
      <c r="B6" s="20" t="n">
        <v>31.4</v>
      </c>
    </row>
    <row r="7">
      <c r="A7" s="6" t="inlineStr">
        <is>
          <t>India 10-year G-sec yield (18-Aug-2026)</t>
        </is>
      </c>
      <c r="B7" s="16" t="n">
        <v>0.0682</v>
      </c>
    </row>
    <row r="8">
      <c r="A8" s="6" t="inlineStr">
        <is>
          <t>Equity risk premium</t>
        </is>
      </c>
      <c r="B8" s="22" t="n">
        <v>0.06</v>
      </c>
    </row>
    <row r="9">
      <c r="A9" s="6" t="inlineStr">
        <is>
          <t>Beta</t>
        </is>
      </c>
      <c r="B9" s="23" t="n">
        <v>0.85</v>
      </c>
    </row>
    <row r="10">
      <c r="A10" s="6" t="inlineStr">
        <is>
          <t>Cost of equity  = rf + beta x ERP</t>
        </is>
      </c>
      <c r="B10" s="14">
        <f>B7+B9*B8</f>
        <v/>
      </c>
    </row>
    <row r="11">
      <c r="A11" s="6" t="inlineStr">
        <is>
          <t>Cost of capital (borrowings ₹102 cr — effectively all-equity)</t>
        </is>
      </c>
      <c r="B11" s="14">
        <f>B10</f>
        <v/>
      </c>
    </row>
    <row r="12">
      <c r="A12" s="6" t="inlineStr">
        <is>
          <t>Terminal growth rate</t>
        </is>
      </c>
      <c r="B12" s="22" t="n">
        <v>0.06</v>
      </c>
    </row>
    <row r="13">
      <c r="A13" s="6" t="inlineStr">
        <is>
          <t>Effective tax rate</t>
        </is>
      </c>
      <c r="B13" s="24" t="n">
        <v>0.23</v>
      </c>
    </row>
    <row r="14">
      <c r="A14" s="6" t="inlineStr">
        <is>
          <t>Investments and surplus cash (₹ crore, Mar-2026)</t>
        </is>
      </c>
      <c r="B14" s="7" t="n">
        <v>76838</v>
      </c>
    </row>
    <row r="15">
      <c r="A15" s="6" t="inlineStr">
        <is>
          <t>Total borrowings (₹ crore)</t>
        </is>
      </c>
      <c r="B15" s="7" t="n">
        <v>102</v>
      </c>
    </row>
    <row r="16">
      <c r="A16" s="6" t="inlineStr">
        <is>
          <t>Dividend per share (₹)</t>
        </is>
      </c>
      <c r="B16" s="7" t="n">
        <v>140</v>
      </c>
    </row>
    <row r="17">
      <c r="A17" s="6" t="inlineStr">
        <is>
          <t>Dividend yield</t>
        </is>
      </c>
      <c r="B17" s="14">
        <f>B16/B5</f>
        <v/>
      </c>
    </row>
    <row r="18"/>
    <row r="19"/>
    <row r="20">
      <c r="A20" s="4" t="inlineStr">
        <is>
          <t>METHOD 1 — DISCOUNTED FREE CASH FLOW TO THE FIRM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25" t="inlineStr">
        <is>
          <t>Margin recovers from the Q1 FY2027 trough of 8.2% toward 13%, the level achieved in FY2024 and FY2025.</t>
        </is>
      </c>
    </row>
    <row r="22">
      <c r="A22" s="26" t="inlineStr"/>
      <c r="B22" s="26" t="inlineStr">
        <is>
          <t>FY2027E</t>
        </is>
      </c>
      <c r="C22" s="26" t="inlineStr">
        <is>
          <t>FY2028E</t>
        </is>
      </c>
      <c r="D22" s="26" t="inlineStr">
        <is>
          <t>FY2029E</t>
        </is>
      </c>
      <c r="E22" s="26" t="inlineStr">
        <is>
          <t>FY2030E</t>
        </is>
      </c>
      <c r="F22" s="26" t="inlineStr">
        <is>
          <t>FY2031E</t>
        </is>
      </c>
    </row>
    <row r="23">
      <c r="A23" s="6" t="inlineStr">
        <is>
          <t>Revenue (₹ crore)</t>
        </is>
      </c>
      <c r="B23" s="7" t="n">
        <v>216000</v>
      </c>
      <c r="C23" s="7" t="n">
        <v>238000</v>
      </c>
      <c r="D23" s="7" t="n">
        <v>259000</v>
      </c>
      <c r="E23" s="7" t="n">
        <v>280000</v>
      </c>
      <c r="F23" s="7" t="n">
        <v>301000</v>
      </c>
    </row>
    <row r="24">
      <c r="A24" s="6" t="inlineStr">
        <is>
          <t>Revenue growth</t>
        </is>
      </c>
      <c r="B24" s="19">
        <f>B23/183316-1</f>
        <v/>
      </c>
      <c r="C24" s="19">
        <f>C23/B23-1</f>
        <v/>
      </c>
      <c r="D24" s="19">
        <f>D23/C23-1</f>
        <v/>
      </c>
      <c r="E24" s="19">
        <f>E23/D23-1</f>
        <v/>
      </c>
      <c r="F24" s="19">
        <f>F23/E23-1</f>
        <v/>
      </c>
    </row>
    <row r="25">
      <c r="A25" s="6" t="inlineStr">
        <is>
          <t>Operating margin assumption</t>
        </is>
      </c>
      <c r="B25" s="22" t="n">
        <v>0.098</v>
      </c>
      <c r="C25" s="22" t="n">
        <v>0.115</v>
      </c>
      <c r="D25" s="22" t="n">
        <v>0.125</v>
      </c>
      <c r="E25" s="22" t="n">
        <v>0.128</v>
      </c>
      <c r="F25" s="22" t="n">
        <v>0.13</v>
      </c>
    </row>
    <row r="26">
      <c r="A26" s="6" t="inlineStr">
        <is>
          <t>EBITDA (₹ crore)</t>
        </is>
      </c>
      <c r="B26" s="17">
        <f>B23*B25</f>
        <v/>
      </c>
      <c r="C26" s="17">
        <f>C23*C25</f>
        <v/>
      </c>
      <c r="D26" s="17">
        <f>D23*D25</f>
        <v/>
      </c>
      <c r="E26" s="17">
        <f>E23*E25</f>
        <v/>
      </c>
      <c r="F26" s="17">
        <f>F23*F25</f>
        <v/>
      </c>
    </row>
    <row r="27">
      <c r="A27" s="6" t="inlineStr">
        <is>
          <t>Depreciation and amortisation</t>
        </is>
      </c>
      <c r="B27" s="7" t="n">
        <v>7600</v>
      </c>
      <c r="C27" s="7" t="n">
        <v>8200</v>
      </c>
      <c r="D27" s="7" t="n">
        <v>8700</v>
      </c>
      <c r="E27" s="7" t="n">
        <v>9200</v>
      </c>
      <c r="F27" s="7" t="n">
        <v>9700</v>
      </c>
    </row>
    <row r="28">
      <c r="A28" s="6" t="inlineStr">
        <is>
          <t>EBIT</t>
        </is>
      </c>
      <c r="B28" s="17">
        <f>B26-B27</f>
        <v/>
      </c>
      <c r="C28" s="17">
        <f>C26-C27</f>
        <v/>
      </c>
      <c r="D28" s="17">
        <f>D26-D27</f>
        <v/>
      </c>
      <c r="E28" s="17">
        <f>E26-E27</f>
        <v/>
      </c>
      <c r="F28" s="17">
        <f>F26-F27</f>
        <v/>
      </c>
    </row>
    <row r="29">
      <c r="A29" s="6" t="inlineStr">
        <is>
          <t>Net operating profit after tax</t>
        </is>
      </c>
      <c r="B29" s="17">
        <f>B28*(1-$B$13)</f>
        <v/>
      </c>
      <c r="C29" s="17">
        <f>C28*(1-$B$13)</f>
        <v/>
      </c>
      <c r="D29" s="17">
        <f>D28*(1-$B$13)</f>
        <v/>
      </c>
      <c r="E29" s="17">
        <f>E28*(1-$B$13)</f>
        <v/>
      </c>
      <c r="F29" s="17">
        <f>F28*(1-$B$13)</f>
        <v/>
      </c>
    </row>
    <row r="30">
      <c r="A30" s="6" t="inlineStr">
        <is>
          <t>Add back: depreciation</t>
        </is>
      </c>
      <c r="B30" s="17">
        <f>B27</f>
        <v/>
      </c>
      <c r="C30" s="17">
        <f>C27</f>
        <v/>
      </c>
      <c r="D30" s="17">
        <f>D27</f>
        <v/>
      </c>
      <c r="E30" s="17">
        <f>E27</f>
        <v/>
      </c>
      <c r="F30" s="17">
        <f>F27</f>
        <v/>
      </c>
    </row>
    <row r="31">
      <c r="A31" s="6" t="inlineStr">
        <is>
          <t>Less: capital expenditure</t>
        </is>
      </c>
      <c r="B31" s="7" t="n">
        <v>-11000</v>
      </c>
      <c r="C31" s="7" t="n">
        <v>-10500</v>
      </c>
      <c r="D31" s="7" t="n">
        <v>-10000</v>
      </c>
      <c r="E31" s="7" t="n">
        <v>-10000</v>
      </c>
      <c r="F31" s="7" t="n">
        <v>-9900</v>
      </c>
    </row>
    <row r="32">
      <c r="A32" s="6" t="inlineStr">
        <is>
          <t>Less: change in working capital (negative cycle releases cash)</t>
        </is>
      </c>
      <c r="B32" s="7" t="n">
        <v>800</v>
      </c>
      <c r="C32" s="7" t="n">
        <v>700</v>
      </c>
      <c r="D32" s="7" t="n">
        <v>600</v>
      </c>
      <c r="E32" s="7" t="n">
        <v>500</v>
      </c>
      <c r="F32" s="7" t="n">
        <v>450</v>
      </c>
    </row>
    <row r="33">
      <c r="A33" s="26" t="inlineStr">
        <is>
          <t>Free cash flow to the firm</t>
        </is>
      </c>
      <c r="B33" s="27">
        <f>SUM(B29:B32)</f>
        <v/>
      </c>
      <c r="C33" s="27">
        <f>SUM(C29:C32)</f>
        <v/>
      </c>
      <c r="D33" s="27">
        <f>SUM(D29:D32)</f>
        <v/>
      </c>
      <c r="E33" s="27">
        <f>SUM(E29:E32)</f>
        <v/>
      </c>
      <c r="F33" s="27">
        <f>SUM(F29:F32)</f>
        <v/>
      </c>
    </row>
    <row r="34">
      <c r="A34" s="6" t="inlineStr">
        <is>
          <t>Discount factor</t>
        </is>
      </c>
      <c r="B34" s="28">
        <f>1/(1+$B$11)^1</f>
        <v/>
      </c>
      <c r="C34" s="28">
        <f>1/(1+$B$11)^2</f>
        <v/>
      </c>
      <c r="D34" s="28">
        <f>1/(1+$B$11)^3</f>
        <v/>
      </c>
      <c r="E34" s="28">
        <f>1/(1+$B$11)^4</f>
        <v/>
      </c>
      <c r="F34" s="28">
        <f>1/(1+$B$11)^5</f>
        <v/>
      </c>
    </row>
    <row r="35">
      <c r="A35" s="6" t="inlineStr">
        <is>
          <t>Present value of FCFF</t>
        </is>
      </c>
      <c r="B35" s="17">
        <f>B33*B34</f>
        <v/>
      </c>
      <c r="C35" s="17">
        <f>C33*C34</f>
        <v/>
      </c>
      <c r="D35" s="17">
        <f>D33*D34</f>
        <v/>
      </c>
      <c r="E35" s="17">
        <f>E33*E34</f>
        <v/>
      </c>
      <c r="F35" s="17">
        <f>F33*F34</f>
        <v/>
      </c>
    </row>
    <row r="36"/>
    <row r="37">
      <c r="A37" s="26" t="inlineStr">
        <is>
          <t>Sum of present values, FY2027E–FY2031E</t>
        </is>
      </c>
      <c r="B37" s="17">
        <f>SUM(B35:F35)</f>
        <v/>
      </c>
    </row>
    <row r="38">
      <c r="A38" s="6" t="inlineStr">
        <is>
          <t>Terminal free cash flow (FY2032E)</t>
        </is>
      </c>
      <c r="B38" s="17">
        <f>F33*(1+B12)</f>
        <v/>
      </c>
    </row>
    <row r="39">
      <c r="A39" s="6" t="inlineStr">
        <is>
          <t>Terminal value  = FCFF / (WACC − g)</t>
        </is>
      </c>
      <c r="B39" s="17">
        <f>B38/(B11-B12)</f>
        <v/>
      </c>
    </row>
    <row r="40">
      <c r="A40" s="6" t="inlineStr">
        <is>
          <t>Present value of terminal value</t>
        </is>
      </c>
      <c r="B40" s="17">
        <f>B39*F34</f>
        <v/>
      </c>
    </row>
    <row r="41">
      <c r="A41" s="6" t="inlineStr">
        <is>
          <t>Terminal value as share of enterprise value</t>
        </is>
      </c>
      <c r="B41" s="29">
        <f>B40/(B37+B40)</f>
        <v/>
      </c>
    </row>
    <row r="42">
      <c r="A42" s="26" t="inlineStr">
        <is>
          <t>Enterprise value (₹ crore)</t>
        </is>
      </c>
      <c r="B42" s="17">
        <f>B37+B40</f>
        <v/>
      </c>
    </row>
    <row r="43">
      <c r="A43" s="6" t="inlineStr">
        <is>
          <t>Add: investments and surplus cash</t>
        </is>
      </c>
      <c r="B43" s="17">
        <f>B14</f>
        <v/>
      </c>
    </row>
    <row r="44">
      <c r="A44" s="6" t="inlineStr">
        <is>
          <t>Less: borrowings</t>
        </is>
      </c>
      <c r="B44" s="17">
        <f>-B15</f>
        <v/>
      </c>
    </row>
    <row r="45">
      <c r="A45" s="26" t="inlineStr">
        <is>
          <t>Equity value (₹ crore)</t>
        </is>
      </c>
      <c r="B45" s="17">
        <f>B42+B43+B44</f>
        <v/>
      </c>
    </row>
    <row r="46">
      <c r="A46" s="26" t="inlineStr">
        <is>
          <t>DCF FAIR VALUE PER SHARE (₹)</t>
        </is>
      </c>
      <c r="B46" s="30">
        <f>B45/B6</f>
        <v/>
      </c>
    </row>
    <row r="47">
      <c r="A47" s="25" t="inlineStr">
        <is>
          <t>Note: EBIT excludes other income, so the investment book is added separately at book value.</t>
        </is>
      </c>
    </row>
    <row r="48"/>
    <row r="49"/>
    <row r="50">
      <c r="A50" s="4" t="inlineStr">
        <is>
          <t>METHOD 2 — NORMALISED EARNINGS MULTIPLE</t>
        </is>
      </c>
      <c r="B50" s="5" t="n"/>
      <c r="C50" s="5" t="n"/>
      <c r="D50" s="5" t="n"/>
      <c r="E50" s="5" t="n"/>
      <c r="F50" s="5" t="n"/>
      <c r="G50" s="5" t="n"/>
      <c r="H50" s="5" t="n"/>
      <c r="I50" s="5" t="n"/>
    </row>
    <row r="51">
      <c r="A51" s="25" t="inlineStr">
        <is>
          <t>FY2027 is a margin-trough year. Valuing off trough earnings understates the business, so we use FY2028E.</t>
        </is>
      </c>
    </row>
    <row r="52">
      <c r="A52" s="6" t="inlineStr">
        <is>
          <t>FY2028E EBIT (₹ crore)</t>
        </is>
      </c>
      <c r="B52" s="17">
        <f>C28</f>
        <v/>
      </c>
    </row>
    <row r="53">
      <c r="A53" s="6" t="inlineStr">
        <is>
          <t>Add: other income (₹ crore)</t>
        </is>
      </c>
      <c r="B53" s="7" t="n">
        <v>5800</v>
      </c>
    </row>
    <row r="54">
      <c r="A54" s="6" t="inlineStr">
        <is>
          <t>Less: interest (₹ crore)</t>
        </is>
      </c>
      <c r="B54" s="7" t="n">
        <v>280</v>
      </c>
    </row>
    <row r="55">
      <c r="A55" s="6" t="inlineStr">
        <is>
          <t>Profit before tax (₹ crore)</t>
        </is>
      </c>
      <c r="B55" s="17">
        <f>B52+B53-B54</f>
        <v/>
      </c>
    </row>
    <row r="56">
      <c r="A56" s="6" t="inlineStr">
        <is>
          <t>Net profit (₹ crore)</t>
        </is>
      </c>
      <c r="B56" s="17">
        <f>B55*(1-B13)</f>
        <v/>
      </c>
    </row>
    <row r="57">
      <c r="A57" s="6" t="inlineStr">
        <is>
          <t>FY2028E normalised EPS (₹)</t>
        </is>
      </c>
      <c r="B57" s="17">
        <f>B56/B6</f>
        <v/>
      </c>
    </row>
    <row r="58">
      <c r="A58" s="6" t="inlineStr">
        <is>
          <t>Target price / earnings multiple (x)</t>
        </is>
      </c>
      <c r="B58" s="31" t="n">
        <v>24</v>
      </c>
    </row>
    <row r="59">
      <c r="A59" s="6" t="inlineStr">
        <is>
          <t>NORMALISED P/E FAIR VALUE (₹)</t>
        </is>
      </c>
      <c r="B59" s="30">
        <f>B57*B58</f>
        <v/>
      </c>
    </row>
    <row r="60">
      <c r="A60" s="6" t="inlineStr">
        <is>
          <t>Memo: trailing P/E the market is paying today (x)</t>
        </is>
      </c>
      <c r="B60" s="13">
        <f>B5/455.91</f>
        <v/>
      </c>
    </row>
    <row r="61">
      <c r="A61" s="6" t="inlineStr">
        <is>
          <t>Memo: peer-set average trailing P/E (x)</t>
        </is>
      </c>
      <c r="B61" s="31" t="n">
        <v>29.3</v>
      </c>
    </row>
    <row r="62">
      <c r="A62" s="6" t="inlineStr">
        <is>
          <t>Memo: Nifty Auto index P/E (x)</t>
        </is>
      </c>
      <c r="B62" s="31" t="n">
        <v>32.4</v>
      </c>
    </row>
    <row r="63"/>
    <row r="64"/>
    <row r="65">
      <c r="A65" s="4" t="inlineStr">
        <is>
          <t>METHOD 3 — ENTERPRISE VALUE / EBITDA</t>
        </is>
      </c>
      <c r="B65" s="5" t="n"/>
      <c r="C65" s="5" t="n"/>
      <c r="D65" s="5" t="n"/>
      <c r="E65" s="5" t="n"/>
      <c r="F65" s="5" t="n"/>
      <c r="G65" s="5" t="n"/>
      <c r="H65" s="5" t="n"/>
      <c r="I65" s="5" t="n"/>
    </row>
    <row r="66">
      <c r="A66" s="6" t="inlineStr">
        <is>
          <t>FY2028E EBITDA (₹ crore)</t>
        </is>
      </c>
      <c r="B66" s="17">
        <f>C26</f>
        <v/>
      </c>
    </row>
    <row r="67">
      <c r="A67" s="6" t="inlineStr">
        <is>
          <t>Target EV / EBITDA multiple (x)</t>
        </is>
      </c>
      <c r="B67" s="31" t="n">
        <v>12</v>
      </c>
    </row>
    <row r="68">
      <c r="A68" s="6" t="inlineStr">
        <is>
          <t>Implied enterprise value (₹ crore)</t>
        </is>
      </c>
      <c r="B68" s="17">
        <f>B66*B67</f>
        <v/>
      </c>
    </row>
    <row r="69">
      <c r="A69" s="6" t="inlineStr">
        <is>
          <t>Add: investments and surplus cash</t>
        </is>
      </c>
      <c r="B69" s="17">
        <f>B14</f>
        <v/>
      </c>
    </row>
    <row r="70">
      <c r="A70" s="6" t="inlineStr">
        <is>
          <t>Less: borrowings</t>
        </is>
      </c>
      <c r="B70" s="17">
        <f>-B15</f>
        <v/>
      </c>
    </row>
    <row r="71">
      <c r="A71" s="6" t="inlineStr">
        <is>
          <t>Equity value (₹ crore)</t>
        </is>
      </c>
      <c r="B71" s="17">
        <f>B68+B69+B70</f>
        <v/>
      </c>
    </row>
    <row r="72">
      <c r="A72" s="6" t="inlineStr">
        <is>
          <t>EV/EBITDA FAIR VALUE (₹)</t>
        </is>
      </c>
      <c r="B72" s="30">
        <f>B71/B6</f>
        <v/>
      </c>
    </row>
    <row r="73">
      <c r="A73" s="6" t="inlineStr">
        <is>
          <t>Memo: EV/EBITDA the market is paying on FY2026 EBITDA (x)</t>
        </is>
      </c>
      <c r="B73" s="13">
        <f>(B5*B6-B14+B15)/21530</f>
        <v/>
      </c>
    </row>
    <row r="74"/>
    <row r="75"/>
    <row r="76">
      <c r="A76" s="4" t="inlineStr">
        <is>
          <t>BLENDED FAIR VALUE AND RATING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</row>
    <row r="77">
      <c r="A77" s="26" t="inlineStr">
        <is>
          <t>Method</t>
        </is>
      </c>
      <c r="B77" s="26" t="inlineStr">
        <is>
          <t>Fair value (₹)</t>
        </is>
      </c>
      <c r="D77" s="26" t="inlineStr">
        <is>
          <t>Weight</t>
        </is>
      </c>
    </row>
    <row r="78">
      <c r="A78" s="6" t="inlineStr">
        <is>
          <t>Discounted cash flow</t>
        </is>
      </c>
      <c r="B78" s="17">
        <f>B46</f>
        <v/>
      </c>
      <c r="D78" s="24" t="n">
        <v>0.4</v>
      </c>
    </row>
    <row r="79">
      <c r="A79" s="6" t="inlineStr">
        <is>
          <t>Normalised earnings multiple</t>
        </is>
      </c>
      <c r="B79" s="17">
        <f>B59</f>
        <v/>
      </c>
      <c r="D79" s="24" t="n">
        <v>0.35</v>
      </c>
    </row>
    <row r="80">
      <c r="A80" s="6" t="inlineStr">
        <is>
          <t>Enterprise value / EBITDA</t>
        </is>
      </c>
      <c r="B80" s="17">
        <f>B72</f>
        <v/>
      </c>
      <c r="D80" s="24" t="n">
        <v>0.25</v>
      </c>
    </row>
    <row r="81">
      <c r="A81" s="6" t="inlineStr">
        <is>
          <t>Weights sum</t>
        </is>
      </c>
      <c r="D81" s="29">
        <f>SUM(D78:D80)</f>
        <v/>
      </c>
    </row>
    <row r="82"/>
    <row r="83">
      <c r="A83" s="32" t="inlineStr">
        <is>
          <t>BLENDED FAIR VALUE (₹)</t>
        </is>
      </c>
      <c r="B83" s="33">
        <f>SUMPRODUCT(B78:B80,D78:D80)</f>
        <v/>
      </c>
      <c r="C83" s="34" t="n"/>
      <c r="D83" s="34" t="n"/>
    </row>
    <row r="84">
      <c r="A84" s="6" t="inlineStr">
        <is>
          <t>Upside / (downside) to fair value</t>
        </is>
      </c>
      <c r="B84" s="19">
        <f>B83/B5-1</f>
        <v/>
      </c>
    </row>
    <row r="85">
      <c r="A85" s="6" t="inlineStr">
        <is>
          <t>Add: dividend yield</t>
        </is>
      </c>
      <c r="B85" s="14">
        <f>B17</f>
        <v/>
      </c>
    </row>
    <row r="86">
      <c r="A86" s="26" t="inlineStr">
        <is>
          <t>TOTAL EXPECTED RETURN</t>
        </is>
      </c>
      <c r="B86" s="19">
        <f>B84+B85</f>
        <v/>
      </c>
    </row>
    <row r="87">
      <c r="A87" s="6" t="inlineStr">
        <is>
          <t>Cost of equity (BUY hurdle)</t>
        </is>
      </c>
      <c r="B87" s="14">
        <f>B10</f>
        <v/>
      </c>
    </row>
    <row r="88">
      <c r="A88" s="6" t="inlineStr">
        <is>
          <t>G-sec + 2pp (ACCUMULATE hurdle)</t>
        </is>
      </c>
      <c r="B88" s="14">
        <f>B7+0.02</f>
        <v/>
      </c>
    </row>
    <row r="89">
      <c r="A89" s="32" t="inlineStr">
        <is>
          <t>RATING</t>
        </is>
      </c>
      <c r="B89" s="35">
        <f>IF(B86&gt;B10,"BUY",IF(B86&gt;B7+0.02,"ACCUMULATE",IF(B86&gt;0,"HOLD","REDUCE")))</f>
        <v/>
      </c>
      <c r="C89" s="34" t="n"/>
      <c r="D89" s="34" t="n"/>
    </row>
    <row r="90"/>
    <row r="91">
      <c r="A91" s="25" t="inlineStr">
        <is>
          <t>Bands are anchored to the Indian 10-year G-sec at 6.82%, not to a fixed percentage. BUY above the 11.92% cost of</t>
        </is>
      </c>
    </row>
    <row r="92">
      <c r="A92" s="25" t="inlineStr">
        <is>
          <t>equity; ACCUMULATE above 8.82%; HOLD between zero and that hurdle; REDUCE below zero.</t>
        </is>
      </c>
    </row>
    <row r="93"/>
    <row r="94"/>
    <row r="95">
      <c r="A95" s="4" t="inlineStr">
        <is>
          <t>SENSITIVITY — BLENDED FAIR VALUE (₹) vs TERMINAL OPERATING MARGIN AND COST OF EQUITY</t>
        </is>
      </c>
      <c r="B95" s="5" t="n"/>
      <c r="C95" s="5" t="n"/>
      <c r="D95" s="5" t="n"/>
      <c r="E95" s="5" t="n"/>
      <c r="F95" s="5" t="n"/>
      <c r="G95" s="5" t="n"/>
      <c r="H95" s="5" t="n"/>
      <c r="I95" s="5" t="n"/>
    </row>
    <row r="96">
      <c r="A96" s="26" t="inlineStr">
        <is>
          <t>Terminal operating margin \ Cost of equity</t>
        </is>
      </c>
      <c r="B96" s="36" t="n">
        <v>0.11</v>
      </c>
      <c r="C96" s="36" t="n">
        <v>0.115</v>
      </c>
      <c r="D96" s="36" t="n">
        <v>0.1192</v>
      </c>
      <c r="E96" s="36" t="n">
        <v>0.125</v>
      </c>
      <c r="F96" s="36" t="n">
        <v>0.13</v>
      </c>
    </row>
    <row r="97">
      <c r="A97" s="37" t="n">
        <v>0.11</v>
      </c>
      <c r="B97" s="7" t="n">
        <v>11369.00167851303</v>
      </c>
      <c r="C97" s="7" t="n">
        <v>11035.1360397896</v>
      </c>
      <c r="D97" s="7" t="n">
        <v>10798.44153818587</v>
      </c>
      <c r="E97" s="7" t="n">
        <v>10522.09127674025</v>
      </c>
      <c r="F97" s="7" t="n">
        <v>10320.80607076621</v>
      </c>
    </row>
    <row r="98">
      <c r="A98" s="37" t="n">
        <v>0.12</v>
      </c>
      <c r="B98" s="7" t="n">
        <v>12531.23395620304</v>
      </c>
      <c r="C98" s="7" t="n">
        <v>12154.96558814633</v>
      </c>
      <c r="D98" s="7" t="n">
        <v>11888.20252542559</v>
      </c>
      <c r="E98" s="7" t="n">
        <v>11576.73666018844</v>
      </c>
      <c r="F98" s="7" t="n">
        <v>11349.86648861235</v>
      </c>
    </row>
    <row r="99">
      <c r="A99" s="37" t="n">
        <v>0.13</v>
      </c>
      <c r="B99" s="7" t="n">
        <v>13693.46623389304</v>
      </c>
      <c r="C99" s="7" t="n">
        <v>13274.79513650306</v>
      </c>
      <c r="D99" s="38" t="n">
        <v>12977.96351266531</v>
      </c>
      <c r="E99" s="7" t="n">
        <v>12631.38204363662</v>
      </c>
      <c r="F99" s="7" t="n">
        <v>12378.92690645849</v>
      </c>
    </row>
    <row r="100">
      <c r="A100" s="37" t="n">
        <v>0.14</v>
      </c>
      <c r="B100" s="7" t="n">
        <v>14855.69851158305</v>
      </c>
      <c r="C100" s="7" t="n">
        <v>14394.6246848598</v>
      </c>
      <c r="D100" s="7" t="n">
        <v>14067.72449990504</v>
      </c>
      <c r="E100" s="7" t="n">
        <v>13686.0274270848</v>
      </c>
      <c r="F100" s="7" t="n">
        <v>13407.98732430464</v>
      </c>
    </row>
    <row r="101">
      <c r="A101" s="37" t="n">
        <v>0.15</v>
      </c>
      <c r="B101" s="7" t="n">
        <v>16017.93078927306</v>
      </c>
      <c r="C101" s="7" t="n">
        <v>15514.45423321653</v>
      </c>
      <c r="D101" s="7" t="n">
        <v>15157.48548714476</v>
      </c>
      <c r="E101" s="7" t="n">
        <v>14740.67281053299</v>
      </c>
      <c r="F101" s="7" t="n">
        <v>14437.04774215078</v>
      </c>
    </row>
    <row r="102"/>
    <row r="103">
      <c r="A103" s="18" t="inlineStr">
        <is>
          <t>Shaded cell is the base case. The current price of ₹13,691 solves to a terminal margin of 13.62% at a 11.92% cost of equity.</t>
        </is>
      </c>
    </row>
    <row r="104"/>
    <row r="105"/>
    <row r="106">
      <c r="A106" s="4" t="inlineStr">
        <is>
          <t>SCENARIOS — BEAR / BASE / BULL</t>
        </is>
      </c>
      <c r="B106" s="5" t="n"/>
      <c r="C106" s="5" t="n"/>
      <c r="D106" s="5" t="n"/>
      <c r="E106" s="5" t="n"/>
      <c r="F106" s="5" t="n"/>
      <c r="G106" s="5" t="n"/>
      <c r="H106" s="5" t="n"/>
      <c r="I106" s="5" t="n"/>
    </row>
    <row r="107">
      <c r="A107" s="26" t="inlineStr"/>
      <c r="B107" s="26" t="inlineStr">
        <is>
          <t>Bear</t>
        </is>
      </c>
      <c r="C107" s="26" t="inlineStr">
        <is>
          <t>Base</t>
        </is>
      </c>
      <c r="D107" s="26" t="inlineStr">
        <is>
          <t>Bull</t>
        </is>
      </c>
    </row>
    <row r="108">
      <c r="A108" s="6" t="inlineStr">
        <is>
          <t>Terminal operating margin</t>
        </is>
      </c>
      <c r="B108" s="22" t="n">
        <v>0.11</v>
      </c>
      <c r="C108" s="22" t="n">
        <v>0.13</v>
      </c>
      <c r="D108" s="22" t="n">
        <v>0.14</v>
      </c>
    </row>
    <row r="109">
      <c r="A109" s="6" t="inlineStr">
        <is>
          <t>FY2028E operating margin</t>
        </is>
      </c>
      <c r="B109" s="22" t="n">
        <v>0.1</v>
      </c>
      <c r="C109" s="22" t="n">
        <v>0.115</v>
      </c>
      <c r="D109" s="22" t="n">
        <v>0.125</v>
      </c>
    </row>
    <row r="110">
      <c r="A110" s="6" t="inlineStr">
        <is>
          <t>Cost of equity</t>
        </is>
      </c>
      <c r="B110" s="16" t="n">
        <v>0.12995</v>
      </c>
      <c r="C110" s="16" t="n">
        <v>0.1192</v>
      </c>
      <c r="D110" s="16" t="n">
        <v>0.10945</v>
      </c>
    </row>
    <row r="111">
      <c r="A111" s="6" t="inlineStr">
        <is>
          <t>Terminal growth</t>
        </is>
      </c>
      <c r="B111" s="22" t="n">
        <v>0.055</v>
      </c>
      <c r="C111" s="22" t="n">
        <v>0.06</v>
      </c>
      <c r="D111" s="22" t="n">
        <v>0.065</v>
      </c>
    </row>
    <row r="112">
      <c r="A112" s="6" t="inlineStr">
        <is>
          <t>Target P/E (x)</t>
        </is>
      </c>
      <c r="B112" s="31" t="n">
        <v>21</v>
      </c>
      <c r="C112" s="31" t="n">
        <v>24</v>
      </c>
      <c r="D112" s="31" t="n">
        <v>27</v>
      </c>
    </row>
    <row r="113">
      <c r="A113" s="6" t="inlineStr">
        <is>
          <t>Target EV/EBITDA (x)</t>
        </is>
      </c>
      <c r="B113" s="31" t="n">
        <v>10</v>
      </c>
      <c r="C113" s="31" t="n">
        <v>12</v>
      </c>
      <c r="D113" s="31" t="n">
        <v>14</v>
      </c>
    </row>
    <row r="114">
      <c r="A114" s="6" t="inlineStr">
        <is>
          <t>Discounted cash flow value (₹)</t>
        </is>
      </c>
      <c r="B114" s="7" t="n">
        <v>8269.736244984384</v>
      </c>
      <c r="C114" s="7" t="n">
        <v>11665.53617019832</v>
      </c>
      <c r="D114" s="7" t="n">
        <v>15946.61025794264</v>
      </c>
    </row>
    <row r="115">
      <c r="A115" s="6" t="inlineStr">
        <is>
          <t>Normalised P/E value (₹)</t>
        </is>
      </c>
      <c r="B115" s="7" t="n">
        <v>10876.12738853503</v>
      </c>
      <c r="C115" s="7" t="n">
        <v>14530.92993630573</v>
      </c>
      <c r="D115" s="7" t="n">
        <v>17923.09872611465</v>
      </c>
    </row>
    <row r="116">
      <c r="A116" s="6" t="inlineStr">
        <is>
          <t>EV/EBITDA value (₹)</t>
        </is>
      </c>
      <c r="B116" s="7" t="n">
        <v>10023.43949044586</v>
      </c>
      <c r="C116" s="7" t="n">
        <v>12903.69426751592</v>
      </c>
      <c r="D116" s="7" t="n">
        <v>15708.15286624204</v>
      </c>
    </row>
    <row r="117">
      <c r="A117" s="26" t="inlineStr">
        <is>
          <t>BLENDED FAIR VALUE (₹)</t>
        </is>
      </c>
      <c r="B117" s="39" t="n">
        <v>9620.398956592478</v>
      </c>
      <c r="C117" s="39" t="n">
        <v>12977.96351266531</v>
      </c>
      <c r="D117" s="39" t="n">
        <v>16578.76687387769</v>
      </c>
    </row>
    <row r="118">
      <c r="A118" s="6" t="inlineStr">
        <is>
          <t>Upside / (downside)</t>
        </is>
      </c>
      <c r="B118" s="22" t="n">
        <v>-0.2973194831208473</v>
      </c>
      <c r="C118" s="22" t="n">
        <v>-0.05208067251002013</v>
      </c>
      <c r="D118" s="22" t="n">
        <v>0.210924466721035</v>
      </c>
    </row>
    <row r="119">
      <c r="A119" s="26" t="inlineStr">
        <is>
          <t>Total expected return</t>
        </is>
      </c>
      <c r="B119" s="37" t="n">
        <v>-0.2870937874083355</v>
      </c>
      <c r="C119" s="37" t="n">
        <v>-0.04185497679750826</v>
      </c>
      <c r="D119" s="37" t="n">
        <v>0.2211501624335469</v>
      </c>
    </row>
    <row r="120">
      <c r="A120" s="26" t="inlineStr">
        <is>
          <t>RATING</t>
        </is>
      </c>
      <c r="B120" s="40" t="inlineStr">
        <is>
          <t>REDUCE</t>
        </is>
      </c>
      <c r="C120" s="40" t="inlineStr">
        <is>
          <t>REDUCE</t>
        </is>
      </c>
      <c r="D120" s="40" t="inlineStr">
        <is>
          <t>BUY</t>
        </is>
      </c>
    </row>
    <row r="121"/>
    <row r="122"/>
    <row r="123">
      <c r="A123" s="4" t="inlineStr">
        <is>
          <t>WHAT THE MARKET IS PRICING AT ₹13,691</t>
        </is>
      </c>
      <c r="B123" s="5" t="n"/>
      <c r="C123" s="5" t="n"/>
      <c r="D123" s="5" t="n"/>
      <c r="E123" s="5" t="n"/>
      <c r="F123" s="5" t="n"/>
      <c r="G123" s="5" t="n"/>
      <c r="H123" s="5" t="n"/>
      <c r="I123" s="5" t="n"/>
    </row>
    <row r="124">
      <c r="A124" s="6" t="inlineStr">
        <is>
          <t>Trailing P/E (x)</t>
        </is>
      </c>
      <c r="B124" s="31" t="n">
        <v>30.03004979052883</v>
      </c>
    </row>
    <row r="125">
      <c r="A125" s="6" t="inlineStr">
        <is>
          <t>EV / FY2026 EBITDA (x)</t>
        </is>
      </c>
      <c r="B125" s="31" t="n">
        <v>16.40322340919647</v>
      </c>
    </row>
    <row r="126">
      <c r="A126" s="6" t="inlineStr">
        <is>
          <t>Price / book (x)</t>
        </is>
      </c>
      <c r="B126" s="23" t="n">
        <v>4.01731220657277</v>
      </c>
    </row>
    <row r="127">
      <c r="A127" s="6" t="inlineStr">
        <is>
          <t>Terminal operating margin the price implies (approx.)</t>
        </is>
      </c>
      <c r="B127" s="22" t="n">
        <v>0.1362</v>
      </c>
    </row>
    <row r="128">
      <c r="A128" s="6" t="inlineStr">
        <is>
          <t>Operating margin achieved in FY2024 and FY2025</t>
        </is>
      </c>
      <c r="B128" s="22" t="n">
        <v>0.13</v>
      </c>
    </row>
    <row r="129">
      <c r="A129" s="6" t="inlineStr">
        <is>
          <t>Operating margin in Q1 FY2027</t>
        </is>
      </c>
      <c r="B129" s="22" t="n">
        <v>0.0822</v>
      </c>
    </row>
    <row r="130">
      <c r="A130" s="6" t="inlineStr">
        <is>
          <t>Ten-year average operating margin (FY2017–FY2026)</t>
        </is>
      </c>
      <c r="B130" s="22" t="n">
        <v>0.115</v>
      </c>
    </row>
    <row r="131">
      <c r="A131" s="6" t="inlineStr">
        <is>
          <t>Return on equity, FY2026</t>
        </is>
      </c>
      <c r="B131" s="22" t="n">
        <v>0.143</v>
      </c>
    </row>
    <row r="132">
      <c r="A132" s="6" t="inlineStr">
        <is>
          <t>Trailing profit growth</t>
        </is>
      </c>
      <c r="B132" s="22" t="n">
        <v>-0.01</v>
      </c>
    </row>
    <row r="133"/>
    <row r="134">
      <c r="A134" s="25" t="inlineStr">
        <is>
          <t>The market is paying 30 times earnings and 16.4 times EBITDA for a business whose trailing profit has fallen 1%</t>
        </is>
      </c>
    </row>
    <row r="135">
      <c r="A135" s="25" t="inlineStr">
        <is>
          <t>and whose margin is at a four-year low. The bull case is that the margin is cyclical. It probably is. The question is</t>
        </is>
      </c>
    </row>
    <row r="136">
      <c r="A136" s="25" t="inlineStr">
        <is>
          <t>whether you are being paid to wait for it, and at 30 times the answer is thin.</t>
        </is>
      </c>
    </row>
  </sheetData>
  <pageMargins left="0.3" right="0.3" top="0.4" bottom="0.4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4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24" customHeight="1">
      <c r="A1" s="1" t="inlineStr">
        <is>
          <t>Income Statement — Maruti Suzuki India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Consolidated, ₹ crore. Source: company filings via Screener. FY2027E–FY2028E are this model's estimates.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/>
    <row r="4">
      <c r="A4" s="32" t="inlineStr"/>
      <c r="B4" s="32" t="inlineStr">
        <is>
          <t>FY2022</t>
        </is>
      </c>
      <c r="C4" s="32" t="inlineStr">
        <is>
          <t>FY2023</t>
        </is>
      </c>
      <c r="D4" s="32" t="inlineStr">
        <is>
          <t>FY2024</t>
        </is>
      </c>
      <c r="E4" s="32" t="inlineStr">
        <is>
          <t>FY2025</t>
        </is>
      </c>
      <c r="F4" s="32" t="inlineStr">
        <is>
          <t>FY2026</t>
        </is>
      </c>
      <c r="G4" s="32" t="inlineStr">
        <is>
          <t>TTM Jun-26</t>
        </is>
      </c>
      <c r="H4" s="32" t="inlineStr">
        <is>
          <t>FY2027E</t>
        </is>
      </c>
      <c r="I4" s="32" t="inlineStr">
        <is>
          <t>FY2028E</t>
        </is>
      </c>
    </row>
    <row r="5">
      <c r="A5" s="6" t="inlineStr">
        <is>
          <t>Revenue</t>
        </is>
      </c>
      <c r="B5" s="7" t="n">
        <v>88330</v>
      </c>
      <c r="C5" s="7" t="n">
        <v>117571</v>
      </c>
      <c r="D5" s="7" t="n">
        <v>141858</v>
      </c>
      <c r="E5" s="7" t="n">
        <v>152913</v>
      </c>
      <c r="F5" s="7" t="n">
        <v>183316</v>
      </c>
      <c r="G5" s="7" t="n">
        <v>197181</v>
      </c>
      <c r="H5" s="7" t="n">
        <v>216000</v>
      </c>
      <c r="I5" s="7" t="n">
        <v>238000</v>
      </c>
    </row>
    <row r="6">
      <c r="A6" s="6" t="inlineStr">
        <is>
          <t>Operating expenses</t>
        </is>
      </c>
      <c r="B6" s="7" t="n">
        <v>82578</v>
      </c>
      <c r="C6" s="7" t="n">
        <v>106542</v>
      </c>
      <c r="D6" s="7" t="n">
        <v>123232</v>
      </c>
      <c r="E6" s="7" t="n">
        <v>132689</v>
      </c>
      <c r="F6" s="7" t="n">
        <v>161786</v>
      </c>
      <c r="G6" s="7" t="n">
        <v>176050</v>
      </c>
      <c r="H6" s="17">
        <f>H5-H7</f>
        <v/>
      </c>
      <c r="I6" s="17">
        <f>I5-I7</f>
        <v/>
      </c>
    </row>
    <row r="7">
      <c r="A7" s="6" t="inlineStr">
        <is>
          <t>Operating profit (EBITDA)</t>
        </is>
      </c>
      <c r="B7" s="7" t="n">
        <v>5752</v>
      </c>
      <c r="C7" s="7" t="n">
        <v>11029</v>
      </c>
      <c r="D7" s="7" t="n">
        <v>18626</v>
      </c>
      <c r="E7" s="7" t="n">
        <v>20224</v>
      </c>
      <c r="F7" s="7" t="n">
        <v>21530</v>
      </c>
      <c r="G7" s="7" t="n">
        <v>21131</v>
      </c>
      <c r="H7" s="7" t="n">
        <v>21168</v>
      </c>
      <c r="I7" s="7" t="n">
        <v>27370</v>
      </c>
    </row>
    <row r="8">
      <c r="A8" s="6" t="inlineStr">
        <is>
          <t>Other income</t>
        </is>
      </c>
      <c r="B8" s="7" t="n">
        <v>1861</v>
      </c>
      <c r="C8" s="7" t="n">
        <v>2307</v>
      </c>
      <c r="D8" s="7" t="n">
        <v>4248</v>
      </c>
      <c r="E8" s="7" t="n">
        <v>5199</v>
      </c>
      <c r="F8" s="7" t="n">
        <v>4569</v>
      </c>
      <c r="G8" s="7" t="n">
        <v>4707</v>
      </c>
      <c r="H8" s="7" t="n">
        <v>5200</v>
      </c>
      <c r="I8" s="7" t="n">
        <v>5800</v>
      </c>
    </row>
    <row r="9">
      <c r="A9" s="6" t="inlineStr">
        <is>
          <t>Interest</t>
        </is>
      </c>
      <c r="B9" s="7" t="n">
        <v>127</v>
      </c>
      <c r="C9" s="7" t="n">
        <v>187</v>
      </c>
      <c r="D9" s="7" t="n">
        <v>194</v>
      </c>
      <c r="E9" s="7" t="n">
        <v>194</v>
      </c>
      <c r="F9" s="7" t="n">
        <v>239</v>
      </c>
      <c r="G9" s="7" t="n">
        <v>255</v>
      </c>
      <c r="H9" s="7" t="n">
        <v>270</v>
      </c>
      <c r="I9" s="7" t="n">
        <v>280</v>
      </c>
    </row>
    <row r="10">
      <c r="A10" s="6" t="inlineStr">
        <is>
          <t>Depreciation</t>
        </is>
      </c>
      <c r="B10" s="7" t="n">
        <v>2789</v>
      </c>
      <c r="C10" s="7" t="n">
        <v>2826</v>
      </c>
      <c r="D10" s="7" t="n">
        <v>5256</v>
      </c>
      <c r="E10" s="7" t="n">
        <v>5608</v>
      </c>
      <c r="F10" s="7" t="n">
        <v>6742</v>
      </c>
      <c r="G10" s="7" t="n">
        <v>6966</v>
      </c>
      <c r="H10" s="7" t="n">
        <v>7600</v>
      </c>
      <c r="I10" s="7" t="n">
        <v>8200</v>
      </c>
    </row>
    <row r="11">
      <c r="A11" s="6" t="inlineStr">
        <is>
          <t>Profit before tax</t>
        </is>
      </c>
      <c r="B11" s="7" t="n">
        <v>4697</v>
      </c>
      <c r="C11" s="7" t="n">
        <v>10323</v>
      </c>
      <c r="D11" s="7" t="n">
        <v>17424</v>
      </c>
      <c r="E11" s="7" t="n">
        <v>19620</v>
      </c>
      <c r="F11" s="7" t="n">
        <v>19118</v>
      </c>
      <c r="G11" s="7" t="n">
        <v>18616</v>
      </c>
      <c r="H11" s="17">
        <f>H7-H10-H9+H8</f>
        <v/>
      </c>
      <c r="I11" s="17">
        <f>I7-I10-I9+I8</f>
        <v/>
      </c>
    </row>
    <row r="12">
      <c r="A12" s="26" t="inlineStr">
        <is>
          <t>Net profit</t>
        </is>
      </c>
      <c r="B12" s="7" t="n">
        <v>3880</v>
      </c>
      <c r="C12" s="7" t="n">
        <v>8211</v>
      </c>
      <c r="D12" s="7" t="n">
        <v>13488</v>
      </c>
      <c r="E12" s="7" t="n">
        <v>14500</v>
      </c>
      <c r="F12" s="7" t="n">
        <v>14680</v>
      </c>
      <c r="G12" s="7" t="n">
        <v>14334</v>
      </c>
      <c r="H12" s="17">
        <f>H11*0.77</f>
        <v/>
      </c>
      <c r="I12" s="17">
        <f>I11*0.77</f>
        <v/>
      </c>
    </row>
    <row r="13">
      <c r="A13" s="6" t="inlineStr">
        <is>
          <t>Earnings per share (₹)</t>
        </is>
      </c>
      <c r="B13" s="12" t="n">
        <v>128.43</v>
      </c>
      <c r="C13" s="12" t="n">
        <v>271.82</v>
      </c>
      <c r="D13" s="12" t="n">
        <v>429.01</v>
      </c>
      <c r="E13" s="12" t="n">
        <v>461.2</v>
      </c>
      <c r="F13" s="12" t="n">
        <v>466.9</v>
      </c>
      <c r="G13" s="12" t="n">
        <v>455.91</v>
      </c>
      <c r="H13" s="41">
        <f>H12/31.4</f>
        <v/>
      </c>
      <c r="I13" s="41">
        <f>I12/31.4</f>
        <v/>
      </c>
    </row>
    <row r="14">
      <c r="A14" s="26" t="inlineStr">
        <is>
          <t>Operating margin</t>
        </is>
      </c>
      <c r="B14" s="19">
        <f>B7/B5</f>
        <v/>
      </c>
      <c r="C14" s="19">
        <f>C7/C5</f>
        <v/>
      </c>
      <c r="D14" s="19">
        <f>D7/D5</f>
        <v/>
      </c>
      <c r="E14" s="19">
        <f>E7/E5</f>
        <v/>
      </c>
      <c r="F14" s="19">
        <f>F7/F5</f>
        <v/>
      </c>
      <c r="G14" s="19">
        <f>G7/G5</f>
        <v/>
      </c>
      <c r="H14" s="19">
        <f>H7/H5</f>
        <v/>
      </c>
      <c r="I14" s="19">
        <f>I7/I5</f>
        <v/>
      </c>
    </row>
    <row r="15">
      <c r="A15" s="6" t="inlineStr">
        <is>
          <t>Other income as share of profit before tax</t>
        </is>
      </c>
      <c r="B15" s="19">
        <f>IFERROR(B8/B11,"")</f>
        <v/>
      </c>
      <c r="C15" s="19">
        <f>IFERROR(C8/C11,"")</f>
        <v/>
      </c>
      <c r="D15" s="19">
        <f>IFERROR(D8/D11,"")</f>
        <v/>
      </c>
      <c r="E15" s="19">
        <f>IFERROR(E8/E11,"")</f>
        <v/>
      </c>
      <c r="F15" s="19">
        <f>IFERROR(F8/F11,"")</f>
        <v/>
      </c>
      <c r="G15" s="19">
        <f>IFERROR(G8/G11,"")</f>
        <v/>
      </c>
      <c r="H15" s="19">
        <f>IFERROR(H8/H11,"")</f>
        <v/>
      </c>
      <c r="I15" s="19">
        <f>IFERROR(I8/I11,"")</f>
        <v/>
      </c>
    </row>
    <row r="16">
      <c r="A16" s="6" t="inlineStr">
        <is>
          <t>Revenue growth</t>
        </is>
      </c>
      <c r="C16" s="19">
        <f>C5/B5-1</f>
        <v/>
      </c>
      <c r="D16" s="19">
        <f>D5/C5-1</f>
        <v/>
      </c>
      <c r="E16" s="19">
        <f>E5/D5-1</f>
        <v/>
      </c>
      <c r="F16" s="19">
        <f>F5/E5-1</f>
        <v/>
      </c>
      <c r="G16" s="19">
        <f>G5/F5-1</f>
        <v/>
      </c>
      <c r="H16" s="19">
        <f>H5/G5-1</f>
        <v/>
      </c>
      <c r="I16" s="19">
        <f>I5/H5-1</f>
        <v/>
      </c>
    </row>
    <row r="17"/>
    <row r="18"/>
    <row r="19">
      <c r="A19" s="4" t="inlineStr">
        <is>
          <t>QUARTERLY — THE MARGIN BREAK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26" t="inlineStr"/>
      <c r="B20" s="26" t="inlineStr">
        <is>
          <t>Jun 2025</t>
        </is>
      </c>
      <c r="C20" s="26" t="inlineStr">
        <is>
          <t>Sep 2025</t>
        </is>
      </c>
      <c r="D20" s="26" t="inlineStr">
        <is>
          <t>Dec 2025</t>
        </is>
      </c>
      <c r="E20" s="26" t="inlineStr">
        <is>
          <t>Mar 2026</t>
        </is>
      </c>
      <c r="F20" s="26" t="inlineStr">
        <is>
          <t>Jun 2026</t>
        </is>
      </c>
    </row>
    <row r="21">
      <c r="A21" s="6" t="inlineStr">
        <is>
          <t>Revenue</t>
        </is>
      </c>
      <c r="B21" s="7" t="n">
        <v>38605</v>
      </c>
      <c r="C21" s="7" t="n">
        <v>42344</v>
      </c>
      <c r="D21" s="7" t="n">
        <v>49904</v>
      </c>
      <c r="E21" s="7" t="n">
        <v>52462</v>
      </c>
      <c r="F21" s="7" t="n">
        <v>52470</v>
      </c>
    </row>
    <row r="22">
      <c r="A22" s="6" t="inlineStr">
        <is>
          <t>Operating profit</t>
        </is>
      </c>
      <c r="B22" s="7" t="n">
        <v>4623</v>
      </c>
      <c r="C22" s="7" t="n">
        <v>5086</v>
      </c>
      <c r="D22" s="7" t="n">
        <v>5573</v>
      </c>
      <c r="E22" s="7" t="n">
        <v>6158</v>
      </c>
      <c r="F22" s="7" t="n">
        <v>4313</v>
      </c>
    </row>
    <row r="23">
      <c r="A23" s="6" t="inlineStr">
        <is>
          <t>Other income</t>
        </is>
      </c>
      <c r="B23" s="7" t="n">
        <v>1924</v>
      </c>
      <c r="C23" s="7" t="n">
        <v>1014</v>
      </c>
      <c r="D23" s="7" t="n">
        <v>1140</v>
      </c>
      <c r="E23" s="7" t="n">
        <v>581</v>
      </c>
      <c r="F23" s="7" t="n">
        <v>1972</v>
      </c>
    </row>
    <row r="24">
      <c r="A24" s="6" t="inlineStr">
        <is>
          <t>Depreciation</t>
        </is>
      </c>
      <c r="B24" s="7" t="n">
        <v>1556</v>
      </c>
      <c r="C24" s="7" t="n">
        <v>1703</v>
      </c>
      <c r="D24" s="7" t="n">
        <v>1735</v>
      </c>
      <c r="E24" s="7" t="n">
        <v>1748</v>
      </c>
      <c r="F24" s="7" t="n">
        <v>1780</v>
      </c>
    </row>
    <row r="25">
      <c r="A25" s="6" t="inlineStr">
        <is>
          <t>Profit before tax</t>
        </is>
      </c>
      <c r="B25" s="7" t="n">
        <v>4944</v>
      </c>
      <c r="C25" s="7" t="n">
        <v>4339</v>
      </c>
      <c r="D25" s="7" t="n">
        <v>4917</v>
      </c>
      <c r="E25" s="7" t="n">
        <v>4918</v>
      </c>
      <c r="F25" s="7" t="n">
        <v>4441</v>
      </c>
    </row>
    <row r="26">
      <c r="A26" s="6" t="inlineStr">
        <is>
          <t>Net profit</t>
        </is>
      </c>
      <c r="B26" s="7" t="n">
        <v>3792</v>
      </c>
      <c r="C26" s="7" t="n">
        <v>3349</v>
      </c>
      <c r="D26" s="7" t="n">
        <v>3879</v>
      </c>
      <c r="E26" s="7" t="n">
        <v>3659</v>
      </c>
      <c r="F26" s="7" t="n">
        <v>3447</v>
      </c>
    </row>
    <row r="27">
      <c r="A27" s="6" t="inlineStr">
        <is>
          <t>Earnings per share (₹)</t>
        </is>
      </c>
      <c r="B27" s="12" t="n">
        <v>120.62</v>
      </c>
      <c r="C27" s="12" t="n">
        <v>106.52</v>
      </c>
      <c r="D27" s="12" t="n">
        <v>123.38</v>
      </c>
      <c r="E27" s="12" t="n">
        <v>116.38</v>
      </c>
      <c r="F27" s="12" t="n">
        <v>109.63</v>
      </c>
    </row>
    <row r="28">
      <c r="A28" s="26" t="inlineStr">
        <is>
          <t>Operating margin</t>
        </is>
      </c>
      <c r="B28" s="14">
        <f>B22/B21</f>
        <v/>
      </c>
      <c r="C28" s="14">
        <f>C22/C21</f>
        <v/>
      </c>
      <c r="D28" s="14">
        <f>D22/D21</f>
        <v/>
      </c>
      <c r="E28" s="14">
        <f>E22/E21</f>
        <v/>
      </c>
      <c r="F28" s="14">
        <f>F22/F21</f>
        <v/>
      </c>
    </row>
    <row r="29">
      <c r="A29" s="6" t="inlineStr">
        <is>
          <t>Other income as share of profit before tax</t>
        </is>
      </c>
      <c r="B29" s="19">
        <f>B23/B25</f>
        <v/>
      </c>
      <c r="C29" s="19">
        <f>C23/C25</f>
        <v/>
      </c>
      <c r="D29" s="19">
        <f>D23/D25</f>
        <v/>
      </c>
      <c r="E29" s="19">
        <f>E23/E25</f>
        <v/>
      </c>
      <c r="F29" s="19">
        <f>F23/F25</f>
        <v/>
      </c>
    </row>
    <row r="30"/>
    <row r="31">
      <c r="A31" s="25" t="inlineStr">
        <is>
          <t>Revenue rose 36% year on year in the June 2026 quarter and operating profit fell 6.7%. The gap is the whole story:</t>
        </is>
      </c>
    </row>
    <row r="32">
      <c r="A32" s="25" t="inlineStr">
        <is>
          <t>material cost inflation, aggravated by the war, absorbed the entire benefit of a 29% volume increase.</t>
        </is>
      </c>
    </row>
    <row r="33">
      <c r="A33" s="25" t="inlineStr">
        <is>
          <t>Note also the other-income line. At ₹1,972 crore it funded 44% of pre-tax profit — the investment book, not the</t>
        </is>
      </c>
    </row>
    <row r="34">
      <c r="A34" s="25" t="inlineStr">
        <is>
          <t>car business, carried the quarter.</t>
        </is>
      </c>
    </row>
  </sheetData>
  <pageMargins left="0.3" right="0.3" top="0.4" bottom="0.4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7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24" customHeight="1">
      <c r="A1" s="1" t="inlineStr">
        <is>
          <t>Balance Sheet and the Investment Book — Maruti Suzuki India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Consolidated, ₹ crore. Position as at 31 March 2026.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/>
    <row r="4">
      <c r="A4" s="32" t="inlineStr"/>
      <c r="B4" s="32" t="inlineStr">
        <is>
          <t>FY2023</t>
        </is>
      </c>
      <c r="C4" s="32" t="inlineStr">
        <is>
          <t>FY2024</t>
        </is>
      </c>
      <c r="D4" s="32" t="inlineStr">
        <is>
          <t>FY2025</t>
        </is>
      </c>
      <c r="E4" s="32" t="inlineStr">
        <is>
          <t>FY2026</t>
        </is>
      </c>
    </row>
    <row r="5">
      <c r="A5" s="6" t="inlineStr">
        <is>
          <t>Equity capital</t>
        </is>
      </c>
      <c r="B5" s="7" t="n">
        <v>151</v>
      </c>
      <c r="C5" s="7" t="n">
        <v>157</v>
      </c>
      <c r="D5" s="7" t="n">
        <v>157</v>
      </c>
      <c r="E5" s="7" t="n">
        <v>157</v>
      </c>
    </row>
    <row r="6">
      <c r="A6" s="6" t="inlineStr">
        <is>
          <t>Reserves</t>
        </is>
      </c>
      <c r="B6" s="7" t="n">
        <v>61640</v>
      </c>
      <c r="C6" s="7" t="n">
        <v>85479</v>
      </c>
      <c r="D6" s="7" t="n">
        <v>96083</v>
      </c>
      <c r="E6" s="7" t="n">
        <v>106999</v>
      </c>
    </row>
    <row r="7">
      <c r="A7" s="26" t="inlineStr">
        <is>
          <t>Net worth</t>
        </is>
      </c>
      <c r="B7" s="27">
        <f>B5+B6</f>
        <v/>
      </c>
      <c r="C7" s="27">
        <f>C5+C6</f>
        <v/>
      </c>
      <c r="D7" s="27">
        <f>D5+D6</f>
        <v/>
      </c>
      <c r="E7" s="27">
        <f>E5+E6</f>
        <v/>
      </c>
    </row>
    <row r="8">
      <c r="A8" s="6" t="inlineStr">
        <is>
          <t>Borrowings</t>
        </is>
      </c>
      <c r="B8" s="7" t="n">
        <v>1247</v>
      </c>
      <c r="C8" s="7" t="n">
        <v>119</v>
      </c>
      <c r="D8" s="7" t="n">
        <v>87</v>
      </c>
      <c r="E8" s="7" t="n">
        <v>102</v>
      </c>
    </row>
    <row r="9">
      <c r="A9" s="6" t="inlineStr">
        <is>
          <t>Other liabilities</t>
        </is>
      </c>
      <c r="B9" s="7" t="n">
        <v>21558</v>
      </c>
      <c r="C9" s="7" t="n">
        <v>29550</v>
      </c>
      <c r="D9" s="7" t="n">
        <v>34689</v>
      </c>
      <c r="E9" s="7" t="n">
        <v>41622</v>
      </c>
    </row>
    <row r="10">
      <c r="A10" s="26" t="inlineStr">
        <is>
          <t>Total liabilities</t>
        </is>
      </c>
      <c r="B10" s="7" t="n">
        <v>84597</v>
      </c>
      <c r="C10" s="7" t="n">
        <v>115304</v>
      </c>
      <c r="D10" s="7" t="n">
        <v>131016</v>
      </c>
      <c r="E10" s="7" t="n">
        <v>148880</v>
      </c>
    </row>
    <row r="11">
      <c r="A11" s="6" t="inlineStr">
        <is>
          <t>Fixed assets</t>
        </is>
      </c>
      <c r="B11" s="7" t="n">
        <v>17830</v>
      </c>
      <c r="C11" s="7" t="n">
        <v>27865</v>
      </c>
      <c r="D11" s="7" t="n">
        <v>32983</v>
      </c>
      <c r="E11" s="7" t="n">
        <v>34523</v>
      </c>
    </row>
    <row r="12">
      <c r="A12" s="6" t="inlineStr">
        <is>
          <t>Capital work in progress</t>
        </is>
      </c>
      <c r="B12" s="7" t="n">
        <v>2904</v>
      </c>
      <c r="C12" s="7" t="n">
        <v>7735</v>
      </c>
      <c r="D12" s="7" t="n">
        <v>7929</v>
      </c>
      <c r="E12" s="7" t="n">
        <v>9838</v>
      </c>
    </row>
    <row r="13">
      <c r="A13" s="6" t="inlineStr">
        <is>
          <t>Investments</t>
        </is>
      </c>
      <c r="B13" s="7" t="n">
        <v>49184</v>
      </c>
      <c r="C13" s="7" t="n">
        <v>57296</v>
      </c>
      <c r="D13" s="7" t="n">
        <v>66265</v>
      </c>
      <c r="E13" s="7" t="n">
        <v>76838</v>
      </c>
    </row>
    <row r="14">
      <c r="A14" s="6" t="inlineStr">
        <is>
          <t>Other assets</t>
        </is>
      </c>
      <c r="B14" s="7" t="n">
        <v>14678</v>
      </c>
      <c r="C14" s="7" t="n">
        <v>22408</v>
      </c>
      <c r="D14" s="7" t="n">
        <v>23839</v>
      </c>
      <c r="E14" s="7" t="n">
        <v>27680</v>
      </c>
    </row>
    <row r="15"/>
    <row r="16"/>
    <row r="17">
      <c r="A17" s="4" t="inlineStr">
        <is>
          <t>THE INVESTMENT BOOK — WHAT IT EARNS AND WHAT IT IS WORTH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6" t="inlineStr">
        <is>
          <t>Investments and surplus cash (₹ crore)</t>
        </is>
      </c>
      <c r="B18" s="7" t="n">
        <v>76838</v>
      </c>
    </row>
    <row r="19">
      <c r="A19" s="6" t="inlineStr">
        <is>
          <t>As share of market capitalisation</t>
        </is>
      </c>
      <c r="B19" s="19">
        <f>B18/B24</f>
        <v/>
      </c>
    </row>
    <row r="20">
      <c r="A20" s="6" t="inlineStr">
        <is>
          <t>Other income, trailing twelve months (₹ crore)</t>
        </is>
      </c>
      <c r="B20" s="7" t="n">
        <v>4707</v>
      </c>
    </row>
    <row r="21">
      <c r="A21" s="6" t="inlineStr">
        <is>
          <t>Pre-tax yield on the investment book</t>
        </is>
      </c>
      <c r="B21" s="19">
        <f>B20/B18</f>
        <v/>
      </c>
    </row>
    <row r="22">
      <c r="A22" s="6" t="inlineStr">
        <is>
          <t>Post-tax yield on the investment book</t>
        </is>
      </c>
      <c r="B22" s="19">
        <f>B21*0.77</f>
        <v/>
      </c>
    </row>
    <row r="23">
      <c r="A23" s="6" t="inlineStr">
        <is>
          <t>India 10-year G-sec yield</t>
        </is>
      </c>
      <c r="B23" s="16" t="n">
        <v>0.0682</v>
      </c>
    </row>
    <row r="24">
      <c r="A24" s="6" t="inlineStr">
        <is>
          <t>Market capitalisation (₹ crore)</t>
        </is>
      </c>
      <c r="B24" s="7" t="n">
        <v>429201</v>
      </c>
    </row>
    <row r="25">
      <c r="A25" s="6" t="inlineStr">
        <is>
          <t>Market capitalisation excluding the investment book</t>
        </is>
      </c>
      <c r="B25" s="17">
        <f>B24-B18</f>
        <v/>
      </c>
    </row>
    <row r="26">
      <c r="A26" s="6" t="inlineStr">
        <is>
          <t>Net profit, trailing twelve months</t>
        </is>
      </c>
      <c r="B26" s="7" t="n">
        <v>14334</v>
      </c>
    </row>
    <row r="27">
      <c r="A27" s="6" t="inlineStr">
        <is>
          <t>Less: post-tax other income</t>
        </is>
      </c>
      <c r="B27" s="17">
        <f>-B20*0.77</f>
        <v/>
      </c>
    </row>
    <row r="28">
      <c r="A28" s="6" t="inlineStr">
        <is>
          <t>Core automotive net profit</t>
        </is>
      </c>
      <c r="B28" s="17">
        <f>B26+B27</f>
        <v/>
      </c>
    </row>
    <row r="29">
      <c r="A29" s="6" t="inlineStr">
        <is>
          <t>Implied P/E on the core automotive business (x)</t>
        </is>
      </c>
      <c r="B29" s="13">
        <f>B25/B28</f>
        <v/>
      </c>
    </row>
    <row r="30">
      <c r="A30" s="6" t="inlineStr">
        <is>
          <t>Headline trailing P/E (x)</t>
        </is>
      </c>
      <c r="B30" s="13">
        <f>B24/B26</f>
        <v/>
      </c>
    </row>
    <row r="31"/>
    <row r="32">
      <c r="A32" s="25" t="inlineStr">
        <is>
          <t>This is the reverse of the usual cash-adjustment story. Stripping out the investment book does not make the shares</t>
        </is>
      </c>
    </row>
    <row r="33">
      <c r="A33" s="25" t="inlineStr">
        <is>
          <t>look cheaper — it makes them look dearer, because the book earns a pre-tax yield close to the government bond and</t>
        </is>
      </c>
    </row>
    <row r="34">
      <c r="A34" s="25" t="inlineStr">
        <is>
          <t>is therefore worth roughly its carrying value, while the core car business is left carrying an even higher multiple.</t>
        </is>
      </c>
    </row>
    <row r="35"/>
    <row r="36"/>
    <row r="37">
      <c r="A37" s="4" t="inlineStr">
        <is>
          <t>CASH FLOW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</row>
    <row r="38">
      <c r="A38" s="26" t="inlineStr"/>
      <c r="B38" s="26" t="inlineStr">
        <is>
          <t>FY2023</t>
        </is>
      </c>
      <c r="C38" s="26" t="inlineStr">
        <is>
          <t>FY2024</t>
        </is>
      </c>
      <c r="D38" s="26" t="inlineStr">
        <is>
          <t>FY2025</t>
        </is>
      </c>
      <c r="E38" s="26" t="inlineStr">
        <is>
          <t>FY2026</t>
        </is>
      </c>
    </row>
    <row r="39">
      <c r="A39" s="6" t="inlineStr">
        <is>
          <t>Cash from operating activity</t>
        </is>
      </c>
      <c r="B39" s="7" t="n">
        <v>9251</v>
      </c>
      <c r="C39" s="7" t="n">
        <v>16801</v>
      </c>
      <c r="D39" s="7" t="n">
        <v>16180</v>
      </c>
      <c r="E39" s="7" t="n">
        <v>19100</v>
      </c>
    </row>
    <row r="40">
      <c r="A40" s="6" t="inlineStr">
        <is>
          <t>Cash used in investing activity</t>
        </is>
      </c>
      <c r="B40" s="7" t="n">
        <v>-8036</v>
      </c>
      <c r="C40" s="7" t="n">
        <v>-11865</v>
      </c>
      <c r="D40" s="7" t="n">
        <v>-14500</v>
      </c>
      <c r="E40" s="7" t="n">
        <v>-14734</v>
      </c>
    </row>
    <row r="41">
      <c r="A41" s="6" t="inlineStr">
        <is>
          <t>Cash used in financing activity</t>
        </is>
      </c>
      <c r="B41" s="7" t="n">
        <v>-1213</v>
      </c>
      <c r="C41" s="7" t="n">
        <v>-4062</v>
      </c>
      <c r="D41" s="7" t="n">
        <v>-4155</v>
      </c>
      <c r="E41" s="7" t="n">
        <v>-4484</v>
      </c>
    </row>
    <row r="42">
      <c r="A42" s="26" t="inlineStr">
        <is>
          <t>Free cash flow</t>
        </is>
      </c>
      <c r="B42" s="39" t="n">
        <v>3004</v>
      </c>
      <c r="C42" s="39" t="n">
        <v>7646</v>
      </c>
      <c r="D42" s="39" t="n">
        <v>5601</v>
      </c>
      <c r="E42" s="39" t="n">
        <v>8754</v>
      </c>
    </row>
    <row r="43"/>
    <row r="44">
      <c r="A44" s="25" t="inlineStr">
        <is>
          <t>Operating cash flow is strong and rising. Free cash flow is materially lower because the company is in a heavy</t>
        </is>
      </c>
    </row>
    <row r="45">
      <c r="A45" s="25" t="inlineStr">
        <is>
          <t>capacity cycle — the second Kharkhoda plant was commissioned in the June quarter, and capital work in progress</t>
        </is>
      </c>
    </row>
    <row r="46">
      <c r="A46" s="25" t="inlineStr">
        <is>
          <t>stands at ₹9,838 crore. Our forecast keeps capital expenditure near ₹10,000–11,000 crore a year through FY2031.</t>
        </is>
      </c>
    </row>
    <row r="47"/>
    <row r="48"/>
    <row r="49">
      <c r="A49" s="4" t="inlineStr">
        <is>
          <t>CORE RETURN ON CAPITAL — THE STRONGEST ARGUMENT AGAINST OUR RATING</t>
        </is>
      </c>
      <c r="B49" s="5" t="n"/>
      <c r="C49" s="5" t="n"/>
      <c r="D49" s="5" t="n"/>
      <c r="E49" s="5" t="n"/>
    </row>
    <row r="50">
      <c r="A50" s="6" t="inlineStr">
        <is>
          <t>Net worth (₹ crore)</t>
        </is>
      </c>
      <c r="B50" s="7" t="n">
        <v>107156</v>
      </c>
    </row>
    <row r="51">
      <c r="A51" s="6" t="inlineStr">
        <is>
          <t>Less: investments and surplus cash</t>
        </is>
      </c>
      <c r="B51" s="7" t="n">
        <v>-76838</v>
      </c>
    </row>
    <row r="52">
      <c r="A52" s="6" t="inlineStr">
        <is>
          <t>Operating net worth</t>
        </is>
      </c>
      <c r="B52" s="27">
        <f>B50+B51</f>
        <v/>
      </c>
    </row>
    <row r="53">
      <c r="A53" s="6" t="inlineStr">
        <is>
          <t>Cross-check: fixed assets + CWIP + other assets − other liabilities</t>
        </is>
      </c>
      <c r="B53" s="7" t="n">
        <v>30419</v>
      </c>
    </row>
    <row r="54">
      <c r="A54" s="6" t="inlineStr">
        <is>
          <t>Net profit, trailing twelve months</t>
        </is>
      </c>
      <c r="B54" s="7" t="n">
        <v>14334</v>
      </c>
    </row>
    <row r="55">
      <c r="A55" s="6" t="inlineStr">
        <is>
          <t>Less: post-tax other income</t>
        </is>
      </c>
      <c r="B55" s="7" t="n">
        <v>-3624</v>
      </c>
    </row>
    <row r="56">
      <c r="A56" s="6" t="inlineStr">
        <is>
          <t>Core automotive profit</t>
        </is>
      </c>
      <c r="B56" s="27">
        <f>B54+B55</f>
        <v/>
      </c>
    </row>
    <row r="57">
      <c r="A57" s="26" t="inlineStr">
        <is>
          <t>CORE RETURN ON OPERATING EQUITY</t>
        </is>
      </c>
      <c r="B57" s="44">
        <f>B56/B52</f>
        <v/>
      </c>
    </row>
    <row r="58">
      <c r="A58" s="6" t="inlineStr">
        <is>
          <t>Headline return on equity</t>
        </is>
      </c>
      <c r="B58" s="22" t="n">
        <v>0.143</v>
      </c>
    </row>
    <row r="59">
      <c r="A59" s="6" t="inlineStr">
        <is>
          <t>Investments as share of net worth</t>
        </is>
      </c>
      <c r="B59" s="19">
        <f>-B51/B50</f>
        <v/>
      </c>
    </row>
    <row r="60">
      <c r="A60" s="6" t="inlineStr">
        <is>
          <t>Yield earned on the investment book</t>
        </is>
      </c>
      <c r="B60" s="22" t="n">
        <v>0.0613</v>
      </c>
    </row>
    <row r="61"/>
    <row r="62">
      <c r="A62" s="18" t="inlineStr">
        <is>
          <t>The car business earns roughly 35% on the equity it actually employs. The headline 14.3% is depressed because 72% of</t>
        </is>
      </c>
    </row>
    <row r="63">
      <c r="A63" s="18" t="inlineStr">
        <is>
          <t>book value sits in bonds and funds yielding 6.1%. A franchise earning 35% on capital deserves a premium multiple, and this</t>
        </is>
      </c>
    </row>
    <row r="64">
      <c r="A64" s="18" t="inlineStr">
        <is>
          <t>is the best case against our REDUCE.</t>
        </is>
      </c>
    </row>
    <row r="65">
      <c r="A65" s="18" t="inlineStr"/>
    </row>
    <row r="66">
      <c r="A66" s="18" t="inlineStr">
        <is>
          <t>The answer, we think, is that the two facts are the same fact. Maruti parks ₹76,838 crore at 6.1% precisely because it</t>
        </is>
      </c>
    </row>
    <row r="67">
      <c r="A67" s="18" t="inlineStr">
        <is>
          <t>cannot deploy that money at 35%. FY2026 capital expenditure of about ₹10,346 crore absorbed 97% of core profit and the</t>
        </is>
      </c>
    </row>
    <row r="68">
      <c r="A68" s="18" t="inlineStr">
        <is>
          <t>cash pile still grew. The marginal rupee earns the blended return, not the core return — which is why headline ROE is</t>
        </is>
      </c>
    </row>
    <row r="69">
      <c r="A69" s="18" t="inlineStr">
        <is>
          <t>14.3% and not 35%. A great business that cannot reinvest its own cash flow is worth less than one that can.</t>
        </is>
      </c>
    </row>
    <row r="70">
      <c r="A70" s="18" t="inlineStr"/>
    </row>
    <row r="71">
      <c r="A71" s="18" t="inlineStr">
        <is>
          <t>The counter to our counter: the Kharkhoda build-out means Maruti is now deploying capital at scale for the first time in</t>
        </is>
      </c>
    </row>
    <row r="72">
      <c r="A72" s="18" t="inlineStr">
        <is>
          <t>years. If those plants earn core-like returns, headline ROE rises and our multiple is too low.</t>
        </is>
      </c>
    </row>
  </sheetData>
  <pageMargins left="0.3" right="0.3" top="0.4" bottom="0.4" header="0.5" footer="0.5"/>
  <pageSetup orientation="landscape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112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24" customHeight="1">
      <c r="A1" s="1" t="inlineStr">
        <is>
          <t>Operating Detail and Peer Comparison — Maruti Suzuki India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Q1 FY2027 volume data from the company press release, 31 July 2026.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/>
    <row r="4">
      <c r="A4" s="4" t="inlineStr">
        <is>
          <t>Q1 FY2027 VOLUME AND SHARE</t>
        </is>
      </c>
      <c r="B4" s="5" t="n"/>
      <c r="C4" s="5" t="n"/>
      <c r="D4" s="5" t="n"/>
      <c r="E4" s="5" t="n"/>
      <c r="F4" s="5" t="n"/>
      <c r="G4" s="5" t="n"/>
      <c r="H4" s="5" t="n"/>
      <c r="I4" s="5" t="n"/>
    </row>
    <row r="5">
      <c r="A5" s="6" t="inlineStr">
        <is>
          <t>Total sales volume growth</t>
        </is>
      </c>
      <c r="B5" s="22" t="n">
        <v>0.293</v>
      </c>
    </row>
    <row r="6">
      <c r="A6" s="6" t="inlineStr">
        <is>
          <t>Domestic small car volume growth</t>
        </is>
      </c>
      <c r="B6" s="22" t="n">
        <v>0.341</v>
      </c>
    </row>
    <row r="7">
      <c r="A7" s="6" t="inlineStr">
        <is>
          <t>Sport-utility vehicle volume growth</t>
        </is>
      </c>
      <c r="B7" s="22" t="n">
        <v>0.446</v>
      </c>
    </row>
    <row r="8">
      <c r="A8" s="6" t="inlineStr">
        <is>
          <t>Export volume growth</t>
        </is>
      </c>
      <c r="B8" s="22" t="n">
        <v>0.286</v>
      </c>
    </row>
    <row r="9">
      <c r="A9" s="6" t="inlineStr">
        <is>
          <t>Domestic passenger vehicle market share</t>
        </is>
      </c>
      <c r="B9" s="22" t="n">
        <v>0.412</v>
      </c>
    </row>
    <row r="10">
      <c r="A10" s="6" t="inlineStr">
        <is>
          <t>Market share gain, year on year (percentage points)</t>
        </is>
      </c>
      <c r="B10" s="20" t="n">
        <v>2.3</v>
      </c>
    </row>
    <row r="11">
      <c r="A11" s="6" t="inlineStr">
        <is>
          <t>Network inventory (days)</t>
        </is>
      </c>
      <c r="B11" s="7" t="n">
        <v>13</v>
      </c>
    </row>
    <row r="12"/>
    <row r="13">
      <c r="A13" s="25" t="inlineStr">
        <is>
          <t>Segment mix, domestic sales, 9M FY2026: compact 41.6%, utility vehicles 37.7%, vans 7.3%, mini 5.3%,</t>
        </is>
      </c>
    </row>
    <row r="14">
      <c r="A14" s="25" t="inlineStr">
        <is>
          <t>mid-size 0.1%, light commercial 2.0%, sales to other manufacturers 6.0%.</t>
        </is>
      </c>
    </row>
    <row r="15"/>
    <row r="16"/>
    <row r="17">
      <c r="A17" s="4" t="inlineStr">
        <is>
          <t>TEN YEARS OF OPERATING MARGIN — THE CYCLE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B18" s="26" t="inlineStr">
        <is>
          <t>FY2017</t>
        </is>
      </c>
      <c r="C18" s="26" t="inlineStr">
        <is>
          <t>FY2018</t>
        </is>
      </c>
      <c r="D18" s="26" t="inlineStr">
        <is>
          <t>FY2019</t>
        </is>
      </c>
      <c r="E18" s="26" t="inlineStr">
        <is>
          <t>FY2020</t>
        </is>
      </c>
      <c r="F18" s="26" t="inlineStr">
        <is>
          <t>FY2021</t>
        </is>
      </c>
      <c r="G18" s="26" t="inlineStr">
        <is>
          <t>FY2022</t>
        </is>
      </c>
      <c r="H18" s="26" t="inlineStr">
        <is>
          <t>FY2023</t>
        </is>
      </c>
      <c r="I18" s="26" t="inlineStr">
        <is>
          <t>FY2024</t>
        </is>
      </c>
      <c r="J18" s="26" t="inlineStr">
        <is>
          <t>FY2025</t>
        </is>
      </c>
      <c r="K18" s="26" t="inlineStr">
        <is>
          <t>FY2026</t>
        </is>
      </c>
    </row>
    <row r="19">
      <c r="A19" s="6" t="inlineStr">
        <is>
          <t>Operating margin</t>
        </is>
      </c>
      <c r="B19" s="24" t="n">
        <v>0.15</v>
      </c>
      <c r="C19" s="24" t="n">
        <v>0.15</v>
      </c>
      <c r="D19" s="24" t="n">
        <v>0.13</v>
      </c>
      <c r="E19" s="24" t="n">
        <v>0.1</v>
      </c>
      <c r="F19" s="24" t="n">
        <v>0.08</v>
      </c>
      <c r="G19" s="22" t="n">
        <v>0.06511943846937621</v>
      </c>
      <c r="H19" s="22" t="n">
        <v>0.09380714632009594</v>
      </c>
      <c r="I19" s="22" t="n">
        <v>0.1313003143989059</v>
      </c>
      <c r="J19" s="22" t="n">
        <v>0.1322582121860143</v>
      </c>
      <c r="K19" s="22" t="n">
        <v>0.1174474677605883</v>
      </c>
      <c r="L19" s="26" t="inlineStr">
        <is>
          <t>avg</t>
        </is>
      </c>
      <c r="M19" s="45" t="n">
        <v>0.1149932579134981</v>
      </c>
    </row>
    <row r="20"/>
    <row r="21">
      <c r="A21" s="25" t="inlineStr">
        <is>
          <t>Maruti has been here before. Margin fell to 7% in FY2022 on commodity and semiconductor stress and recovered to</t>
        </is>
      </c>
    </row>
    <row r="22">
      <c r="A22" s="25" t="inlineStr">
        <is>
          <t>13% within two years. That precedent is the strongest argument for the bull case, and we give it real weight.</t>
        </is>
      </c>
    </row>
    <row r="23"/>
    <row r="24"/>
    <row r="25">
      <c r="A25" s="4" t="inlineStr">
        <is>
          <t>PEER COMPARISON — TRAILING P/E (AUGUST 2026)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</row>
    <row r="26">
      <c r="A26" s="26" t="inlineStr">
        <is>
          <t>Company</t>
        </is>
      </c>
      <c r="B26" s="26" t="inlineStr">
        <is>
          <t>Ticker</t>
        </is>
      </c>
      <c r="C26" s="26" t="inlineStr">
        <is>
          <t>Trailing P/E (x)</t>
        </is>
      </c>
    </row>
    <row r="27">
      <c r="A27" s="32" t="inlineStr">
        <is>
          <t>Maruti Suzuki</t>
        </is>
      </c>
      <c r="B27" s="32" t="inlineStr">
        <is>
          <t>MARUTI</t>
        </is>
      </c>
      <c r="C27" s="42" t="n">
        <v>30</v>
      </c>
    </row>
    <row r="28">
      <c r="A28" s="6" t="inlineStr">
        <is>
          <t>Mahindra &amp; Mahindra</t>
        </is>
      </c>
      <c r="B28" s="6" t="inlineStr">
        <is>
          <t>M&amp;M</t>
        </is>
      </c>
      <c r="C28" s="31" t="n">
        <v>21.9</v>
      </c>
    </row>
    <row r="29">
      <c r="A29" s="6" t="inlineStr">
        <is>
          <t>Bajaj Auto</t>
        </is>
      </c>
      <c r="B29" s="6" t="inlineStr">
        <is>
          <t>BAJAJ-AUTO</t>
        </is>
      </c>
      <c r="C29" s="31" t="n">
        <v>26.7</v>
      </c>
    </row>
    <row r="30">
      <c r="A30" s="6" t="inlineStr">
        <is>
          <t>Eicher Motors</t>
        </is>
      </c>
      <c r="B30" s="6" t="inlineStr">
        <is>
          <t>EICHERMOT</t>
        </is>
      </c>
      <c r="C30" s="31" t="n">
        <v>28.5</v>
      </c>
    </row>
    <row r="31">
      <c r="A31" s="6" t="inlineStr">
        <is>
          <t>Tata Motors</t>
        </is>
      </c>
      <c r="B31" s="6" t="inlineStr">
        <is>
          <t>TATAMOTORS</t>
        </is>
      </c>
      <c r="C31" s="31" t="n">
        <v>40.2</v>
      </c>
    </row>
    <row r="32"/>
    <row r="33">
      <c r="A33" s="26" t="inlineStr">
        <is>
          <t>Peer average, excluding Maruti</t>
        </is>
      </c>
      <c r="C33" s="43">
        <f>AVERAGE(C28:C31)</f>
        <v/>
      </c>
    </row>
    <row r="34">
      <c r="A34" s="6" t="inlineStr">
        <is>
          <t>Nifty Auto index P/E</t>
        </is>
      </c>
      <c r="C34" s="31" t="n">
        <v>32.4</v>
      </c>
    </row>
    <row r="35">
      <c r="A35" s="6" t="inlineStr">
        <is>
          <t>Indian auto industry average trailing P/E</t>
        </is>
      </c>
      <c r="C35" s="31" t="n">
        <v>29</v>
      </c>
    </row>
    <row r="36">
      <c r="A36" s="25" t="inlineStr">
        <is>
          <t>Peers are two-wheeler and diversified manufacturers; only Mahindra and Tata Motors are passenger-vehicle</t>
        </is>
      </c>
    </row>
    <row r="37">
      <c r="A37" s="25" t="inlineStr">
        <is>
          <t>comparables, and both carry businesses Maruti does not. Treat the average as context, not as a target.</t>
        </is>
      </c>
    </row>
    <row r="38"/>
    <row r="39"/>
    <row r="40">
      <c r="A40" s="4" t="inlineStr">
        <is>
          <t>STREET POSITIONING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</row>
    <row r="41">
      <c r="A41" s="6" t="inlineStr">
        <is>
          <t>Analysts rating the stock a buy</t>
        </is>
      </c>
      <c r="B41" s="7" t="n">
        <v>33</v>
      </c>
    </row>
    <row r="42">
      <c r="A42" s="6" t="inlineStr">
        <is>
          <t>Analysts rating the stock a sell</t>
        </is>
      </c>
      <c r="B42" s="7" t="n">
        <v>2</v>
      </c>
    </row>
    <row r="43">
      <c r="A43" s="6" t="inlineStr">
        <is>
          <t>Consensus target, source A (₹)</t>
        </is>
      </c>
      <c r="B43" s="7" t="n">
        <v>15877</v>
      </c>
    </row>
    <row r="44">
      <c r="A44" s="6" t="inlineStr">
        <is>
          <t>Consensus target, source B (₹)</t>
        </is>
      </c>
      <c r="B44" s="7" t="n">
        <v>17562</v>
      </c>
    </row>
    <row r="45">
      <c r="A45" s="6" t="inlineStr">
        <is>
          <t>Lowest published target (₹)</t>
        </is>
      </c>
      <c r="B45" s="7" t="n">
        <v>12850</v>
      </c>
    </row>
    <row r="46">
      <c r="A46" s="6" t="inlineStr">
        <is>
          <t>Highest published target (₹)</t>
        </is>
      </c>
      <c r="B46" s="7" t="n">
        <v>21000</v>
      </c>
    </row>
    <row r="47">
      <c r="A47" s="6" t="inlineStr">
        <is>
          <t>Current price (₹)</t>
        </is>
      </c>
      <c r="B47" s="7" t="n">
        <v>13691</v>
      </c>
    </row>
    <row r="48">
      <c r="A48" s="26" t="inlineStr">
        <is>
          <t>This model's fair value (₹)</t>
        </is>
      </c>
      <c r="B48" s="39" t="n">
        <v>12978</v>
      </c>
    </row>
    <row r="49"/>
    <row r="50">
      <c r="A50" s="25" t="inlineStr">
        <is>
          <t>Consensus targets differ materially by source — ₹15,877 against ₹17,562 — which is itself a signal that the Street</t>
        </is>
      </c>
    </row>
    <row r="51">
      <c r="A51" s="18" t="inlineStr">
        <is>
          <t>cannot agree on normalised earnings. Our ₹12,978 sits just above the lowest published target of ₹12,850 and</t>
        </is>
      </c>
    </row>
    <row r="52">
      <c r="A52" s="18" t="inlineStr">
        <is>
          <t>well below both consensus figures. On this name we are the bearish outlier, and the note says so plainly.</t>
        </is>
      </c>
    </row>
    <row r="53"/>
    <row r="54"/>
    <row r="55">
      <c r="A55" s="4" t="inlineStr">
        <is>
          <t>Q1 FY2027 MARGIN BRIDGE — WHERE THE 380 BASIS POINTS WENT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</row>
    <row r="56">
      <c r="A56" s="25" t="inlineStr">
        <is>
          <t>Decomposition per sell-side analysis of the quarter. Our own calculation from reported figures gives 376bp.</t>
        </is>
      </c>
    </row>
    <row r="57">
      <c r="A57" s="6" t="inlineStr">
        <is>
          <t>Commodity cost headwinds</t>
        </is>
      </c>
      <c r="B57" s="7" t="n">
        <v>-300</v>
      </c>
    </row>
    <row r="58">
      <c r="A58" s="6" t="inlineStr">
        <is>
          <t>Higher employee costs</t>
        </is>
      </c>
      <c r="B58" s="7" t="n">
        <v>-40</v>
      </c>
    </row>
    <row r="59">
      <c r="A59" s="6" t="inlineStr">
        <is>
          <t>Fixed costs on inventory depletion</t>
        </is>
      </c>
      <c r="B59" s="7" t="n">
        <v>-30</v>
      </c>
    </row>
    <row r="60">
      <c r="A60" s="6" t="inlineStr">
        <is>
          <t>Higher gas costs</t>
        </is>
      </c>
      <c r="B60" s="7" t="n">
        <v>-20</v>
      </c>
    </row>
    <row r="61">
      <c r="A61" s="6" t="inlineStr">
        <is>
          <t>Foreign exchange (net benefit)</t>
        </is>
      </c>
      <c r="B61" s="7" t="n">
        <v>10</v>
      </c>
    </row>
    <row r="62">
      <c r="A62" s="26" t="inlineStr">
        <is>
          <t>Total margin contraction (basis points)</t>
        </is>
      </c>
      <c r="B62" s="27">
        <f>SUM(B57:B61)</f>
        <v/>
      </c>
    </row>
    <row r="63">
      <c r="A63" s="26" t="inlineStr">
        <is>
          <t>Of which commodity-related (cyclical)</t>
        </is>
      </c>
      <c r="B63" s="39" t="n">
        <v>-300</v>
      </c>
    </row>
    <row r="64">
      <c r="A64" s="6" t="inlineStr">
        <is>
          <t>Commodity share of the total decline</t>
        </is>
      </c>
      <c r="B64" s="29">
        <f>B57/B62</f>
        <v/>
      </c>
    </row>
    <row r="65"/>
    <row r="66">
      <c r="A66" s="18" t="inlineStr">
        <is>
          <t>This bridge cuts against our rating and we say so. Commodity cost is 300 of the 380 basis point decline — four-fifths</t>
        </is>
      </c>
    </row>
    <row r="67">
      <c r="A67" s="18" t="inlineStr">
        <is>
          <t>of it — and commodity is cyclical. Only about 90 basis points, employee and gas costs, look structural, and a weaker</t>
        </is>
      </c>
    </row>
    <row r="68">
      <c r="A68" s="18" t="inlineStr">
        <is>
          <t>rupee gave back 10. If commodity pressure unwinds as it did after FY2022, margin recovery could beat our base case.</t>
        </is>
      </c>
    </row>
    <row r="69"/>
    <row r="70"/>
    <row r="71">
      <c r="A71" s="4" t="inlineStr">
        <is>
          <t>THIRD-PARTY CROSS-CHECK — THE WIDEST DISPERSION WE HAVE SEEN ON ANY NAME</t>
        </is>
      </c>
      <c r="B71" s="5" t="n"/>
      <c r="C71" s="5" t="n"/>
      <c r="D71" s="5" t="n"/>
      <c r="E71" s="5" t="n"/>
      <c r="F71" s="5" t="n"/>
      <c r="G71" s="5" t="n"/>
      <c r="H71" s="5" t="n"/>
      <c r="I71" s="5" t="n"/>
    </row>
    <row r="72">
      <c r="A72" s="26" t="inlineStr">
        <is>
          <t>Source</t>
        </is>
      </c>
      <c r="B72" s="26" t="inlineStr">
        <is>
          <t>Value / target (₹)</t>
        </is>
      </c>
      <c r="C72" s="26" t="inlineStr">
        <is>
          <t>Stance</t>
        </is>
      </c>
      <c r="D72" s="26" t="inlineStr">
        <is>
          <t>Method</t>
        </is>
      </c>
    </row>
    <row r="73">
      <c r="A73" s="6" t="inlineStr">
        <is>
          <t>valueinvesting.io</t>
        </is>
      </c>
      <c r="B73" s="7" t="n">
        <v>6463</v>
      </c>
      <c r="C73" s="6" t="inlineStr">
        <is>
          <t>Overvalued 52.9%</t>
        </is>
      </c>
      <c r="D73" s="6" t="inlineStr">
        <is>
          <t>Intrinsic / DCF</t>
        </is>
      </c>
    </row>
    <row r="74">
      <c r="A74" s="6" t="inlineStr">
        <is>
          <t>Alpha Spread — DCF</t>
        </is>
      </c>
      <c r="B74" s="7" t="n">
        <v>8386</v>
      </c>
      <c r="C74" s="6" t="inlineStr">
        <is>
          <t>Overvalued 36%</t>
        </is>
      </c>
      <c r="D74" s="6" t="inlineStr">
        <is>
          <t>DCF</t>
        </is>
      </c>
    </row>
    <row r="75">
      <c r="A75" s="6" t="inlineStr">
        <is>
          <t>Alpha Spread — base case</t>
        </is>
      </c>
      <c r="B75" s="7" t="n">
        <v>10742</v>
      </c>
      <c r="C75" s="6" t="inlineStr">
        <is>
          <t>Overvalued 19%</t>
        </is>
      </c>
      <c r="D75" s="6" t="inlineStr">
        <is>
          <t>Blended</t>
        </is>
      </c>
    </row>
    <row r="76">
      <c r="A76" s="32" t="inlineStr">
        <is>
          <t>THIS MODEL</t>
        </is>
      </c>
      <c r="B76" s="38" t="n">
        <v>12978</v>
      </c>
      <c r="C76" s="32" t="inlineStr">
        <is>
          <t>REDUCE, -4.2% total return</t>
        </is>
      </c>
      <c r="D76" s="32" t="inlineStr">
        <is>
          <t>DCF + normalised P/E + EV/EBITDA</t>
        </is>
      </c>
    </row>
    <row r="77">
      <c r="A77" s="6" t="inlineStr">
        <is>
          <t>Nomura</t>
        </is>
      </c>
      <c r="B77" s="7" t="n">
        <v>14070</v>
      </c>
      <c r="C77" s="6" t="inlineStr">
        <is>
          <t>Neutral (target raised)</t>
        </is>
      </c>
      <c r="D77" s="6" t="inlineStr">
        <is>
          <t>Sell-side</t>
        </is>
      </c>
    </row>
    <row r="78">
      <c r="A78" s="6" t="inlineStr">
        <is>
          <t>GuruFocus GF Value</t>
        </is>
      </c>
      <c r="B78" s="7" t="n">
        <v>15536</v>
      </c>
      <c r="C78" s="6" t="inlineStr">
        <is>
          <t>Undervalued 11.8%</t>
        </is>
      </c>
      <c r="D78" s="6" t="inlineStr">
        <is>
          <t>Multiple-based</t>
        </is>
      </c>
    </row>
    <row r="79">
      <c r="A79" s="6" t="inlineStr">
        <is>
          <t>HSBC</t>
        </is>
      </c>
      <c r="B79" s="7" t="n">
        <v>16000</v>
      </c>
      <c r="C79" s="6" t="inlineStr">
        <is>
          <t>Buy</t>
        </is>
      </c>
      <c r="D79" s="6" t="inlineStr">
        <is>
          <t>Sell-side</t>
        </is>
      </c>
    </row>
    <row r="80">
      <c r="A80" s="6" t="inlineStr">
        <is>
          <t>JP Morgan</t>
        </is>
      </c>
      <c r="B80" s="7" t="n">
        <v>16200</v>
      </c>
      <c r="C80" s="6" t="inlineStr">
        <is>
          <t>Overweight (target cut)</t>
        </is>
      </c>
      <c r="D80" s="6" t="inlineStr">
        <is>
          <t>Sell-side</t>
        </is>
      </c>
    </row>
    <row r="81">
      <c r="A81" s="6" t="inlineStr">
        <is>
          <t>Morgan Stanley</t>
        </is>
      </c>
      <c r="B81" s="7" t="n">
        <v>16381</v>
      </c>
      <c r="C81" s="6" t="inlineStr">
        <is>
          <t>Overweight (target cut)</t>
        </is>
      </c>
      <c r="D81" s="6" t="inlineStr">
        <is>
          <t>Sell-side</t>
        </is>
      </c>
    </row>
    <row r="82">
      <c r="A82" s="6" t="inlineStr">
        <is>
          <t>Citi</t>
        </is>
      </c>
      <c r="B82" s="7" t="n">
        <v>16500</v>
      </c>
      <c r="C82" s="6" t="inlineStr">
        <is>
          <t>Buy (target cut)</t>
        </is>
      </c>
      <c r="D82" s="6" t="inlineStr">
        <is>
          <t>Sell-side</t>
        </is>
      </c>
    </row>
    <row r="83">
      <c r="A83" s="6" t="inlineStr">
        <is>
          <t>Bernstein</t>
        </is>
      </c>
      <c r="B83" s="7" t="n">
        <v>16800</v>
      </c>
      <c r="C83" s="6" t="inlineStr">
        <is>
          <t>Outperform (target cut)</t>
        </is>
      </c>
      <c r="D83" s="6" t="inlineStr">
        <is>
          <t>Sell-side</t>
        </is>
      </c>
    </row>
    <row r="84">
      <c r="A84" s="6" t="inlineStr">
        <is>
          <t>smart-investing.in</t>
        </is>
      </c>
      <c r="B84" s="7" t="n">
        <v>17496</v>
      </c>
      <c r="C84" s="6" t="inlineStr">
        <is>
          <t>Discount 19%</t>
        </is>
      </c>
      <c r="D84" s="6" t="inlineStr">
        <is>
          <t>Historical multiples</t>
        </is>
      </c>
    </row>
    <row r="85"/>
    <row r="86">
      <c r="A86" s="26" t="inlineStr">
        <is>
          <t>Current market price (₹)</t>
        </is>
      </c>
      <c r="B86" s="39" t="n">
        <v>13691</v>
      </c>
    </row>
    <row r="87">
      <c r="A87" s="6" t="inlineStr">
        <is>
          <t>Range of third-party estimates (₹)</t>
        </is>
      </c>
      <c r="B87" s="6" t="inlineStr">
        <is>
          <t>6,463 – 17,496</t>
        </is>
      </c>
    </row>
    <row r="88">
      <c r="A88" s="6" t="inlineStr">
        <is>
          <t>Highest divided by lowest</t>
        </is>
      </c>
      <c r="B88" s="31" t="n">
        <v>2.707101965031719</v>
      </c>
    </row>
    <row r="89"/>
    <row r="90">
      <c r="A90" s="25" t="inlineStr">
        <is>
          <t>Every independent cash-flow model we can find is more bearish than we are. Every sell-side house is more bullish.</t>
        </is>
      </c>
    </row>
    <row r="91">
      <c r="A91" s="18" t="inlineStr">
        <is>
          <t>That is the same split we found inside our own work, where the discounted cash flow gives ₹11,666 and the earnings</t>
        </is>
      </c>
    </row>
    <row r="92">
      <c r="A92" s="18" t="inlineStr">
        <is>
          <t>multiple ₹14,531. The disagreement is not about the company; it is about whether you capitalise trough cash flow or</t>
        </is>
      </c>
    </row>
    <row r="93">
      <c r="A93" s="25" t="inlineStr">
        <is>
          <t>normalised earnings. Our blend sits between the two camps, nearest to Nomura — the one house rated Neutral, and the</t>
        </is>
      </c>
    </row>
    <row r="94">
      <c r="A94" s="25" t="inlineStr">
        <is>
          <t>only one of six that raised its target after the quarter rather than cutting it.</t>
        </is>
      </c>
    </row>
    <row r="95"/>
    <row r="96"/>
    <row r="97"/>
    <row r="98"/>
    <row r="99">
      <c r="A99" s="4" t="inlineStr">
        <is>
          <t>THE GST CUT — WHY GROWTH DECELERATES FROM THE SEPTEMBER 2026 QUARTER</t>
        </is>
      </c>
      <c r="B99" s="5" t="n"/>
      <c r="C99" s="5" t="n"/>
      <c r="D99" s="5" t="n"/>
      <c r="E99" s="5" t="n"/>
      <c r="F99" s="5" t="n"/>
      <c r="G99" s="5" t="n"/>
      <c r="H99" s="5" t="n"/>
      <c r="I99" s="5" t="n"/>
    </row>
    <row r="100">
      <c r="A100" s="6" t="inlineStr">
        <is>
          <t>GST on small cars before 22 September 2025</t>
        </is>
      </c>
      <c r="B100" s="24" t="n">
        <v>0.28</v>
      </c>
    </row>
    <row r="101">
      <c r="A101" s="6" t="inlineStr">
        <is>
          <t>GST on small cars from 22 September 2025</t>
        </is>
      </c>
      <c r="B101" s="24" t="n">
        <v>0.18</v>
      </c>
    </row>
    <row r="102">
      <c r="A102" s="6" t="inlineStr">
        <is>
          <t>GST on large cars and luxury (raised)</t>
        </is>
      </c>
      <c r="B102" s="24" t="n">
        <v>0.4</v>
      </c>
    </row>
    <row r="103">
      <c r="A103" s="6" t="inlineStr">
        <is>
          <t>Share of domestic PV market in the benefiting segments</t>
        </is>
      </c>
      <c r="B103" s="24" t="n">
        <v>0.6</v>
      </c>
    </row>
    <row r="104">
      <c r="A104" s="6" t="inlineStr">
        <is>
          <t>Maruti deliveries on 22 September 2025 (best day in 35 years)</t>
        </is>
      </c>
      <c r="B104" s="7" t="n">
        <v>30000</v>
      </c>
    </row>
    <row r="105">
      <c r="A105" s="6" t="inlineStr">
        <is>
          <t>Q1 FY2027 domestic small car volume growth</t>
        </is>
      </c>
      <c r="B105" s="22" t="n">
        <v>0.341</v>
      </c>
    </row>
    <row r="106">
      <c r="A106" s="6" t="inlineStr">
        <is>
          <t>Q1 FY2027 revenue growth</t>
        </is>
      </c>
      <c r="B106" s="22" t="n">
        <v>0.359</v>
      </c>
    </row>
    <row r="107">
      <c r="A107" s="6" t="inlineStr">
        <is>
          <t>Growth this model assumes for the remaining nine months of FY2027</t>
        </is>
      </c>
      <c r="B107" s="22" t="n">
        <v>0.13</v>
      </c>
    </row>
    <row r="108"/>
    <row r="109">
      <c r="A109" s="25" t="inlineStr">
        <is>
          <t>The rate cut took effect on 22 September 2025. The June 2026 quarter therefore compares against a pre-cut base and</t>
        </is>
      </c>
    </row>
    <row r="110">
      <c r="A110" s="25" t="inlineStr">
        <is>
          <t>flatters growth. The September 2026 quarter laps it partially and the December 2026 quarter laps it fully. Our FY2027</t>
        </is>
      </c>
    </row>
    <row r="111">
      <c r="A111" s="25" t="inlineStr">
        <is>
          <t>revenue forecast of ₹2,16,000 crore assumes 13% growth across the remaining nine months against 35.9% in Q1 — the</t>
        </is>
      </c>
    </row>
    <row r="112">
      <c r="A112" s="25" t="inlineStr">
        <is>
          <t>deceleration is deliberate and is the arithmetic of the base effect, not a demand call.</t>
        </is>
      </c>
    </row>
  </sheetData>
  <pageMargins left="0.3" right="0.3" top="0.4" bottom="0.4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Debjit Mukherjee</dc:creator>
  <dc:title xmlns:dc="http://purl.org/dc/elements/1.1/">Maruti Suzuki India (MARUTI) — Financial Model</dc:title>
  <dc:description xmlns:dc="http://purl.org/dc/elements/1.1/">DCF, normalised P/E and EV/EBITDA. Figures as at 18 August 2026.</dc:description>
  <dcterms:created xmlns:dcterms="http://purl.org/dc/terms/" xmlns:xsi="http://www.w3.org/2001/XMLSchema-instance" xsi:type="dcterms:W3CDTF">2026-08-20T05:10:37Z</dcterms:created>
  <dcterms:modified xmlns:dcterms="http://purl.org/dc/terms/" xmlns:xsi="http://www.w3.org/2001/XMLSchema-instance" xsi:type="dcterms:W3CDTF">2026-08-21T15:56:16Z</dcterms:modified>
  <cp:lastModifiedBy>Debjit Mukherjee</cp:lastModifiedBy>
  <cp:category>Equity Research</cp:category>
</cp:coreProperties>
</file>