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eal Terms" sheetId="2" state="visible" r:id="rId4"/>
    <sheet name="Target Standalone" sheetId="3" state="visible" r:id="rId5"/>
    <sheet name="Acquirer Standalone" sheetId="4" state="visible" r:id="rId6"/>
    <sheet name="Premium &amp; Precedents" sheetId="5" state="visible" r:id="rId7"/>
    <sheet name="Synergies" sheetId="6" state="visible" r:id="rId8"/>
    <sheet name="Accretion-Dilution" sheetId="7" state="visible" r:id="rId9"/>
    <sheet name="Pro Forma" sheetId="8" state="visible" r:id="rId10"/>
    <sheet name="Spread &amp; Odds" sheetId="9" state="visible" r:id="rId11"/>
    <sheet name="Valuation &amp; Verdict" sheetId="10" state="visible" r:id="rId12"/>
    <sheet name="Sensitivities" sheetId="11" state="visible" r:id="rId13"/>
    <sheet name="Evide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<sst xmlns="http://schemas.openxmlformats.org/spreadsheetml/2006/main" count="528" uniqueCount="497">
  <si>
    <t xml:space="preserve">DEAL DECODED #2 · SUN PHARMA / ORGANON</t>
  </si>
  <si>
    <t xml:space="preserve">Outside-in analysis from public filings. Debjit Mukherjee, IB Independent. Market data to 28-Oct-2026. Live deal — not investment advice.</t>
  </si>
  <si>
    <t xml:space="preserve">HEADLINE OUTPUTS</t>
  </si>
  <si>
    <t xml:space="preserve">Offer per share ($)</t>
  </si>
  <si>
    <t xml:space="preserve">Equity value ($m)</t>
  </si>
  <si>
    <t xml:space="preserve">Enterprise value, headline ($m)</t>
  </si>
  <si>
    <t xml:space="preserve">Premium to unaffected</t>
  </si>
  <si>
    <t xml:space="preserve">EV / LTM adjusted EBITDA</t>
  </si>
  <si>
    <t xml:space="preserve">Premium paid ($m)</t>
  </si>
  <si>
    <t xml:space="preserve">PV of synergies, net of cost to achieve ($m)</t>
  </si>
  <si>
    <t xml:space="preserve">Premium ÷ PV of synergies</t>
  </si>
  <si>
    <t xml:space="preserve">Standalone value per share, desk DCF ($)</t>
  </si>
  <si>
    <t xml:space="preserve">Value to Sun incl. synergies, per share ($)</t>
  </si>
  <si>
    <t xml:space="preserve">NPV to Sun shareholders ($m)</t>
  </si>
  <si>
    <t xml:space="preserve">Share of Sun's guide needed to break even</t>
  </si>
  <si>
    <t xml:space="preserve">EPS accretion FY2028E, reported basis</t>
  </si>
  <si>
    <t xml:space="preserve">Pro forma net debt / EBITDA</t>
  </si>
  <si>
    <t xml:space="preserve">Annualised arbitrage spread</t>
  </si>
  <si>
    <t xml:space="preserve">Implied probability of closing</t>
  </si>
  <si>
    <t xml:space="preserve">CHECKS (ALL MUST READ PASS)</t>
  </si>
  <si>
    <t xml:space="preserve">Equity value within 0.5% of Sun's stated $3.99bn</t>
  </si>
  <si>
    <t xml:space="preserve">Premium to unaffected matches the proxy's ~103%</t>
  </si>
  <si>
    <t xml:space="preserve">Pro forma leverage within 0.3x of Sun's stated 2.3x</t>
  </si>
  <si>
    <t xml:space="preserve">Acquisition debt within the $12bn bridge</t>
  </si>
  <si>
    <t xml:space="preserve">DCF reproduces Morgan Stanley's range within ±5% at each end</t>
  </si>
  <si>
    <t xml:space="preserve">Sensitivity grids tie to their source sheets</t>
  </si>
  <si>
    <t xml:space="preserve">TAB MAP</t>
  </si>
  <si>
    <t xml:space="preserve">Deal Terms — snapshot, price arithmetic, the auction</t>
  </si>
  <si>
    <t xml:space="preserve">Target Standalone — history, balance sheet, management projections</t>
  </si>
  <si>
    <t xml:space="preserve">Acquirer Standalone — Sun Pharma</t>
  </si>
  <si>
    <t xml:space="preserve">Premium &amp; Precedents — what was paid; Morgan Stanley's ranges</t>
  </si>
  <si>
    <t xml:space="preserve">Synergies — PV and the share paid away</t>
  </si>
  <si>
    <t xml:space="preserve">Accretion-Dilution — EPS, the bridge to the Sun note, ROIC</t>
  </si>
  <si>
    <t xml:space="preserve">Pro Forma — sources &amp; uses, leverage</t>
  </si>
  <si>
    <t xml:space="preserve">Spread &amp; Odds — the live arbitrage</t>
  </si>
  <si>
    <t xml:space="preserve">Valuation &amp; Verdict — DCF reconciled to Morgan Stanley, value to Sun, verdict</t>
  </si>
  <si>
    <t xml:space="preserve">Sensitivities — five grids</t>
  </si>
  <si>
    <t xml:space="preserve">Evidence — sources</t>
  </si>
  <si>
    <t xml:space="preserve">Sun Pharma / Organon — Deal Terms</t>
  </si>
  <si>
    <t xml:space="preserve">Source: Organon DEFM14A (17-Jun-2026), 8-Ks, Q2 2026 10-Q; Sun Pharma release and investor call (27-Apr-2026). US$ millions unless stated. Blue = input, black = formula, green = cross-sheet link.</t>
  </si>
  <si>
    <t xml:space="preserve">DEAL SNAPSHOT</t>
  </si>
  <si>
    <t xml:space="preserve">Acquirer</t>
  </si>
  <si>
    <t xml:space="preserve">Sun Pharmaceutical Industries Ltd, via Sun Pharmaceutical Holdings USA, Inc.</t>
  </si>
  <si>
    <t xml:space="preserve">Target</t>
  </si>
  <si>
    <t xml:space="preserve">Organon &amp; Co. (NYSE: OGN) — women's health, biosimilars, established brands; spun off from Merck in June 2021</t>
  </si>
  <si>
    <t xml:space="preserve">Signed / announced</t>
  </si>
  <si>
    <t xml:space="preserve">26-Apr-2026 (signed) / announced before the Indian open, 27-Apr-2026</t>
  </si>
  <si>
    <t xml:space="preserve">Consideration</t>
  </si>
  <si>
    <t xml:space="preserve">All cash, $14.00 per Organon share; no financing condition</t>
  </si>
  <si>
    <t xml:space="preserve">Organon stockholder vote</t>
  </si>
  <si>
    <t xml:space="preserve">Approved 23-Jul-2026 (special meeting)</t>
  </si>
  <si>
    <t xml:space="preserve">Expected close</t>
  </si>
  <si>
    <t xml:space="preserve">'Early 2027' (Organon 10-Q, 31-Jul-2026); Sun said 6–9 months on 27-Apr-2026</t>
  </si>
  <si>
    <t xml:space="preserve">Outside date</t>
  </si>
  <si>
    <t xml:space="preserve">26-Jan-2027, extendable by either party to 26-Apr-2027</t>
  </si>
  <si>
    <t xml:space="preserve">Approvals outstanding</t>
  </si>
  <si>
    <t xml:space="preserve">Non-US antitrust, foreign direct investment and EU Foreign Subsidies Regulation clearances. HSR filed 21-May-2026, waiting period scheduled to expire 22-Jun-2026 (no later filing mentions HSR). Sun also has Indian overseas-investment filings to make. Australia (ACCC MN-35035): notified 22-Oct-2026, Phase 1 ends 3-Dec-2026; Sun has offered to license its generic ganirelix in Australia to Ferring</t>
  </si>
  <si>
    <t xml:space="preserve">Organon advisers</t>
  </si>
  <si>
    <t xml:space="preserve">Morgan Stanley (fairness opinion; fee ~$39.4m, $35.4m contingent on closing); Goldman Sachs (other alternatives); Sullivan &amp; Cromwell</t>
  </si>
  <si>
    <t xml:space="preserve">Sun advisers</t>
  </si>
  <si>
    <t xml:space="preserve">J.P. Morgan, Jefferies; White &amp; Case, AZB &amp; Partners</t>
  </si>
  <si>
    <t xml:space="preserve">Financing</t>
  </si>
  <si>
    <t xml:space="preserve">Committed senior secured bridge up to $12bn (Citi, JPMorgan, MUFG lead); Sun cash $2.0–2.5bn; $1bn Sun funding commitment and affiliate guarantees</t>
  </si>
  <si>
    <t xml:space="preserve">Termination fee (Organon pays)</t>
  </si>
  <si>
    <t xml:space="preserve">$120m in specified circumstances; no reverse termination fee in the signed agreement</t>
  </si>
  <si>
    <t xml:space="preserve">Stated rationale</t>
  </si>
  <si>
    <t xml:space="preserve">'a stronger and more diversified platform' (D. Shanghvi); 'a logical next step in strengthening Sun Pharma's global business' (K. Ganorkar)</t>
  </si>
  <si>
    <t xml:space="preserve">PRICE ARITHMETIC</t>
  </si>
  <si>
    <t xml:space="preserve">Offer price per share ($)</t>
  </si>
  <si>
    <t xml:space="preserve">Fully diluted shares, 24-Apr-2026, treasury method (m)</t>
  </si>
  <si>
    <t xml:space="preserve">EQUITY VALUE ($m)</t>
  </si>
  <si>
    <t xml:space="preserve">  Sun's stated equity value on the call ($m) — check</t>
  </si>
  <si>
    <t xml:space="preserve">  Difference vs stated (must be within 0.5%)</t>
  </si>
  <si>
    <t xml:space="preserve">Net debt, 31-Mar-2026, per the proxy ($m)</t>
  </si>
  <si>
    <t xml:space="preserve">ENTERPRISE VALUE, proxy basis ($m)</t>
  </si>
  <si>
    <t xml:space="preserve">Headline enterprise value in the release ($m)</t>
  </si>
  <si>
    <t xml:space="preserve">  Headline less proxy-basis EV ($m) — other debt-like items and timing</t>
  </si>
  <si>
    <t xml:space="preserve">Termination fee ($m)</t>
  </si>
  <si>
    <t xml:space="preserve">  as % of equity value</t>
  </si>
  <si>
    <t xml:space="preserve">Shares outstanding at the record date, 15-Jun-2026 (m)</t>
  </si>
  <si>
    <t xml:space="preserve">  Dilutive equity awards implied (fully diluted less basic, m)</t>
  </si>
  <si>
    <t xml:space="preserve">THE AUCTION — EVERY PRICE IN THE PROXY'S BACKGROUND SECTION</t>
  </si>
  <si>
    <t xml:space="preserve">Date</t>
  </si>
  <si>
    <t xml:space="preserve">Bidder</t>
  </si>
  <si>
    <t xml:space="preserve">Proposal</t>
  </si>
  <si>
    <t xml:space="preserve">Low ($)</t>
  </si>
  <si>
    <t xml:space="preserve">High ($)</t>
  </si>
  <si>
    <t xml:space="preserve">OGN close that day ($)</t>
  </si>
  <si>
    <t xml:space="preserve">Mid premium to that close</t>
  </si>
  <si>
    <t xml:space="preserve">31-Oct-2025</t>
  </si>
  <si>
    <t xml:space="preserve">Party B (private healthcare holdco)</t>
  </si>
  <si>
    <t xml:space="preserve">US business only, $3.3bn</t>
  </si>
  <si>
    <t xml:space="preserve">08-Dec-2025</t>
  </si>
  <si>
    <t xml:space="preserve">Party B</t>
  </si>
  <si>
    <t xml:space="preserve">100% of Organon</t>
  </si>
  <si>
    <t xml:space="preserve">17-Dec-2025</t>
  </si>
  <si>
    <t xml:space="preserve">Sun Pharma</t>
  </si>
  <si>
    <t xml:space="preserve">First price range</t>
  </si>
  <si>
    <t xml:space="preserve">27-Jan-2026</t>
  </si>
  <si>
    <t xml:space="preserve">Revised</t>
  </si>
  <si>
    <t xml:space="preserve">29-Jan-2026</t>
  </si>
  <si>
    <t xml:space="preserve">Revised IOI — rejected by the Board</t>
  </si>
  <si>
    <t xml:space="preserve">18-Feb-2026</t>
  </si>
  <si>
    <t xml:space="preserve">Party D (financial sponsor)</t>
  </si>
  <si>
    <t xml:space="preserve">IOI</t>
  </si>
  <si>
    <t xml:space="preserve">02-Mar-2026</t>
  </si>
  <si>
    <t xml:space="preserve">Party C (European pharma)</t>
  </si>
  <si>
    <t xml:space="preserve">Offer</t>
  </si>
  <si>
    <t xml:space="preserve">09-Mar-2026</t>
  </si>
  <si>
    <t xml:space="preserve">Party D</t>
  </si>
  <si>
    <t xml:space="preserve">Non-binding offer; no final bid</t>
  </si>
  <si>
    <t xml:space="preserve">13-Mar-2026</t>
  </si>
  <si>
    <t xml:space="preserve">Party C</t>
  </si>
  <si>
    <t xml:space="preserve">Revised; could not finance a final bid</t>
  </si>
  <si>
    <t xml:space="preserve">22-Apr-2026</t>
  </si>
  <si>
    <t xml:space="preserve">Final bid — 'best and final'; Organon asked for $14.50</t>
  </si>
  <si>
    <t xml:space="preserve">OGN closes from NYSE. Sun's first range (Dec-2025) topped out at the price it finally paid: $14.00 was the top of its own opening range. Sun asked for exclusivity on 24-Apr-2026; none was agreed.</t>
  </si>
  <si>
    <t xml:space="preserve">Final price ÷ Sun's opening-range midpoint</t>
  </si>
  <si>
    <t xml:space="preserve">Final price ÷ best rival indication (Party C $13.00 firm)</t>
  </si>
  <si>
    <t xml:space="preserve">Organon (target) — standalone history and management projections</t>
  </si>
  <si>
    <t xml:space="preserve">Source: Organon 10-K FY2025, Q4 2025 results release (12-Feb-2026), Q2 2026 10-Q, DEFM14A 'Organon Projections' (prepared March 2026). US$ millions.</t>
  </si>
  <si>
    <t xml:space="preserve">HISTORY (US GAAP, FISCAL YEARS TO DECEMBER)</t>
  </si>
  <si>
    <t xml:space="preserve">FY2023</t>
  </si>
  <si>
    <t xml:space="preserve">FY2024</t>
  </si>
  <si>
    <t xml:space="preserve">FY2025</t>
  </si>
  <si>
    <t xml:space="preserve">Revenue</t>
  </si>
  <si>
    <t xml:space="preserve">Cost of sales</t>
  </si>
  <si>
    <t xml:space="preserve">Gross profit</t>
  </si>
  <si>
    <t xml:space="preserve">SG&amp;A</t>
  </si>
  <si>
    <t xml:space="preserve">R&amp;D</t>
  </si>
  <si>
    <t xml:space="preserve">Interest expense</t>
  </si>
  <si>
    <t xml:space="preserve">Net income</t>
  </si>
  <si>
    <t xml:space="preserve">Diluted EPS ($)</t>
  </si>
  <si>
    <t xml:space="preserve">Adjusted EBITDA (company, non-GAAP)</t>
  </si>
  <si>
    <t xml:space="preserve">Depreciation</t>
  </si>
  <si>
    <t xml:space="preserve">Amortisation</t>
  </si>
  <si>
    <t xml:space="preserve">Cash from operations</t>
  </si>
  <si>
    <t xml:space="preserve">Capital expenditure</t>
  </si>
  <si>
    <t xml:space="preserve">Nexplanon/Implanon NXT revenue</t>
  </si>
  <si>
    <t xml:space="preserve">Free cash flow (CFO less capex)</t>
  </si>
  <si>
    <t xml:space="preserve">Adjusted EBITDA margin</t>
  </si>
  <si>
    <t xml:space="preserve">Nexplanon share of revenue</t>
  </si>
  <si>
    <t xml:space="preserve">Revenue growth</t>
  </si>
  <si>
    <t xml:space="preserve">FY2025 net income includes a $301m goodwill impairment. Nexplanon: US rod patents expire 2027 and 2030; a Paragraph IV filer (Xiromed) was sued in April 2025; the SEC has opened an investigation into the wholesaler sales-practices matter.</t>
  </si>
  <si>
    <t xml:space="preserve">BALANCE SHEET, 30-JUN-2026 (10-Q)</t>
  </si>
  <si>
    <t xml:space="preserve">Cash and cash equivalents</t>
  </si>
  <si>
    <t xml:space="preserve">Total principal debt</t>
  </si>
  <si>
    <t xml:space="preserve">Net debt, 30-Jun-2026</t>
  </si>
  <si>
    <t xml:space="preserve">Goodwill</t>
  </si>
  <si>
    <t xml:space="preserve">Intangibles, net</t>
  </si>
  <si>
    <t xml:space="preserve">Total stockholders' equity</t>
  </si>
  <si>
    <t xml:space="preserve">Weighted-average interest rate on borrowings</t>
  </si>
  <si>
    <t xml:space="preserve">Average debt maturity (years)</t>
  </si>
  <si>
    <t xml:space="preserve">MANAGEMENT PROJECTIONS (THE 'ORGANON PROJECTIONS', DEFM14A p.64) — the case the seller's banker valued</t>
  </si>
  <si>
    <t xml:space="preserve">Q2'26E</t>
  </si>
  <si>
    <t xml:space="preserve">Q3'26E</t>
  </si>
  <si>
    <t xml:space="preserve">Q4'26E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</si>
  <si>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</si>
  <si>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</si>
  <si>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</si>
  <si>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</si>
  <si>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</si>
  <si>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Adjusted EBITDA</t>
  </si>
  <si>
    <t xml:space="preserve">Unlevered free cash flow</t>
  </si>
  <si>
    <t xml:space="preserve">UFCF / Adjusted EBITDA (cash conversion)</t>
  </si>
  <si>
    <t xml:space="preserve">Revenue CAGR 2026E–2030E</t>
  </si>
  <si>
    <t xml:space="preserve">LTM adjusted EBITDA to 31-Mar-2026, ex one-off (proxy)</t>
  </si>
  <si>
    <t xml:space="preserve">UFCF is after one-time Merck supply-exit costs, restructuring and business-development payments, which is why 2026E and 2030E dip. The desk builds a clean terminal cash flow from 2030E EBITDA (Valuation &amp; Verdict), which reproduces Morgan Stanley's DCF range.</t>
  </si>
  <si>
    <t xml:space="preserve">Sun Pharma (acquirer) — standalone</t>
  </si>
  <si>
    <t xml:space="preserve">Source: desk Sun Pharma model (COVERAGE/SUN PHARMA, published 07-Sep-2026, built from company filings); prices NSE close 28-Oct-2026; Sun investor call 27-Apr-2026.</t>
  </si>
  <si>
    <t xml:space="preserve">Share price, 28-Oct-2026 (Rs)</t>
  </si>
  <si>
    <t xml:space="preserve">Shares outstanding (crore)</t>
  </si>
  <si>
    <t xml:space="preserve">Market capitalisation (Rs crore)</t>
  </si>
  <si>
    <t xml:space="preserve">FY2026 EPS (Rs)</t>
  </si>
  <si>
    <t xml:space="preserve">TTM revenue (Rs crore)</t>
  </si>
  <si>
    <t xml:space="preserve">TTM net profit (Rs crore)</t>
  </si>
  <si>
    <t xml:space="preserve">Net cash before the deal (Rs crore)</t>
  </si>
  <si>
    <t xml:space="preserve">  of which investments / treasury (Rs crore)</t>
  </si>
  <si>
    <t xml:space="preserve">  of which borrowings (Rs crore)</t>
  </si>
  <si>
    <t xml:space="preserve">Standalone EBITDA, FY2027E (Rs crore, desk)</t>
  </si>
  <si>
    <t xml:space="preserve">Standalone EPS FY2028E (Rs, desk)</t>
  </si>
  <si>
    <t xml:space="preserve">Standalone EPS FY2029E (Rs, desk)</t>
  </si>
  <si>
    <t xml:space="preserve">Standalone EPS FY2030E (Rs, desk)</t>
  </si>
  <si>
    <t xml:space="preserve">Trailing P/E (x)</t>
  </si>
  <si>
    <t xml:space="preserve">USD/INR, 28-Oct-2026</t>
  </si>
  <si>
    <t xml:space="preserve">USD/INR, 27-Apr-2026 (announcement)</t>
  </si>
  <si>
    <t xml:space="preserve">Deal cost in rupees at signing FX (Rs crore)</t>
  </si>
  <si>
    <t xml:space="preserve">Deal cost in rupees at today's FX (Rs crore)</t>
  </si>
  <si>
    <t xml:space="preserve">Rupee cost added by currency since signing (Rs crore)</t>
  </si>
  <si>
    <t xml:space="preserve">Sun's financial year ends 31 March, so Organon's calendar 2027 sits almost exactly in Sun's FY2028 — the first full year of ownership.</t>
  </si>
  <si>
    <t xml:space="preserve">What was paid — premium, implied multiples, precedents</t>
  </si>
  <si>
    <t xml:space="preserve">Source: DEFM14A (premia, Morgan Stanley reference ranges), NYSE closes; multiples computed here on the proxy-basis EV.</t>
  </si>
  <si>
    <t xml:space="preserve">PREMIUM</t>
  </si>
  <si>
    <t xml:space="preserve">Offer price ($)</t>
  </si>
  <si>
    <t xml:space="preserve">Unaffected close, 9-Apr-2026 — the proxy's unaffected date (a 19-Jan-2026 press report preceded it) ($)</t>
  </si>
  <si>
    <t xml:space="preserve">PREMIUM TO UNAFFECTED</t>
  </si>
  <si>
    <t xml:space="preserve">  Proxy states ~103% — check (difference)</t>
  </si>
  <si>
    <t xml:space="preserve">Close 23-Apr-2026 (after the first leak, before the $13bn report) ($)</t>
  </si>
  <si>
    <t xml:space="preserve">Premium to 23-Apr-2026 close</t>
  </si>
  <si>
    <t xml:space="preserve">Premium to 30-day VWAP through the unaffected date (proxy)</t>
  </si>
  <si>
    <t xml:space="preserve">Premium to close on 24-Oct-2025, before the CEO change and sales-practices announcement (proxy)</t>
  </si>
  <si>
    <t xml:space="preserve">52-week intraday high before the unaffected date ($)</t>
  </si>
  <si>
    <t xml:space="preserve">Premium to 52-week high</t>
  </si>
  <si>
    <t xml:space="preserve">Unaffected equity value ($m)</t>
  </si>
  <si>
    <t xml:space="preserve">PREMIUM PAID IN DOLLARS (equity value less unaffected)</t>
  </si>
  <si>
    <t xml:space="preserve">IMPLIED MULTIPLES (proxy-basis EV)</t>
  </si>
  <si>
    <t xml:space="preserve">EV / LTM adjusted EBITDA (31-Mar-2026)</t>
  </si>
  <si>
    <t xml:space="preserve">EV / 2026E adjusted EBITDA</t>
  </si>
  <si>
    <t xml:space="preserve">EV / 2027E adjusted EBITDA</t>
  </si>
  <si>
    <t xml:space="preserve">EV / FY2025 revenue</t>
  </si>
  <si>
    <t xml:space="preserve">Price / FY2025 adjusted EPS ($3.66)</t>
  </si>
  <si>
    <t xml:space="preserve">Price / book (30-Jun-2026 equity)</t>
  </si>
  <si>
    <t xml:space="preserve">Unaffected EV / 2026E adjusted EBITDA (what the market paid)</t>
  </si>
  <si>
    <t xml:space="preserve">Equity as % of EV — the leverage the buyer takes on</t>
  </si>
  <si>
    <t xml:space="preserve">MORGAN STANLEY'S REFERENCE RANGES vs $14.00 (DEFM14A pp.59–62)</t>
  </si>
  <si>
    <t xml:space="preserve">Method</t>
  </si>
  <si>
    <t xml:space="preserve">Basis</t>
  </si>
  <si>
    <t xml:space="preserve">$14 vs high</t>
  </si>
  <si>
    <t xml:space="preserve">DCF — the only analysis used for the opinion</t>
  </si>
  <si>
    <t xml:space="preserve">WACC 10.2–10.9%, perpetual growth −2% to 0%, mid-year</t>
  </si>
  <si>
    <t xml:space="preserve">Trading comparables (Bausch Health, Viatris) — reference only</t>
  </si>
  <si>
    <t xml:space="preserve">5.1–6.9x 2026E adjusted EBITDA</t>
  </si>
  <si>
    <t xml:space="preserve">Morgan Stanley's two precedents — reference only</t>
  </si>
  <si>
    <t xml:space="preserve">6.2–6.5x LTM EBITDA (Mallinckrodt/Endo 2025; Upjohn/Mylan 2019, a stock combination)</t>
  </si>
  <si>
    <t xml:space="preserve">Morgan Stanley premia study, all-cash deals $1–15bn since 2020 — reference only</t>
  </si>
  <si>
    <t xml:space="preserve">24%–67% (25th–75th pct) on the $6.91 unaffected close</t>
  </si>
  <si>
    <t xml:space="preserve">Analyst price targets, discounted 1 year at 12.7%</t>
  </si>
  <si>
    <t xml:space="preserve">undiscounted range $5.00–12.00</t>
  </si>
  <si>
    <t xml:space="preserve">52-week trading range to the unaffected date</t>
  </si>
  <si>
    <t xml:space="preserve">intraday</t>
  </si>
  <si>
    <t xml:space="preserve">Premium to unaffected vs the 75th percentile of Morgan Stanley's premia study, in points</t>
  </si>
  <si>
    <t xml:space="preserve">EV/LTM EBITDA vs the midpoint of Morgan Stanley's two precedents</t>
  </si>
  <si>
    <t xml:space="preserve">Two lenses, two answers: on multiples the price is ordinary (6.3x LTM EBITDA, inside the two precedents); on the share price it is extraordinary (+103%, 36 points above the 75th-percentile premium). The gap is the leverage: equity is a third of EV, so a move of about 1.1 turns of LTM EBITDA (unaffected to offer) doubles the equity.</t>
  </si>
  <si>
    <t xml:space="preserve">Synergies — what Sun guided, what it is worth, how much was paid away</t>
  </si>
  <si>
    <t xml:space="preserve">Source: Sun investor call 27-Apr-2026 (CFO J. Satagopan: '$350 million … purely on the cost front', 'next two to four years'); Organon 8-K 17-Jul-2026 (seller's preliminary estimate ~$700m). Phasing, cost to achieve and discount rate are desk assumptions (blue).</t>
  </si>
  <si>
    <t xml:space="preserve">THE PRICE</t>
  </si>
  <si>
    <t xml:space="preserve">Headline EV paid ($m)</t>
  </si>
  <si>
    <t xml:space="preserve">Premium paid over unaffected ($m)</t>
  </si>
  <si>
    <t xml:space="preserve">SYNERGY ASSUMPTIONS</t>
  </si>
  <si>
    <t xml:space="preserve">Run-rate pre-tax cost synergies guided by Sun ($m)</t>
  </si>
  <si>
    <t xml:space="preserve">Share of Sun's guide delivered (base)</t>
  </si>
  <si>
    <t xml:space="preserve">Tax rate</t>
  </si>
  <si>
    <t xml:space="preserve">One-off cost to achieve, multiple of the guided run-rate (desk; not disclosed)</t>
  </si>
  <si>
    <t xml:space="preserve">Discount rate (desk base = Organon's risk: midpoint of Morgan Stanley's 10.2–10.9%)</t>
  </si>
  <si>
    <t xml:space="preserve">Perpetual growth of synergies after 2030</t>
  </si>
  <si>
    <t xml:space="preserve">Memo: Organon's own preliminary cost-synergy estimate shown to Sun, 22-Jan-2026 ($m)</t>
  </si>
  <si>
    <t xml:space="preserve">Years from 31-Mar-2026 (mid-period)</t>
  </si>
  <si>
    <t xml:space="preserve">Phase-in of run-rate (closing early 2027)</t>
  </si>
  <si>
    <t xml:space="preserve">Cost to achieve, share spent</t>
  </si>
  <si>
    <t xml:space="preserve">After-tax synergies delivered ($m)</t>
  </si>
  <si>
    <t xml:space="preserve">After-tax cost to achieve ($m) — fixed, does not shrink with delivery</t>
  </si>
  <si>
    <t xml:space="preserve">Discount factor</t>
  </si>
  <si>
    <t xml:space="preserve">PV of synergies ($m)</t>
  </si>
  <si>
    <t xml:space="preserve">PV of cost to achieve ($m)</t>
  </si>
  <si>
    <t xml:space="preserve">PV of terminal synergies (mid-year convention, 4.25 years) ($m)</t>
  </si>
  <si>
    <t xml:space="preserve">PRESENT VALUE OF SYNERGIES, NET OF COST TO ACHIEVE ($m)</t>
  </si>
  <si>
    <t xml:space="preserve">PV of gross synergies per 100% of Sun's guide ($m)</t>
  </si>
  <si>
    <t xml:space="preserve">Premium paid ÷ PV of synergies — share of the synergies handed to Organon holders</t>
  </si>
  <si>
    <t xml:space="preserve">Share of Sun's guide needed to earn back the premium</t>
  </si>
  <si>
    <t xml:space="preserve">Share of synergy PV that sits in the terminal value</t>
  </si>
  <si>
    <t xml:space="preserve">Memo: run-rate after tax capitalised at a multiple (cross-check only)</t>
  </si>
  <si>
    <t xml:space="preserve">Sun guided $350m and did not quantify revenue synergies, so none are valued. The seller's preliminary estimate was about $700m (Organon 8-K, 17-Jul-2026) — the upside case in Sensitivities grid 2 (200% row).</t>
  </si>
  <si>
    <t xml:space="preserve">EPS accretion for Sun — on management's projections</t>
  </si>
  <si>
    <t xml:space="preserve">Year 1 = Sun FY2028 (April 2027 – March 2028), which is almost exactly Organon's calendar 2027. Debt held flat (no paydown) — conservative for years 2–3. US$ millions unless stated.</t>
  </si>
  <si>
    <t xml:space="preserve">FINANCING</t>
  </si>
  <si>
    <t xml:space="preserve">Uses: equity purchase ($m)</t>
  </si>
  <si>
    <t xml:space="preserve">Uses: Organon debt refinanced at change of control ($m, carrying value; face ~$8.6bn)</t>
  </si>
  <si>
    <t xml:space="preserve">Uses: fees and expenses (desk, ~1.3% of EV)</t>
  </si>
  <si>
    <t xml:space="preserve">TOTAL USES ($m)</t>
  </si>
  <si>
    <t xml:space="preserve">Sources: Sun cash (midpoint of $2.0–2.5bn guided)</t>
  </si>
  <si>
    <t xml:space="preserve">Sources: new acquisition debt (balancing) ($m)</t>
  </si>
  <si>
    <t xml:space="preserve">Committed bridge ($m)</t>
  </si>
  <si>
    <t xml:space="preserve">Pre-tax cost of acquisition debt (desk; Sun's new debt pricing not disclosed — Organon's existing debt costs ~5.5% per Sun's CFO)</t>
  </si>
  <si>
    <t xml:space="preserve">Pre-tax yield lost on Sun cash used (desk, rupee treasury)</t>
  </si>
  <si>
    <t xml:space="preserve">Organon depreciation + existing amortisation ($m, FY2025 run-rate)</t>
  </si>
  <si>
    <t xml:space="preserve">Extra amortisation from purchase-price allocation (desk, illustrative midpoint of $400–600m)</t>
  </si>
  <si>
    <t xml:space="preserve">USD/INR</t>
  </si>
  <si>
    <t xml:space="preserve">FY2028E</t>
  </si>
  <si>
    <t xml:space="preserve">FY2029E</t>
  </si>
  <si>
    <t xml:space="preserve">FY2030E</t>
  </si>
  <si>
    <t xml:space="preserve">Organon adjusted EBITDA (management: CY2027E–CY2029E)</t>
  </si>
  <si>
    <t xml:space="preserve">Synergies realised, pre-tax</t>
  </si>
  <si>
    <t xml:space="preserve">less: one-off cost to achieve, pre-tax</t>
  </si>
  <si>
    <t xml:space="preserve">less: D&amp;A (existing)</t>
  </si>
  <si>
    <t xml:space="preserve">less: interest on acquisition debt</t>
  </si>
  <si>
    <t xml:space="preserve">less: income lost on Sun cash</t>
  </si>
  <si>
    <t xml:space="preserve">less: PPA amortisation (illustrative)</t>
  </si>
  <si>
    <t xml:space="preserve">Pre-tax contribution, reported basis ($m)</t>
  </si>
  <si>
    <t xml:space="preserve">After-tax contribution ($m)</t>
  </si>
  <si>
    <t xml:space="preserve">  per Sun share (Rs)</t>
  </si>
  <si>
    <t xml:space="preserve">Sun standalone EPS (Rs, desk)</t>
  </si>
  <si>
    <t xml:space="preserve">Pro forma EPS, reported basis (Rs)</t>
  </si>
  <si>
    <t xml:space="preserve">EPS ACCRETION, REPORTED BASIS (after integration cost and PPA)</t>
  </si>
  <si>
    <t xml:space="preserve">EPS accretion before PPA and integration cost (cash EPS)</t>
  </si>
  <si>
    <t xml:space="preserve">EPS accretion with zero synergies and no integration cost (PPA kept)</t>
  </si>
  <si>
    <t xml:space="preserve">BRIDGE TO THE 7-SEP SUN PHARMA NOTE (FY2028E, cash EPS)</t>
  </si>
  <si>
    <t xml:space="preserve">This model, cash EPS (management case, 100% synergies, today's FX)</t>
  </si>
  <si>
    <t xml:space="preserve">  with 50% of the synergies (the Sun note's assumption)</t>
  </si>
  <si>
    <t xml:space="preserve">  … and at the Sun note's FX</t>
  </si>
  <si>
    <t xml:space="preserve">Sun note (7-Sep-2026): accretion carried</t>
  </si>
  <si>
    <t xml:space="preserve">  Residual: other differences in the Sun note's build (not reconciled line by line)</t>
  </si>
  <si>
    <t xml:space="preserve">RETURN ON THE MONEY — ROIC vs COST OF CAPITAL</t>
  </si>
  <si>
    <t xml:space="preserve">Total price paid (headline EV + fees) ($m)</t>
  </si>
  <si>
    <t xml:space="preserve">NOPAT FY2028E incl. synergies, before PPA ($m)</t>
  </si>
  <si>
    <t xml:space="preserve">ROIC, year 1</t>
  </si>
  <si>
    <t xml:space="preserve">ROIC, FY2030E (full synergies)</t>
  </si>
  <si>
    <t xml:space="preserve">Cost of capital (desk, Organon's risk)</t>
  </si>
  <si>
    <t xml:space="preserve">After-tax cost of the acquisition debt</t>
  </si>
  <si>
    <t xml:space="preserve">EBITDA yield bought (2027E EBITDA ÷ headline EV + fees)</t>
  </si>
  <si>
    <t xml:space="preserve">Why it is so accretive: Sun buys a ~17% EBITDA yield with ~6.5% debt. Accretion is the spread between the two — it would be there for any cheap, levered, ex-growth asset. It is not evidence of value; the DCF on Valuation &amp; Verdict is.</t>
  </si>
  <si>
    <t xml:space="preserve">Sources &amp; uses, pro forma leverage</t>
  </si>
  <si>
    <t xml:space="preserve">US$ millions; rupee figures converted at the 28-Oct-2026 rate.</t>
  </si>
  <si>
    <t xml:space="preserve">Sources</t>
  </si>
  <si>
    <t xml:space="preserve">$m</t>
  </si>
  <si>
    <t xml:space="preserve">Uses</t>
  </si>
  <si>
    <t xml:space="preserve">Sun cash</t>
  </si>
  <si>
    <t xml:space="preserve">Organon equity at $14.00</t>
  </si>
  <si>
    <t xml:space="preserve">New acquisition debt</t>
  </si>
  <si>
    <t xml:space="preserve">Organon debt refinanced</t>
  </si>
  <si>
    <t xml:space="preserve">Fees and expenses</t>
  </si>
  <si>
    <t xml:space="preserve">TOTAL</t>
  </si>
  <si>
    <t xml:space="preserve">Acquisition debt headroom under the $12bn bridge ($m)</t>
  </si>
  <si>
    <t xml:space="preserve">PRO FORMA LEVERAGE AT CLOSE</t>
  </si>
  <si>
    <t xml:space="preserve">Acquisition debt ($m)</t>
  </si>
  <si>
    <t xml:space="preserve">Sun existing borrowings ($m)</t>
  </si>
  <si>
    <t xml:space="preserve">less: Sun treasury left after funding ($m)</t>
  </si>
  <si>
    <t xml:space="preserve">less: Organon cash, 30-Jun-2026 ($m)</t>
  </si>
  <si>
    <t xml:space="preserve">PRO FORMA NET DEBT ($m)</t>
  </si>
  <si>
    <t xml:space="preserve">Sun standalone EBITDA FY2027E ($m)</t>
  </si>
  <si>
    <t xml:space="preserve">Organon adjusted EBITDA 2026E ($m)</t>
  </si>
  <si>
    <t xml:space="preserve">NET DEBT / COMBINED EBITDA</t>
  </si>
  <si>
    <t xml:space="preserve">Sun's stated figure (investor call)</t>
  </si>
  <si>
    <t xml:space="preserve">Organon share of combined EBITDA</t>
  </si>
  <si>
    <t xml:space="preserve">A company with roughly Rs 20,000 crore of net cash moves to about 2.5x net debt to EBITDA, nearly half of the EBITDA coming from a business whose revenue management expects to fall after 2029.</t>
  </si>
  <si>
    <t xml:space="preserve">Live deal — merger-arbitrage spread and the odds the market is pricing</t>
  </si>
  <si>
    <t xml:space="preserve">Prices: NYSE close 28-Oct-2026. Expected close and break price are desk assumptions (blue). Refresh on the day of posting.</t>
  </si>
  <si>
    <t xml:space="preserve">OGN close, 28-Oct-2026 ($)</t>
  </si>
  <si>
    <t xml:space="preserve">Dividends expected before close ($, $0.02 quarterly)</t>
  </si>
  <si>
    <t xml:space="preserve">Gross spread ($)</t>
  </si>
  <si>
    <t xml:space="preserve">Gross spread (%)</t>
  </si>
  <si>
    <t xml:space="preserve">Valuation date</t>
  </si>
  <si>
    <t xml:space="preserve">Expected close (desk: the first outside date, 26-Jan-2027)</t>
  </si>
  <si>
    <t xml:space="preserve">Days to close</t>
  </si>
  <si>
    <t xml:space="preserve">ANNUALISED SPREAD</t>
  </si>
  <si>
    <t xml:space="preserve">US 3-month T-bill, 28-Oct-2026</t>
  </si>
  <si>
    <t xml:space="preserve">Excess over T-bills (points)</t>
  </si>
  <si>
    <t xml:space="preserve">Unaffected close ($)</t>
  </si>
  <si>
    <t xml:space="preserve">S&amp;P 500 change, 9-Apr to 28-Oct-2026</t>
  </si>
  <si>
    <t xml:space="preserve">&lt;- S&amp;P 500 on 28-Oct and 9-Apr-2026</t>
  </si>
  <si>
    <t xml:space="preserve">Break price if the deal fails, desk assumption: unaffected moved with the S&amp;P 500 ($)</t>
  </si>
  <si>
    <t xml:space="preserve">IMPLIED PROBABILITY OF CLOSING (risk-neutral, T-bill discounting)</t>
  </si>
  <si>
    <t xml:space="preserve">Downside if it breaks (%)</t>
  </si>
  <si>
    <t xml:space="preserve">Upside if it closes (%)</t>
  </si>
  <si>
    <t xml:space="preserve">Downside ÷ upside</t>
  </si>
  <si>
    <t xml:space="preserve">ANNUALISED SPREAD BY CLOSING DATE</t>
  </si>
  <si>
    <t xml:space="preserve">Closing date</t>
  </si>
  <si>
    <t xml:space="preserve">Days</t>
  </si>
  <si>
    <t xml:space="preserve">Annualised</t>
  </si>
  <si>
    <t xml:space="preserve">vs T-bill</t>
  </si>
  <si>
    <t xml:space="preserve">26-Jan-2027 — first outside date</t>
  </si>
  <si>
    <t xml:space="preserve">31-Mar-2027 — 'early 2027'</t>
  </si>
  <si>
    <t xml:space="preserve">26-Apr-2027 — extended outside date</t>
  </si>
  <si>
    <t xml:space="preserve">On our break-price assumption the market prices about a 98% chance of completion. The spread only beats T-bills comfortably if the deal closes by the January outside date; at an April close it earns about what cash does. About 2% to gain against roughly 43% to lose if regulators or financing fail.</t>
  </si>
  <si>
    <t xml:space="preserve">What it is worth, the market's verdict, and ours</t>
  </si>
  <si>
    <t xml:space="preserve">Standalone DCF on management's projections, rebuilt to reproduce Morgan Stanley's range; desk discount rate and terminal build in blue.</t>
  </si>
  <si>
    <t xml:space="preserve">STANDALONE DCF — ORGANON ON MANAGEMENT'S PROJECTIONS</t>
  </si>
  <si>
    <t xml:space="preserve">Discount rate for Organon (desk base = midpoint of Morgan Stanley's 10.2–10.9%)</t>
  </si>
  <si>
    <t xml:space="preserve">Perpetual growth after 2030 (Morgan Stanley range −2% to 0%)</t>
  </si>
  <si>
    <t xml:space="preserve">2030E adjusted EBITDA (management)</t>
  </si>
  <si>
    <t xml:space="preserve">less: stock-based compensation (FY2025)</t>
  </si>
  <si>
    <t xml:space="preserve">Depreciation (FY2025)</t>
  </si>
  <si>
    <t xml:space="preserve">less: tax at 25% on EBITDA less depreciation</t>
  </si>
  <si>
    <t xml:space="preserve">less: capital expenditure (FY2025)</t>
  </si>
  <si>
    <t xml:space="preserve">less: working-capital investment (flat revenue)</t>
  </si>
  <si>
    <t xml:space="preserve">TERMINAL FREE CASH FLOW, clean (no one-off costs) ($m)</t>
  </si>
  <si>
    <t xml:space="preserve">Memo: 2027E–2029E average UFCF, which still carries the one-offs ($m)</t>
  </si>
  <si>
    <t xml:space="preserve">Rest of 2026E</t>
  </si>
  <si>
    <t xml:space="preserve">Unlevered FCF ($m)</t>
  </si>
  <si>
    <t xml:space="preserve">PV ($m)</t>
  </si>
  <si>
    <t xml:space="preserve">PV of terminal value (mid-year convention, 4.25 years) ($m)</t>
  </si>
  <si>
    <t xml:space="preserve">STANDALONE ENTERPRISE VALUE ($m)</t>
  </si>
  <si>
    <t xml:space="preserve">Standalone value per share ($)</t>
  </si>
  <si>
    <t xml:space="preserve">RECONCILIATION — THIS DCF AT MORGAN STANLEY'S INPUTS</t>
  </si>
  <si>
    <t xml:space="preserve">Discount rate / growth</t>
  </si>
  <si>
    <t xml:space="preserve">Rate</t>
  </si>
  <si>
    <t xml:space="preserve">Growth</t>
  </si>
  <si>
    <t xml:space="preserve">Value per share ($)</t>
  </si>
  <si>
    <t xml:space="preserve">Corner 1</t>
  </si>
  <si>
    <t xml:space="preserve">Corner 2</t>
  </si>
  <si>
    <t xml:space="preserve">Corner 3</t>
  </si>
  <si>
    <t xml:space="preserve">Corner 4</t>
  </si>
  <si>
    <t xml:space="preserve">This DCF's range at Morgan Stanley's inputs: low / high ($)</t>
  </si>
  <si>
    <t xml:space="preserve">Morgan Stanley's reported DCF range: low / high ($)</t>
  </si>
  <si>
    <t xml:space="preserve">Gap at each end</t>
  </si>
  <si>
    <t xml:space="preserve">VALUE TO SUN</t>
  </si>
  <si>
    <t xml:space="preserve">Standalone enterprise value ($m)</t>
  </si>
  <si>
    <t xml:space="preserve">+ PV of synergies, net of cost to achieve ($m)</t>
  </si>
  <si>
    <t xml:space="preserve">VALUE TO SUN, INCLUDING SYNERGIES ($m)</t>
  </si>
  <si>
    <t xml:space="preserve">  per Organon share ($)</t>
  </si>
  <si>
    <t xml:space="preserve">Price paid: headline EV + fees ($m)</t>
  </si>
  <si>
    <t xml:space="preserve">NPV TO SUN SHAREHOLDERS ($m)</t>
  </si>
  <si>
    <t xml:space="preserve">Share of the synergy value kept by Sun</t>
  </si>
  <si>
    <t xml:space="preserve">NPV with zero synergies ($m)</t>
  </si>
  <si>
    <t xml:space="preserve">Share of Sun's $350m guide needed to break even</t>
  </si>
  <si>
    <t xml:space="preserve">THE MARKET'S VERDICT</t>
  </si>
  <si>
    <t xml:space="preserve">Sun close 9-Apr-2026, proxy unaffected date (Rs)</t>
  </si>
  <si>
    <t xml:space="preserve">Sun close 23-Apr-2026, before the leak-night report (Rs)</t>
  </si>
  <si>
    <t xml:space="preserve">Sun close 27-Apr-2026, announcement day (Rs)</t>
  </si>
  <si>
    <t xml:space="preserve">Nifty 50, 9-Apr-2026</t>
  </si>
  <si>
    <t xml:space="preserve">Nifty 50, 23-Apr-2026</t>
  </si>
  <si>
    <t xml:space="preserve">Nifty 50, 27-Apr-2026</t>
  </si>
  <si>
    <t xml:space="preserve">Nifty 50, 28-Oct-2026</t>
  </si>
  <si>
    <t xml:space="preserve">OGN unaffected market cap ($m)</t>
  </si>
  <si>
    <t xml:space="preserve">Value handed to Organon holders at $14 ($m)</t>
  </si>
  <si>
    <t xml:space="preserve">Sun relative to Nifty, 23→27 Apr</t>
  </si>
  <si>
    <t xml:space="preserve">Sun relative to Nifty, 9→27 Apr (whole window from the unaffected date)</t>
  </si>
  <si>
    <t xml:space="preserve">Sun since announcement, 27-Apr to 28-Oct-2026</t>
  </si>
  <si>
    <t xml:space="preserve">Nifty 50 since announcement</t>
  </si>
  <si>
    <t xml:space="preserve">Sun relative since announcement (points)</t>
  </si>
  <si>
    <t xml:space="preserve">THE VERDICT</t>
  </si>
  <si>
    <t xml:space="preserve">Organon holders won the auction: $14 is +103% on the proxy's unaffected price and 36 points above the 75th percentile of Morgan Stanley's premia study — though only +6% on the 52-week high.</t>
  </si>
  <si>
    <t xml:space="preserve">Sun paid an ordinary multiple (6.3x LTM EBITDA, inside Morgan Stanley's two precedents) for an extraordinary equity premium; leverage makes both true at once.</t>
  </si>
  <si>
    <t xml:space="preserve">On management's projections at Organon's own ~10.5% cost of capital, Sun keeps only about a fifth of the guided synergy value and needs roughly 80% of the $350m to break even.</t>
  </si>
  <si>
    <t xml:space="preserve">Cheaper capital or the seller's ~$700m synergy estimate would make it a good deal; at the 50% our Sun note carries, it is worth less than it cost.</t>
  </si>
  <si>
    <t xml:space="preserve">Sensitivities</t>
  </si>
  <si>
    <t xml:space="preserve">Each grid recomputes from the inputs on Synergies, Valuation &amp; Verdict and Accretion-Dilution. Axis values are inputs (blue).</t>
  </si>
  <si>
    <t xml:space="preserve">1) NPV TO SUN ($m) — Sun's guide delivered (rows) × price paid as EV / 2026E EBITDA (columns), at the base discount rate</t>
  </si>
  <si>
    <t xml:space="preserve">Delivery ↓ / EV/EBITDA →</t>
  </si>
  <si>
    <t xml:space="preserve">Check: base delivery at the actual multiple vs Valuation &amp; Verdict (must be 0)</t>
  </si>
  <si>
    <t xml:space="preserve">The third column is the price actually paid; price = multiple × 2026E EBITDA + other debt-like items + fees. The 200% row is Organon's own ~$700m preliminary estimate.</t>
  </si>
  <si>
    <t xml:space="preserve">2) NPV TO SUN ($m) — discount rate for Organon and its synergies (rows) × Sun's guide delivered (columns)</t>
  </si>
  <si>
    <t xml:space="preserve">Discount rate ↓ / delivery →</t>
  </si>
  <si>
    <t xml:space="preserve">Check: base rate and delivery vs Valuation &amp; Verdict (must be 0)</t>
  </si>
  <si>
    <t xml:space="preserve">3) NPV TO SUN ($m) — terminal free cash flow (rows) × discount rate (columns), base synergies</t>
  </si>
  <si>
    <t xml:space="preserve">Terminal FCF ↓ / rate →</t>
  </si>
  <si>
    <t xml:space="preserve">Check: base terminal FCF and rate vs Valuation &amp; Verdict (must be 0)</t>
  </si>
  <si>
    <t xml:space="preserve">$774m = 2030E UFCF as published; $930m = 2027E–2029E average UFCF (both still carry the one-off costs); the base row is the clean build on Valuation &amp; Verdict.</t>
  </si>
  <si>
    <t xml:space="preserve">4) EPS ACCRETION FY2028E, reported basis — Sun's guide delivered (rows) × cost of acquisition debt (columns)</t>
  </si>
  <si>
    <t xml:space="preserve">Delivery ↓ / debt cost →</t>
  </si>
  <si>
    <t xml:space="preserve">Check: base delivery at 6.5% vs Accretion-Dilution (must be 0)</t>
  </si>
  <si>
    <t xml:space="preserve">5) IMPLIED PROBABILITY OF CLOSING — break price (rows) × OGN price (columns)</t>
  </si>
  <si>
    <t xml:space="preserve">Break price ↓ / OGN price →</t>
  </si>
  <si>
    <t xml:space="preserve">Check: base break price at the latest price vs Spread &amp; Odds (must be 0)</t>
  </si>
  <si>
    <t xml:space="preserve">Evidence — sources for every input</t>
  </si>
  <si>
    <t xml:space="preserve">Primary filings first; market data dated. Full text of the proxy, 10-Q, 10-K and 8-Ks saved under DEALS/SUNPHARMA-ORGANON/_build/sources.</t>
  </si>
  <si>
    <t xml:space="preserve">Input</t>
  </si>
  <si>
    <t xml:space="preserve">Value</t>
  </si>
  <si>
    <t xml:space="preserve">Source</t>
  </si>
  <si>
    <t xml:space="preserve">Offer, structure, fees, outside date, financing</t>
  </si>
  <si>
    <t xml:space="preserve">$14.00 cash; $120m fee; 26-Jan-2027, extendable to 26-Apr-2027</t>
  </si>
  <si>
    <t xml:space="preserve">Organon DEFM14A (Annex A merger agreement; summary pp.1–8)</t>
  </si>
  <si>
    <t xml:space="preserve">17-Jun-2026</t>
  </si>
  <si>
    <t xml:space="preserve">Bid history, competing parties</t>
  </si>
  <si>
    <t xml:space="preserve">Party B/C/D, Sun ranges; Party C could not finance a final bid</t>
  </si>
  <si>
    <t xml:space="preserve">DEFM14A — Background of the Merger</t>
  </si>
  <si>
    <t xml:space="preserve">Premia (103%, 120%, 53%), unaffected date</t>
  </si>
  <si>
    <t xml:space="preserve">$6.91 on 9-Apr-2026 (a 19-Jan-2026 press report preceded it)</t>
  </si>
  <si>
    <t xml:space="preserve">DEFM14A — Reasons for the Merger</t>
  </si>
  <si>
    <t xml:space="preserve">Morgan Stanley ranges and inputs</t>
  </si>
  <si>
    <t xml:space="preserve">DCF $6.80–13.90 at 10.2–10.9%, −2% to 0%; FD shares 284.9m; net debt $7,530m; LTM EBITDA $1,832m</t>
  </si>
  <si>
    <t xml:space="preserve">DEFM14A — Opinion of Morgan Stanley; Certain Unaudited Financial Information</t>
  </si>
  <si>
    <t xml:space="preserve">Organon Projections 2026E–2030E</t>
  </si>
  <si>
    <t xml:space="preserve">see Target Standalone</t>
  </si>
  <si>
    <t xml:space="preserve">DEFM14A p.64</t>
  </si>
  <si>
    <t xml:space="preserve">FY2023–FY2025 financials; SBC $77m</t>
  </si>
  <si>
    <t xml:space="preserve">Organon 10-K FY2025; Q4 2025 results (8-K Ex 99.1)</t>
  </si>
  <si>
    <t xml:space="preserve">24-Feb-2026 / 12-Feb-2026</t>
  </si>
  <si>
    <t xml:space="preserve">Balance sheet 30-Jun-2026; stockholder approval; 'early 2027'</t>
  </si>
  <si>
    <t xml:space="preserve">Debt at carrying value; face ~$8.6bn</t>
  </si>
  <si>
    <t xml:space="preserve">Organon 10-Q Q2 2026</t>
  </si>
  <si>
    <t xml:space="preserve">31-Jul-2026</t>
  </si>
  <si>
    <t xml:space="preserve">ACCC review (Australia)</t>
  </si>
  <si>
    <t xml:space="preserve">MN-35035; notified 22-Oct-2026; Phase 1 ends 3-Dec-2026; ganirelix licensed to Ferring</t>
  </si>
  <si>
    <t xml:space="preserve">ACCC acquisitions register</t>
  </si>
  <si>
    <t xml:space="preserve">28-Oct-2026</t>
  </si>
  <si>
    <t xml:space="preserve">Seller's preliminary cost-synergy estimate</t>
  </si>
  <si>
    <t xml:space="preserve">~$700m, shown to Sun on 22-Jan-2026</t>
  </si>
  <si>
    <t xml:space="preserve">Organon 8-K (supplemental disclosures)</t>
  </si>
  <si>
    <t xml:space="preserve">17-Jul-2026</t>
  </si>
  <si>
    <t xml:space="preserve">Synergies $350m cost, 2–4 years; EPS accretive day one; cash $2–2.5bn; 2.3x; Organon debt ~5.5%</t>
  </si>
  <si>
    <t xml:space="preserve">—</t>
  </si>
  <si>
    <t xml:space="preserve">Sun Pharma investor call transcript (NSE filing)</t>
  </si>
  <si>
    <t xml:space="preserve">27-Apr-2026 (filed 5-May-2026)</t>
  </si>
  <si>
    <t xml:space="preserve">Combined revenue $12.4bn; financing banks; advisers</t>
  </si>
  <si>
    <t xml:space="preserve">Sun Pharma press release</t>
  </si>
  <si>
    <t xml:space="preserve">27-Apr-2026</t>
  </si>
  <si>
    <t xml:space="preserve">Sun standalone financials and EPS path</t>
  </si>
  <si>
    <t xml:space="preserve">see Acquirer Standalone</t>
  </si>
  <si>
    <t xml:space="preserve">Desk Sun Pharma model (from company filings)</t>
  </si>
  <si>
    <t xml:space="preserve">07-Sep-2026</t>
  </si>
  <si>
    <t xml:space="preserve">Share prices, indices, FX, T-bill</t>
  </si>
  <si>
    <t xml:space="preserve">OGN $13.78; SUN Rs 1,757.50; INR 95.18; 3m T-bill 4.00%; S&amp;P 500 7,743.98; Nifty 22,698.85</t>
  </si>
  <si>
    <t xml:space="preserve">NYSE / NSE closes; US Treasury 13-week yield</t>
  </si>
  <si>
    <t xml:space="preserve">Desk assumptions</t>
  </si>
  <si>
    <t xml:space="preserve">10.5% discount rate (Organon's risk); −1% growth; 1.0x cost to achieve; 6.5% acquisition debt; 7.5% lost yield; $150m fees; $500m PPA (range $400–600m); close 26-Jan-2027; break price = unaffected × S&amp;P 500</t>
  </si>
  <si>
    <t xml:space="preserve">Desk — see Sensitivities</t>
  </si>
  <si>
    <t xml:space="preserve">24-Oct-2026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</si>
</sst>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\$#,##0.00"/>
    <numFmt numFmtId="166" formatCode="#,##0;\(#,##0\)"/>
    <numFmt numFmtId="167" formatCode="0.0%"/>
    <numFmt numFmtId="168" formatCode="0.00\x"/>
    <numFmt numFmtId="169" formatCode="#,##0.0;\(#,##0.0\)"/>
    <numFmt numFmtId="170" formatCode="0.00%"/>
    <numFmt numFmtId="171" formatCode="0.0"/>
    <numFmt numFmtId="172" formatCode="#,##0.00"/>
    <numFmt numFmtId="173" formatCode="0.0\x"/>
    <numFmt numFmtId="174" formatCode="\+0.00\x;\-0.00\x"/>
    <numFmt numFmtId="175" formatCode="0.00"/>
    <numFmt numFmtId="176" formatCode="0.000"/>
    <numFmt numFmtId="177" formatCode="dd\-mmm\-yyyy"/>
    <numFmt numFmtId="178" formatCode="0"/>
    <numFmt numFmtId="179" formatCode="0\x"/>
    <numFmt numFmtId="180" formatCode="\+0.0%;\-0.0%"/>
    <numFmt numFmtId="181" formatCode="0%"/>
    <numFmt numFmtId="182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B3202A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545"/>
      <rgbColor rgb="FF339966"/>
      <rgbColor rgb="FF003300"/>
      <rgbColor rgb="FF333300"/>
      <rgbColor rgb="FFB320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</row>
    <row r="5" customFormat="false" ht="15" hidden="false" customHeight="false" outlineLevel="0" collapsed="false">
      <c r="A5" s="6" t="s">
        <v>3</v>
      </c>
      <c r="B5" s="7" t="n">
        <f aca="false">'Deal Terms'!B20</f>
        <v>14</v>
      </c>
    </row>
    <row r="6" customFormat="false" ht="15" hidden="false" customHeight="false" outlineLevel="0" collapsed="false">
      <c r="A6" s="6" t="s">
        <v>4</v>
      </c>
      <c r="B6" s="8" t="n">
        <f aca="false">'Deal Terms'!B22</f>
        <v>3988.6</v>
      </c>
    </row>
    <row r="7" customFormat="false" ht="15" hidden="false" customHeight="false" outlineLevel="0" collapsed="false">
      <c r="A7" s="6" t="s">
        <v>5</v>
      </c>
      <c r="B7" s="8" t="n">
        <f aca="false">'Deal Terms'!B27</f>
        <v>11750</v>
      </c>
    </row>
    <row r="8" customFormat="false" ht="15" hidden="false" customHeight="false" outlineLevel="0" collapsed="false">
      <c r="A8" s="6" t="s">
        <v>6</v>
      </c>
      <c r="B8" s="9" t="n">
        <f aca="false">'Premium &amp; Precedents'!B7</f>
        <v>1.0260492040521</v>
      </c>
    </row>
    <row r="9" customFormat="false" ht="15" hidden="false" customHeight="false" outlineLevel="0" collapsed="false">
      <c r="A9" s="6" t="s">
        <v>7</v>
      </c>
      <c r="B9" s="10" t="n">
        <f aca="false">'Premium &amp; Precedents'!B19</f>
        <v>6.28744541484716</v>
      </c>
    </row>
    <row r="10" customFormat="false" ht="15" hidden="false" customHeight="false" outlineLevel="0" collapsed="false">
      <c r="A10" s="6" t="s">
        <v>8</v>
      </c>
      <c r="B10" s="8" t="n">
        <f aca="false">'Premium &amp; Precedents'!B16</f>
        <v>2019.941</v>
      </c>
    </row>
    <row r="11" customFormat="false" ht="15" hidden="false" customHeight="false" outlineLevel="0" collapsed="false">
      <c r="A11" s="6" t="s">
        <v>9</v>
      </c>
      <c r="B11" s="8" t="n">
        <f aca="false">Synergies!B27</f>
        <v>1802.87852176929</v>
      </c>
    </row>
    <row r="12" customFormat="false" ht="15" hidden="false" customHeight="false" outlineLevel="0" collapsed="false">
      <c r="A12" s="6" t="s">
        <v>10</v>
      </c>
      <c r="B12" s="9" t="n">
        <f aca="false">Synergies!B30</f>
        <v>1.12039772819396</v>
      </c>
    </row>
    <row r="13" customFormat="false" ht="15" hidden="false" customHeight="false" outlineLevel="0" collapsed="false">
      <c r="A13" s="6" t="s">
        <v>11</v>
      </c>
      <c r="B13" s="7" t="n">
        <f aca="false">'Valuation &amp; Verdict'!B21</f>
        <v>10.2770929951413</v>
      </c>
    </row>
    <row r="14" customFormat="false" ht="15" hidden="false" customHeight="false" outlineLevel="0" collapsed="false">
      <c r="A14" s="6" t="s">
        <v>12</v>
      </c>
      <c r="B14" s="7" t="n">
        <f aca="false">'Valuation &amp; Verdict'!B37</f>
        <v>16.6052029346615</v>
      </c>
    </row>
    <row r="15" customFormat="false" ht="15" hidden="false" customHeight="false" outlineLevel="0" collapsed="false">
      <c r="A15" s="6" t="s">
        <v>13</v>
      </c>
      <c r="B15" s="8" t="n">
        <f aca="false">'Valuation &amp; Verdict'!B39</f>
        <v>360.822316085058</v>
      </c>
    </row>
    <row r="16" customFormat="false" ht="15" hidden="false" customHeight="false" outlineLevel="0" collapsed="false">
      <c r="A16" s="6" t="s">
        <v>14</v>
      </c>
      <c r="B16" s="9" t="n">
        <f aca="false">'Valuation &amp; Verdict'!B42</f>
        <v>0.821690255059029</v>
      </c>
    </row>
    <row r="17" customFormat="false" ht="15" hidden="false" customHeight="false" outlineLevel="0" collapsed="false">
      <c r="A17" s="6" t="s">
        <v>15</v>
      </c>
      <c r="B17" s="9" t="n">
        <f aca="false">'Accretion-Dilution'!B32</f>
        <v>0.115759726325178</v>
      </c>
    </row>
    <row r="18" customFormat="false" ht="15" hidden="false" customHeight="false" outlineLevel="0" collapsed="false">
      <c r="A18" s="6" t="s">
        <v>16</v>
      </c>
      <c r="B18" s="10" t="n">
        <f aca="false">'Pro Forma'!B19</f>
        <v>2.4676356440886</v>
      </c>
    </row>
    <row r="19" customFormat="false" ht="15" hidden="false" customHeight="false" outlineLevel="0" collapsed="false">
      <c r="A19" s="6" t="s">
        <v>17</v>
      </c>
      <c r="B19" s="9" t="n">
        <f aca="false">'Spread &amp; Odds'!B12</f>
        <v>0.0725357670871125</v>
      </c>
    </row>
    <row r="20" customFormat="false" ht="15" hidden="false" customHeight="false" outlineLevel="0" collapsed="false">
      <c r="A20" s="6" t="s">
        <v>18</v>
      </c>
      <c r="B20" s="9" t="n">
        <f aca="false">'Spread &amp; Odds'!B18</f>
        <v>0.983127617193522</v>
      </c>
    </row>
    <row r="22" customFormat="false" ht="15" hidden="false" customHeight="false" outlineLevel="0" collapsed="false">
      <c r="A22" s="4" t="s">
        <v>19</v>
      </c>
      <c r="B22" s="5"/>
      <c r="C22" s="5"/>
      <c r="D22" s="5"/>
      <c r="E22" s="5"/>
    </row>
    <row r="23" customFormat="false" ht="15" hidden="false" customHeight="false" outlineLevel="0" collapsed="false">
      <c r="A23" s="6" t="s">
        <v>20</v>
      </c>
      <c r="B23" s="11" t="str">
        <f aca="false">IF(ABS('Deal Terms'!B24)&lt;0.005,"PASS","FAIL")</f>
        <v>PASS</v>
      </c>
    </row>
    <row r="24" customFormat="false" ht="15" hidden="false" customHeight="false" outlineLevel="0" collapsed="false">
      <c r="A24" s="6" t="s">
        <v>21</v>
      </c>
      <c r="B24" s="11" t="str">
        <f aca="false">IF('Premium &amp; Precedents'!B8=0,"PASS","FAIL")</f>
        <v>PASS</v>
      </c>
    </row>
    <row r="25" customFormat="false" ht="15" hidden="false" customHeight="false" outlineLevel="0" collapsed="false">
      <c r="A25" s="6" t="s">
        <v>22</v>
      </c>
      <c r="B25" s="11" t="str">
        <f aca="false">IF(ABS('Pro Forma'!B19-'Pro Forma'!B20)&lt;=0.3,"PASS","FAIL")</f>
        <v>PASS</v>
      </c>
    </row>
    <row r="26" customFormat="false" ht="15" hidden="false" customHeight="false" outlineLevel="0" collapsed="false">
      <c r="A26" s="6" t="s">
        <v>23</v>
      </c>
      <c r="B26" s="11" t="str">
        <f aca="false">IF('Pro Forma'!B9&gt;=0,"PASS","FAIL")</f>
        <v>PASS</v>
      </c>
    </row>
    <row r="27" customFormat="false" ht="15" hidden="false" customHeight="false" outlineLevel="0" collapsed="false">
      <c r="A27" s="6" t="s">
        <v>24</v>
      </c>
      <c r="B27" s="11" t="str">
        <f aca="false">IF(AND(ABS('Valuation &amp; Verdict'!B31)&lt;=0.05,ABS('Valuation &amp; Verdict'!C31)&lt;=0.05),"PASS","FAIL")</f>
        <v>PASS</v>
      </c>
    </row>
    <row r="28" customFormat="false" ht="15" hidden="false" customHeight="false" outlineLevel="0" collapsed="false">
      <c r="A28" s="6" t="s">
        <v>25</v>
      </c>
      <c r="B28" s="11" t="str">
        <f aca="false">IF(AND(Sensitivities!B11=0,Sensitivities!B21=0,Sensitivities!B30=0,Sensitivities!B39=0,Sensitivities!B48=0),"PASS","FAIL")</f>
        <v>PASS</v>
      </c>
    </row>
    <row r="31" customFormat="false" ht="15" hidden="false" customHeight="false" outlineLevel="0" collapsed="false">
      <c r="A31" s="4" t="s">
        <v>26</v>
      </c>
      <c r="B31" s="5"/>
      <c r="C31" s="5"/>
      <c r="D31" s="5"/>
      <c r="E31" s="5"/>
    </row>
    <row r="32" customFormat="false" ht="15" hidden="false" customHeight="false" outlineLevel="0" collapsed="false">
      <c r="A32" s="6" t="s">
        <v>27</v>
      </c>
    </row>
    <row r="33" customFormat="false" ht="15" hidden="false" customHeight="false" outlineLevel="0" collapsed="false">
      <c r="A33" s="6" t="s">
        <v>28</v>
      </c>
    </row>
    <row r="34" customFormat="false" ht="15" hidden="false" customHeight="false" outlineLevel="0" collapsed="false">
      <c r="A34" s="6" t="s">
        <v>29</v>
      </c>
    </row>
    <row r="35" customFormat="false" ht="15" hidden="false" customHeight="false" outlineLevel="0" collapsed="false">
      <c r="A35" s="6" t="s">
        <v>30</v>
      </c>
    </row>
    <row r="36" customFormat="false" ht="15" hidden="false" customHeight="false" outlineLevel="0" collapsed="false">
      <c r="A36" s="6" t="s">
        <v>31</v>
      </c>
    </row>
    <row r="37" customFormat="false" ht="15" hidden="false" customHeight="false" outlineLevel="0" collapsed="false">
      <c r="A37" s="6" t="s">
        <v>32</v>
      </c>
    </row>
    <row r="38" customFormat="false" ht="15" hidden="false" customHeight="false" outlineLevel="0" collapsed="false">
      <c r="A38" s="6" t="s">
        <v>33</v>
      </c>
    </row>
    <row r="39" customFormat="false" ht="15" hidden="false" customHeight="false" outlineLevel="0" collapsed="false">
      <c r="A39" s="6" t="s">
        <v>34</v>
      </c>
    </row>
    <row r="40" customFormat="false" ht="15" hidden="false" customHeight="false" outlineLevel="0" collapsed="false">
      <c r="A40" s="6" t="s">
        <v>35</v>
      </c>
    </row>
    <row r="41" customFormat="false" ht="15" hidden="false" customHeight="false" outlineLevel="0" collapsed="false">
      <c r="A41" s="6" t="s">
        <v>36</v>
      </c>
    </row>
    <row r="42" customFormat="false" ht="15" hidden="false" customHeight="false" outlineLevel="0" collapsed="false">
      <c r="A42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15" min="4" style="0" width="14"/>
  </cols>
  <sheetData>
    <row r="1" customFormat="false" ht="17.35" hidden="false" customHeight="false" outlineLevel="0" collapsed="false">
      <c r="A1" s="1" t="s">
        <v>38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39</v>
      </c>
    </row>
    <row r="4" customFormat="false" ht="15" hidden="false" customHeight="false" outlineLevel="0" collapsed="false">
      <c r="A4" s="4" t="s">
        <v>40</v>
      </c>
      <c r="B4" s="5"/>
      <c r="C4" s="5"/>
      <c r="D4" s="5"/>
      <c r="E4" s="5"/>
      <c r="F4" s="5"/>
      <c r="G4" s="5"/>
      <c r="H4" s="5"/>
      <c r="I4" s="5"/>
    </row>
    <row r="5" customFormat="false" ht="12.75" hidden="false" customHeight="true" outlineLevel="0" collapsed="false">
      <c r="A5" s="6" t="s">
        <v>41</v>
      </c>
      <c r="B5" s="12" t="s">
        <v>42</v>
      </c>
      <c r="C5" s="12"/>
      <c r="D5" s="12"/>
      <c r="E5" s="12"/>
      <c r="F5" s="12"/>
      <c r="G5" s="12"/>
      <c r="H5" s="12"/>
    </row>
    <row r="6" customFormat="false" ht="12.75" hidden="false" customHeight="true" outlineLevel="0" collapsed="false">
      <c r="A6" s="6" t="s">
        <v>43</v>
      </c>
      <c r="B6" s="12" t="s">
        <v>44</v>
      </c>
      <c r="C6" s="12"/>
      <c r="D6" s="12"/>
      <c r="E6" s="12"/>
      <c r="F6" s="12"/>
      <c r="G6" s="12"/>
      <c r="H6" s="12"/>
    </row>
    <row r="7" customFormat="false" ht="12.75" hidden="false" customHeight="true" outlineLevel="0" collapsed="false">
      <c r="A7" s="6" t="s">
        <v>45</v>
      </c>
      <c r="B7" s="12" t="s">
        <v>46</v>
      </c>
      <c r="C7" s="12"/>
      <c r="D7" s="12"/>
      <c r="E7" s="12"/>
      <c r="F7" s="12"/>
      <c r="G7" s="12"/>
      <c r="H7" s="12"/>
    </row>
    <row r="8" customFormat="false" ht="12.75" hidden="false" customHeight="true" outlineLevel="0" collapsed="false">
      <c r="A8" s="6" t="s">
        <v>47</v>
      </c>
      <c r="B8" s="12" t="s">
        <v>48</v>
      </c>
      <c r="C8" s="12"/>
      <c r="D8" s="12"/>
      <c r="E8" s="12"/>
      <c r="F8" s="12"/>
      <c r="G8" s="12"/>
      <c r="H8" s="12"/>
    </row>
    <row r="9" customFormat="false" ht="12.75" hidden="false" customHeight="true" outlineLevel="0" collapsed="false">
      <c r="A9" s="6" t="s">
        <v>49</v>
      </c>
      <c r="B9" s="12" t="s">
        <v>50</v>
      </c>
      <c r="C9" s="12"/>
      <c r="D9" s="12"/>
      <c r="E9" s="12"/>
      <c r="F9" s="12"/>
      <c r="G9" s="12"/>
      <c r="H9" s="12"/>
    </row>
    <row r="10" customFormat="false" ht="12.75" hidden="false" customHeight="true" outlineLevel="0" collapsed="false">
      <c r="A10" s="6" t="s">
        <v>51</v>
      </c>
      <c r="B10" s="12" t="s">
        <v>52</v>
      </c>
      <c r="C10" s="12"/>
      <c r="D10" s="12"/>
      <c r="E10" s="12"/>
      <c r="F10" s="12"/>
      <c r="G10" s="12"/>
      <c r="H10" s="12"/>
    </row>
    <row r="11" customFormat="false" ht="12.75" hidden="false" customHeight="true" outlineLevel="0" collapsed="false">
      <c r="A11" s="6" t="s">
        <v>53</v>
      </c>
      <c r="B11" s="12" t="s">
        <v>54</v>
      </c>
      <c r="C11" s="12"/>
      <c r="D11" s="12"/>
      <c r="E11" s="12"/>
      <c r="F11" s="12"/>
      <c r="G11" s="12"/>
      <c r="H11" s="12"/>
    </row>
    <row r="12" customFormat="false" ht="51.75" hidden="false" customHeight="true" outlineLevel="0" collapsed="false">
      <c r="A12" s="6" t="s">
        <v>55</v>
      </c>
      <c r="B12" s="12" t="s">
        <v>56</v>
      </c>
      <c r="C12" s="12"/>
      <c r="D12" s="12"/>
      <c r="E12" s="12"/>
      <c r="F12" s="12"/>
      <c r="G12" s="12"/>
      <c r="H12" s="12"/>
    </row>
    <row r="13" customFormat="false" ht="25.5" hidden="false" customHeight="true" outlineLevel="0" collapsed="false">
      <c r="A13" s="6" t="s">
        <v>57</v>
      </c>
      <c r="B13" s="12" t="s">
        <v>58</v>
      </c>
      <c r="C13" s="12"/>
      <c r="D13" s="12"/>
      <c r="E13" s="12"/>
      <c r="F13" s="12"/>
      <c r="G13" s="12"/>
      <c r="H13" s="12"/>
    </row>
    <row r="14" customFormat="false" ht="12.75" hidden="false" customHeight="true" outlineLevel="0" collapsed="false">
      <c r="A14" s="6" t="s">
        <v>59</v>
      </c>
      <c r="B14" s="12" t="s">
        <v>60</v>
      </c>
      <c r="C14" s="12"/>
      <c r="D14" s="12"/>
      <c r="E14" s="12"/>
      <c r="F14" s="12"/>
      <c r="G14" s="12"/>
      <c r="H14" s="12"/>
    </row>
    <row r="15" customFormat="false" ht="25.5" hidden="false" customHeight="true" outlineLevel="0" collapsed="false">
      <c r="A15" s="6" t="s">
        <v>61</v>
      </c>
      <c r="B15" s="12" t="s">
        <v>62</v>
      </c>
      <c r="C15" s="12"/>
      <c r="D15" s="12"/>
      <c r="E15" s="12"/>
      <c r="F15" s="12"/>
      <c r="G15" s="12"/>
      <c r="H15" s="12"/>
    </row>
    <row r="16" customFormat="false" ht="12.75" hidden="false" customHeight="true" outlineLevel="0" collapsed="false">
      <c r="A16" s="6" t="s">
        <v>63</v>
      </c>
      <c r="B16" s="12" t="s">
        <v>64</v>
      </c>
      <c r="C16" s="12"/>
      <c r="D16" s="12"/>
      <c r="E16" s="12"/>
      <c r="F16" s="12"/>
      <c r="G16" s="12"/>
      <c r="H16" s="12"/>
    </row>
    <row r="17" customFormat="false" ht="25.5" hidden="false" customHeight="true" outlineLevel="0" collapsed="false">
      <c r="A17" s="6" t="s">
        <v>65</v>
      </c>
      <c r="B17" s="12" t="s">
        <v>66</v>
      </c>
      <c r="C17" s="12"/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4" t="s">
        <v>67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6" t="s">
        <v>68</v>
      </c>
      <c r="B20" s="13" t="n">
        <v>14</v>
      </c>
    </row>
    <row r="21" customFormat="false" ht="15" hidden="false" customHeight="false" outlineLevel="0" collapsed="false">
      <c r="A21" s="6" t="s">
        <v>69</v>
      </c>
      <c r="B21" s="14" t="n">
        <v>284.9</v>
      </c>
    </row>
    <row r="22" customFormat="false" ht="15" hidden="false" customHeight="false" outlineLevel="0" collapsed="false">
      <c r="A22" s="15" t="s">
        <v>70</v>
      </c>
      <c r="B22" s="16" t="n">
        <f aca="false">B20*B21</f>
        <v>3988.6</v>
      </c>
    </row>
    <row r="23" customFormat="false" ht="15" hidden="false" customHeight="false" outlineLevel="0" collapsed="false">
      <c r="A23" s="6" t="s">
        <v>71</v>
      </c>
      <c r="B23" s="17" t="n">
        <v>3990</v>
      </c>
    </row>
    <row r="24" customFormat="false" ht="15" hidden="false" customHeight="false" outlineLevel="0" collapsed="false">
      <c r="A24" s="6" t="s">
        <v>72</v>
      </c>
      <c r="B24" s="18" t="n">
        <f aca="false">B22/B23-1</f>
        <v>-0.000350877192982546</v>
      </c>
    </row>
    <row r="25" customFormat="false" ht="15" hidden="false" customHeight="false" outlineLevel="0" collapsed="false">
      <c r="A25" s="6" t="s">
        <v>73</v>
      </c>
      <c r="B25" s="17" t="n">
        <v>7530</v>
      </c>
    </row>
    <row r="26" customFormat="false" ht="15" hidden="false" customHeight="false" outlineLevel="0" collapsed="false">
      <c r="A26" s="15" t="s">
        <v>74</v>
      </c>
      <c r="B26" s="16" t="n">
        <f aca="false">B22+B25</f>
        <v>11518.6</v>
      </c>
    </row>
    <row r="27" customFormat="false" ht="15" hidden="false" customHeight="false" outlineLevel="0" collapsed="false">
      <c r="A27" s="6" t="s">
        <v>75</v>
      </c>
      <c r="B27" s="17" t="n">
        <v>11750</v>
      </c>
    </row>
    <row r="28" customFormat="false" ht="15" hidden="false" customHeight="false" outlineLevel="0" collapsed="false">
      <c r="A28" s="6" t="s">
        <v>76</v>
      </c>
      <c r="B28" s="19" t="n">
        <f aca="false">B27-B26</f>
        <v>231.400000000001</v>
      </c>
    </row>
    <row r="29" customFormat="false" ht="15" hidden="false" customHeight="false" outlineLevel="0" collapsed="false">
      <c r="A29" s="6" t="s">
        <v>77</v>
      </c>
      <c r="B29" s="17" t="n">
        <v>120</v>
      </c>
    </row>
    <row r="30" customFormat="false" ht="15" hidden="false" customHeight="false" outlineLevel="0" collapsed="false">
      <c r="A30" s="6" t="s">
        <v>78</v>
      </c>
      <c r="B30" s="18" t="n">
        <f aca="false">B29/B22</f>
        <v>0.0300857443714587</v>
      </c>
    </row>
    <row r="31" customFormat="false" ht="15" hidden="false" customHeight="false" outlineLevel="0" collapsed="false">
      <c r="A31" s="6" t="s">
        <v>79</v>
      </c>
      <c r="B31" s="14" t="n">
        <v>262.609433</v>
      </c>
    </row>
    <row r="32" customFormat="false" ht="15" hidden="false" customHeight="false" outlineLevel="0" collapsed="false">
      <c r="A32" s="6" t="s">
        <v>80</v>
      </c>
      <c r="B32" s="20" t="n">
        <f aca="false">B21-B31</f>
        <v>22.290567</v>
      </c>
    </row>
    <row r="34" customFormat="false" ht="15" hidden="false" customHeight="false" outlineLevel="0" collapsed="false">
      <c r="A34" s="4" t="s">
        <v>81</v>
      </c>
      <c r="B34" s="5"/>
      <c r="C34" s="5"/>
      <c r="D34" s="5"/>
      <c r="E34" s="5"/>
      <c r="F34" s="5"/>
      <c r="G34" s="5"/>
      <c r="H34" s="5"/>
      <c r="I34" s="5"/>
    </row>
    <row r="35" customFormat="false" ht="23.85" hidden="false" customHeight="false" outlineLevel="0" collapsed="false">
      <c r="A35" s="21" t="s">
        <v>82</v>
      </c>
      <c r="B35" s="21" t="s">
        <v>83</v>
      </c>
      <c r="C35" s="21" t="s">
        <v>84</v>
      </c>
      <c r="D35" s="21" t="s">
        <v>85</v>
      </c>
      <c r="E35" s="21" t="s">
        <v>86</v>
      </c>
      <c r="F35" s="21" t="s">
        <v>87</v>
      </c>
      <c r="G35" s="21" t="s">
        <v>88</v>
      </c>
    </row>
    <row r="36" customFormat="false" ht="15" hidden="false" customHeight="false" outlineLevel="0" collapsed="false">
      <c r="A36" s="22" t="s">
        <v>89</v>
      </c>
      <c r="B36" s="22" t="s">
        <v>90</v>
      </c>
      <c r="C36" s="22" t="s">
        <v>91</v>
      </c>
    </row>
    <row r="37" customFormat="false" ht="15" hidden="false" customHeight="false" outlineLevel="0" collapsed="false">
      <c r="A37" s="22" t="s">
        <v>92</v>
      </c>
      <c r="B37" s="22" t="s">
        <v>93</v>
      </c>
      <c r="C37" s="22" t="s">
        <v>94</v>
      </c>
      <c r="D37" s="13" t="n">
        <v>10.03</v>
      </c>
      <c r="E37" s="13" t="n">
        <v>10.03</v>
      </c>
      <c r="F37" s="13" t="n">
        <v>7.29</v>
      </c>
      <c r="G37" s="23" t="n">
        <f aca="false">AVERAGE(D37:E37)/F37-1</f>
        <v>0.375857338820302</v>
      </c>
    </row>
    <row r="38" customFormat="false" ht="15" hidden="false" customHeight="false" outlineLevel="0" collapsed="false">
      <c r="A38" s="22" t="s">
        <v>95</v>
      </c>
      <c r="B38" s="22" t="s">
        <v>96</v>
      </c>
      <c r="C38" s="22" t="s">
        <v>97</v>
      </c>
      <c r="D38" s="13" t="n">
        <v>12</v>
      </c>
      <c r="E38" s="13" t="n">
        <v>14</v>
      </c>
      <c r="F38" s="13" t="n">
        <v>6.99</v>
      </c>
      <c r="G38" s="23" t="n">
        <f aca="false">AVERAGE(D38:E38)/F38-1</f>
        <v>0.859799713876967</v>
      </c>
    </row>
    <row r="39" customFormat="false" ht="15" hidden="false" customHeight="false" outlineLevel="0" collapsed="false">
      <c r="A39" s="22" t="s">
        <v>98</v>
      </c>
      <c r="B39" s="22" t="s">
        <v>93</v>
      </c>
      <c r="C39" s="22" t="s">
        <v>99</v>
      </c>
      <c r="D39" s="13" t="n">
        <v>10.5</v>
      </c>
      <c r="E39" s="13" t="n">
        <v>11.5</v>
      </c>
      <c r="F39" s="13" t="n">
        <v>9</v>
      </c>
      <c r="G39" s="23" t="n">
        <f aca="false">AVERAGE(D39:E39)/F39-1</f>
        <v>0.222222222222222</v>
      </c>
    </row>
    <row r="40" customFormat="false" ht="15" hidden="false" customHeight="false" outlineLevel="0" collapsed="false">
      <c r="A40" s="22" t="s">
        <v>100</v>
      </c>
      <c r="B40" s="22" t="s">
        <v>96</v>
      </c>
      <c r="C40" s="22" t="s">
        <v>101</v>
      </c>
      <c r="D40" s="13" t="n">
        <v>13.5</v>
      </c>
      <c r="E40" s="13" t="n">
        <v>13.5</v>
      </c>
      <c r="F40" s="13" t="n">
        <v>8.6</v>
      </c>
      <c r="G40" s="23" t="n">
        <f aca="false">AVERAGE(D40:E40)/F40-1</f>
        <v>0.569767441860465</v>
      </c>
    </row>
    <row r="41" customFormat="false" ht="15" hidden="false" customHeight="false" outlineLevel="0" collapsed="false">
      <c r="A41" s="22" t="s">
        <v>102</v>
      </c>
      <c r="B41" s="22" t="s">
        <v>103</v>
      </c>
      <c r="C41" s="22" t="s">
        <v>104</v>
      </c>
      <c r="D41" s="13" t="n">
        <v>9.5</v>
      </c>
      <c r="E41" s="13" t="n">
        <v>10.5</v>
      </c>
      <c r="F41" s="13" t="n">
        <v>7.46</v>
      </c>
      <c r="G41" s="23" t="n">
        <f aca="false">AVERAGE(D41:E41)/F41-1</f>
        <v>0.340482573726542</v>
      </c>
    </row>
    <row r="42" customFormat="false" ht="15" hidden="false" customHeight="false" outlineLevel="0" collapsed="false">
      <c r="A42" s="22" t="s">
        <v>105</v>
      </c>
      <c r="B42" s="22" t="s">
        <v>106</v>
      </c>
      <c r="C42" s="22" t="s">
        <v>107</v>
      </c>
      <c r="D42" s="13" t="n">
        <v>11.75</v>
      </c>
      <c r="E42" s="13" t="n">
        <v>11.75</v>
      </c>
      <c r="F42" s="13" t="n">
        <v>7.19</v>
      </c>
      <c r="G42" s="23" t="n">
        <f aca="false">AVERAGE(D42:E42)/F42-1</f>
        <v>0.634214186369958</v>
      </c>
    </row>
    <row r="43" customFormat="false" ht="15" hidden="false" customHeight="false" outlineLevel="0" collapsed="false">
      <c r="A43" s="22" t="s">
        <v>108</v>
      </c>
      <c r="B43" s="22" t="s">
        <v>109</v>
      </c>
      <c r="C43" s="22" t="s">
        <v>110</v>
      </c>
      <c r="D43" s="13" t="n">
        <v>12</v>
      </c>
      <c r="E43" s="13" t="n">
        <v>14</v>
      </c>
      <c r="F43" s="13" t="n">
        <v>6.53</v>
      </c>
      <c r="G43" s="23" t="n">
        <f aca="false">AVERAGE(D43:E43)/F43-1</f>
        <v>0.990811638591118</v>
      </c>
    </row>
    <row r="44" customFormat="false" ht="15" hidden="false" customHeight="false" outlineLevel="0" collapsed="false">
      <c r="A44" s="22" t="s">
        <v>111</v>
      </c>
      <c r="B44" s="22" t="s">
        <v>112</v>
      </c>
      <c r="C44" s="22" t="s">
        <v>113</v>
      </c>
      <c r="D44" s="13" t="n">
        <v>13</v>
      </c>
      <c r="E44" s="13" t="n">
        <v>13</v>
      </c>
      <c r="F44" s="13" t="n">
        <v>6.35</v>
      </c>
      <c r="G44" s="23" t="n">
        <f aca="false">AVERAGE(D44:E44)/F44-1</f>
        <v>1.04724409448819</v>
      </c>
    </row>
    <row r="45" customFormat="false" ht="15" hidden="false" customHeight="false" outlineLevel="0" collapsed="false">
      <c r="A45" s="22" t="s">
        <v>114</v>
      </c>
      <c r="B45" s="22" t="s">
        <v>96</v>
      </c>
      <c r="C45" s="22" t="s">
        <v>115</v>
      </c>
      <c r="D45" s="13" t="n">
        <v>14</v>
      </c>
      <c r="E45" s="13" t="n">
        <v>14</v>
      </c>
      <c r="F45" s="13" t="n">
        <v>9.14</v>
      </c>
      <c r="G45" s="23" t="n">
        <f aca="false">AVERAGE(D45:E45)/F45-1</f>
        <v>0.531728665207877</v>
      </c>
    </row>
    <row r="47" customFormat="false" ht="15" hidden="false" customHeight="false" outlineLevel="0" collapsed="false">
      <c r="A47" s="3" t="s">
        <v>116</v>
      </c>
    </row>
    <row r="48" customFormat="false" ht="15" hidden="false" customHeight="false" outlineLevel="0" collapsed="false">
      <c r="A48" s="6" t="s">
        <v>117</v>
      </c>
      <c r="B48" s="23" t="n">
        <f aca="false">E45/AVERAGE(D38:E38)-1</f>
        <v>0.0769230769230769</v>
      </c>
    </row>
    <row r="49" customFormat="false" ht="15" hidden="false" customHeight="false" outlineLevel="0" collapsed="false">
      <c r="A49" s="6" t="s">
        <v>118</v>
      </c>
      <c r="B49" s="23" t="n">
        <f aca="false">E45/D44-1</f>
        <v>0.0769230769230769</v>
      </c>
    </row>
  </sheetData>
  <mergeCells count="13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119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120</v>
      </c>
    </row>
    <row r="4" customFormat="false" ht="15" hidden="false" customHeight="false" outlineLevel="0" collapsed="false">
      <c r="A4" s="4" t="s">
        <v>121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21"/>
      <c r="B5" s="21" t="s">
        <v>122</v>
      </c>
      <c r="C5" s="21" t="s">
        <v>123</v>
      </c>
      <c r="D5" s="21" t="s">
        <v>124</v>
      </c>
    </row>
    <row r="6" customFormat="false" ht="15" hidden="false" customHeight="false" outlineLevel="0" collapsed="false">
      <c r="A6" s="6" t="s">
        <v>125</v>
      </c>
      <c r="B6" s="17" t="n">
        <v>6263</v>
      </c>
      <c r="C6" s="17" t="n">
        <v>6403</v>
      </c>
      <c r="D6" s="17" t="n">
        <v>6216</v>
      </c>
    </row>
    <row r="7" customFormat="false" ht="15" hidden="false" customHeight="false" outlineLevel="0" collapsed="false">
      <c r="A7" s="6" t="s">
        <v>126</v>
      </c>
      <c r="B7" s="17" t="n">
        <v>2515</v>
      </c>
      <c r="C7" s="17" t="n">
        <v>2688</v>
      </c>
      <c r="D7" s="17" t="n">
        <v>2903</v>
      </c>
    </row>
    <row r="8" customFormat="false" ht="15" hidden="false" customHeight="false" outlineLevel="0" collapsed="false">
      <c r="A8" s="6" t="s">
        <v>127</v>
      </c>
      <c r="B8" s="19" t="n">
        <f aca="false">B6-B7</f>
        <v>3748</v>
      </c>
      <c r="C8" s="19" t="n">
        <f aca="false">C6-C7</f>
        <v>3715</v>
      </c>
      <c r="D8" s="19" t="n">
        <f aca="false">D6-D7</f>
        <v>3313</v>
      </c>
    </row>
    <row r="9" customFormat="false" ht="15" hidden="false" customHeight="false" outlineLevel="0" collapsed="false">
      <c r="A9" s="6" t="s">
        <v>128</v>
      </c>
      <c r="B9" s="17" t="n">
        <v>1893</v>
      </c>
      <c r="C9" s="17" t="n">
        <v>1760</v>
      </c>
      <c r="D9" s="17" t="n">
        <v>1721</v>
      </c>
    </row>
    <row r="10" customFormat="false" ht="15" hidden="false" customHeight="false" outlineLevel="0" collapsed="false">
      <c r="A10" s="6" t="s">
        <v>129</v>
      </c>
      <c r="B10" s="17" t="n">
        <v>528</v>
      </c>
      <c r="C10" s="17" t="n">
        <v>469</v>
      </c>
      <c r="D10" s="17" t="n">
        <v>366</v>
      </c>
    </row>
    <row r="11" customFormat="false" ht="15" hidden="false" customHeight="false" outlineLevel="0" collapsed="false">
      <c r="A11" s="6" t="s">
        <v>130</v>
      </c>
      <c r="B11" s="17" t="n">
        <v>527</v>
      </c>
      <c r="C11" s="17" t="n">
        <v>520</v>
      </c>
      <c r="D11" s="17" t="n">
        <v>504</v>
      </c>
    </row>
    <row r="12" customFormat="false" ht="15" hidden="false" customHeight="false" outlineLevel="0" collapsed="false">
      <c r="A12" s="6" t="s">
        <v>131</v>
      </c>
      <c r="B12" s="17" t="n">
        <v>1023</v>
      </c>
      <c r="C12" s="17" t="n">
        <v>864</v>
      </c>
      <c r="D12" s="17" t="n">
        <v>187</v>
      </c>
    </row>
    <row r="13" customFormat="false" ht="15" hidden="false" customHeight="false" outlineLevel="0" collapsed="false">
      <c r="A13" s="6" t="s">
        <v>132</v>
      </c>
      <c r="B13" s="13" t="n">
        <v>3.99</v>
      </c>
      <c r="C13" s="13" t="n">
        <v>3.33</v>
      </c>
      <c r="D13" s="13" t="n">
        <v>0.72</v>
      </c>
    </row>
    <row r="14" customFormat="false" ht="15" hidden="false" customHeight="false" outlineLevel="0" collapsed="false">
      <c r="A14" s="6" t="s">
        <v>133</v>
      </c>
      <c r="C14" s="17" t="n">
        <v>1958</v>
      </c>
      <c r="D14" s="17" t="n">
        <v>1907</v>
      </c>
    </row>
    <row r="15" customFormat="false" ht="15" hidden="false" customHeight="false" outlineLevel="0" collapsed="false">
      <c r="A15" s="6" t="s">
        <v>134</v>
      </c>
      <c r="B15" s="17" t="n">
        <v>120</v>
      </c>
      <c r="C15" s="17" t="n">
        <v>132</v>
      </c>
      <c r="D15" s="17" t="n">
        <v>156</v>
      </c>
    </row>
    <row r="16" customFormat="false" ht="15" hidden="false" customHeight="false" outlineLevel="0" collapsed="false">
      <c r="A16" s="6" t="s">
        <v>135</v>
      </c>
      <c r="B16" s="17" t="n">
        <v>116</v>
      </c>
      <c r="C16" s="17" t="n">
        <v>145</v>
      </c>
      <c r="D16" s="17" t="n">
        <v>205</v>
      </c>
    </row>
    <row r="17" customFormat="false" ht="15" hidden="false" customHeight="false" outlineLevel="0" collapsed="false">
      <c r="A17" s="6" t="s">
        <v>136</v>
      </c>
      <c r="B17" s="17" t="n">
        <v>799</v>
      </c>
      <c r="C17" s="17" t="n">
        <v>939</v>
      </c>
      <c r="D17" s="17" t="n">
        <v>700</v>
      </c>
    </row>
    <row r="18" customFormat="false" ht="15" hidden="false" customHeight="false" outlineLevel="0" collapsed="false">
      <c r="A18" s="6" t="s">
        <v>137</v>
      </c>
      <c r="B18" s="17" t="n">
        <v>251</v>
      </c>
      <c r="C18" s="17" t="n">
        <v>175</v>
      </c>
      <c r="D18" s="17" t="n">
        <v>162</v>
      </c>
    </row>
    <row r="19" customFormat="false" ht="15" hidden="false" customHeight="false" outlineLevel="0" collapsed="false">
      <c r="A19" s="6" t="s">
        <v>138</v>
      </c>
      <c r="C19" s="17" t="n">
        <v>963</v>
      </c>
      <c r="D19" s="17" t="n">
        <v>921</v>
      </c>
    </row>
    <row r="20" customFormat="false" ht="15" hidden="false" customHeight="false" outlineLevel="0" collapsed="false">
      <c r="A20" s="6" t="s">
        <v>139</v>
      </c>
      <c r="B20" s="19" t="n">
        <f aca="false">B17-B18</f>
        <v>548</v>
      </c>
      <c r="C20" s="19" t="n">
        <f aca="false">C17-C18</f>
        <v>764</v>
      </c>
      <c r="D20" s="19" t="n">
        <f aca="false">D17-D18</f>
        <v>538</v>
      </c>
    </row>
    <row r="21" customFormat="false" ht="15" hidden="false" customHeight="false" outlineLevel="0" collapsed="false">
      <c r="A21" s="6" t="s">
        <v>140</v>
      </c>
      <c r="C21" s="23" t="n">
        <f aca="false">C14/C6</f>
        <v>0.305794158987974</v>
      </c>
      <c r="D21" s="23" t="n">
        <f aca="false">D14/D6</f>
        <v>0.306788931788932</v>
      </c>
    </row>
    <row r="22" customFormat="false" ht="15" hidden="false" customHeight="false" outlineLevel="0" collapsed="false">
      <c r="A22" s="6" t="s">
        <v>141</v>
      </c>
      <c r="C22" s="23" t="n">
        <f aca="false">C19/C6</f>
        <v>0.150398250819928</v>
      </c>
      <c r="D22" s="23" t="n">
        <f aca="false">D19/D6</f>
        <v>0.148166023166023</v>
      </c>
    </row>
    <row r="23" customFormat="false" ht="15" hidden="false" customHeight="false" outlineLevel="0" collapsed="false">
      <c r="A23" s="6" t="s">
        <v>142</v>
      </c>
      <c r="C23" s="23" t="n">
        <f aca="false">C6/B6-1</f>
        <v>0.0223535047102028</v>
      </c>
      <c r="D23" s="23" t="n">
        <f aca="false">D6/C6-1</f>
        <v>-0.029205060128065</v>
      </c>
    </row>
    <row r="24" customFormat="false" ht="15" hidden="false" customHeight="false" outlineLevel="0" collapsed="false">
      <c r="A24" s="3" t="s">
        <v>143</v>
      </c>
    </row>
    <row r="26" customFormat="false" ht="15" hidden="false" customHeight="false" outlineLevel="0" collapsed="false">
      <c r="A26" s="4" t="s">
        <v>144</v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6" t="s">
        <v>145</v>
      </c>
      <c r="B27" s="17" t="n">
        <v>1132</v>
      </c>
    </row>
    <row r="28" customFormat="false" ht="15" hidden="false" customHeight="false" outlineLevel="0" collapsed="false">
      <c r="A28" s="6" t="s">
        <v>146</v>
      </c>
      <c r="B28" s="17" t="n">
        <v>8553</v>
      </c>
    </row>
    <row r="29" customFormat="false" ht="15" hidden="false" customHeight="false" outlineLevel="0" collapsed="false">
      <c r="A29" s="6" t="s">
        <v>147</v>
      </c>
      <c r="B29" s="19" t="n">
        <f aca="false">B28-B27</f>
        <v>7421</v>
      </c>
    </row>
    <row r="30" customFormat="false" ht="15" hidden="false" customHeight="false" outlineLevel="0" collapsed="false">
      <c r="A30" s="6" t="s">
        <v>148</v>
      </c>
      <c r="B30" s="17" t="n">
        <v>4153</v>
      </c>
    </row>
    <row r="31" customFormat="false" ht="15" hidden="false" customHeight="false" outlineLevel="0" collapsed="false">
      <c r="A31" s="6" t="s">
        <v>149</v>
      </c>
      <c r="B31" s="17" t="n">
        <v>1112</v>
      </c>
    </row>
    <row r="32" customFormat="false" ht="15" hidden="false" customHeight="false" outlineLevel="0" collapsed="false">
      <c r="A32" s="6" t="s">
        <v>150</v>
      </c>
      <c r="B32" s="17" t="n">
        <v>1006</v>
      </c>
    </row>
    <row r="33" customFormat="false" ht="15" hidden="false" customHeight="false" outlineLevel="0" collapsed="false">
      <c r="A33" s="6" t="s">
        <v>151</v>
      </c>
      <c r="B33" s="24" t="n">
        <v>0.049</v>
      </c>
    </row>
    <row r="34" customFormat="false" ht="15" hidden="false" customHeight="false" outlineLevel="0" collapsed="false">
      <c r="A34" s="6" t="s">
        <v>152</v>
      </c>
      <c r="B34" s="25" t="n">
        <v>4.1</v>
      </c>
    </row>
    <row r="36" customFormat="false" ht="15" hidden="false" customHeight="false" outlineLevel="0" collapsed="false">
      <c r="A36" s="4" t="s">
        <v>153</v>
      </c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21"/>
      <c r="B37" s="21" t="s">
        <v>154</v>
      </c>
      <c r="C37" s="21" t="s">
        <v>155</v>
      </c>
      <c r="D37" s="21" t="s">
        <v>156</v>
      </c>
      <c r="E37" s="21" t="s">
        <v>157</v>
      </c>
      <c r="F37" s="21" t="s">
        <v>158</v>
      </c>
      <c r="G37" s="21" t="s">
        <v>159</v>
      </c>
      <c r="H37" s="21" t="s">
        <v>160</v>
      </c>
      <c r="I37" s="21" t="s">
        <v>161</v>
      </c>
    </row>
    <row r="38" customFormat="false" ht="15" hidden="false" customHeight="false" outlineLevel="0" collapsed="false">
      <c r="A38" s="6" t="s">
        <v>125</v>
      </c>
      <c r="B38" s="17" t="n">
        <v>1546</v>
      </c>
      <c r="C38" s="17" t="n">
        <v>1613</v>
      </c>
      <c r="D38" s="17" t="n">
        <v>1632</v>
      </c>
      <c r="E38" s="17" t="n">
        <v>6252</v>
      </c>
      <c r="F38" s="17" t="n">
        <v>6475</v>
      </c>
      <c r="G38" s="17" t="n">
        <v>6693</v>
      </c>
      <c r="H38" s="17" t="n">
        <v>6822</v>
      </c>
      <c r="I38" s="17" t="n">
        <v>6470</v>
      </c>
    </row>
    <row r="39" customFormat="false" ht="15" hidden="false" customHeight="false" outlineLevel="0" collapsed="false">
      <c r="A39" s="6" t="s">
        <v>162</v>
      </c>
      <c r="B39" s="17" t="n">
        <v>451</v>
      </c>
      <c r="C39" s="17" t="n">
        <v>507</v>
      </c>
      <c r="D39" s="17" t="n">
        <v>522</v>
      </c>
      <c r="E39" s="17" t="n">
        <v>1894</v>
      </c>
      <c r="F39" s="17" t="n">
        <v>2018</v>
      </c>
      <c r="G39" s="17" t="n">
        <v>2099</v>
      </c>
      <c r="H39" s="17" t="n">
        <v>2150</v>
      </c>
      <c r="I39" s="17" t="n">
        <v>1986</v>
      </c>
    </row>
    <row r="40" customFormat="false" ht="15" hidden="false" customHeight="false" outlineLevel="0" collapsed="false">
      <c r="A40" s="6" t="s">
        <v>163</v>
      </c>
      <c r="B40" s="17" t="n">
        <v>118</v>
      </c>
      <c r="C40" s="17" t="n">
        <v>49</v>
      </c>
      <c r="D40" s="17" t="n">
        <v>338</v>
      </c>
      <c r="E40" s="17" t="n">
        <v>1010</v>
      </c>
      <c r="F40" s="17" t="n">
        <v>714</v>
      </c>
      <c r="G40" s="17" t="n">
        <v>958</v>
      </c>
      <c r="H40" s="17" t="n">
        <v>1117</v>
      </c>
      <c r="I40" s="17" t="n">
        <v>774</v>
      </c>
    </row>
    <row r="41" customFormat="false" ht="15" hidden="false" customHeight="false" outlineLevel="0" collapsed="false">
      <c r="A41" s="6" t="s">
        <v>140</v>
      </c>
      <c r="B41" s="23" t="n">
        <f aca="false">B39/B38</f>
        <v>0.291720569210867</v>
      </c>
      <c r="C41" s="23" t="n">
        <f aca="false">C39/C38</f>
        <v>0.314321140731556</v>
      </c>
      <c r="D41" s="23" t="n">
        <f aca="false">D39/D38</f>
        <v>0.319852941176471</v>
      </c>
      <c r="E41" s="23" t="n">
        <f aca="false">E39/E38</f>
        <v>0.302943058221369</v>
      </c>
      <c r="F41" s="23" t="n">
        <f aca="false">F39/F38</f>
        <v>0.311660231660232</v>
      </c>
      <c r="G41" s="23" t="n">
        <f aca="false">G39/G38</f>
        <v>0.313611235619304</v>
      </c>
      <c r="H41" s="23" t="n">
        <f aca="false">H39/H38</f>
        <v>0.315156845499853</v>
      </c>
      <c r="I41" s="23" t="n">
        <f aca="false">I39/I38</f>
        <v>0.306955177743431</v>
      </c>
    </row>
    <row r="42" customFormat="false" ht="15" hidden="false" customHeight="false" outlineLevel="0" collapsed="false">
      <c r="A42" s="6" t="s">
        <v>164</v>
      </c>
      <c r="B42" s="23" t="n">
        <f aca="false">B40/B39</f>
        <v>0.261640798226164</v>
      </c>
      <c r="C42" s="23" t="n">
        <f aca="false">C40/C39</f>
        <v>0.096646942800789</v>
      </c>
      <c r="D42" s="23" t="n">
        <f aca="false">D40/D39</f>
        <v>0.647509578544061</v>
      </c>
      <c r="E42" s="23" t="n">
        <f aca="false">E40/E39</f>
        <v>0.533262935586061</v>
      </c>
      <c r="F42" s="23" t="n">
        <f aca="false">F40/F39</f>
        <v>0.353815659068385</v>
      </c>
      <c r="G42" s="23" t="n">
        <f aca="false">G40/G39</f>
        <v>0.456407813244402</v>
      </c>
      <c r="H42" s="23" t="n">
        <f aca="false">H40/H39</f>
        <v>0.51953488372093</v>
      </c>
      <c r="I42" s="23" t="n">
        <f aca="false">I40/I39</f>
        <v>0.389728096676737</v>
      </c>
    </row>
    <row r="43" customFormat="false" ht="15" hidden="false" customHeight="false" outlineLevel="0" collapsed="false">
      <c r="A43" s="6" t="s">
        <v>165</v>
      </c>
      <c r="B43" s="23" t="n">
        <f aca="false">(I38/E38)^(1/4)-1</f>
        <v>0.0086054901554693</v>
      </c>
    </row>
    <row r="44" customFormat="false" ht="15" hidden="false" customHeight="false" outlineLevel="0" collapsed="false">
      <c r="A44" s="6" t="s">
        <v>166</v>
      </c>
      <c r="B44" s="17" t="n">
        <v>1832</v>
      </c>
    </row>
    <row r="45" customFormat="false" ht="15" hidden="false" customHeight="false" outlineLevel="0" collapsed="false">
      <c r="A45" s="3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168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169</v>
      </c>
    </row>
    <row r="5" customFormat="false" ht="15" hidden="false" customHeight="false" outlineLevel="0" collapsed="false">
      <c r="A5" s="6" t="s">
        <v>170</v>
      </c>
      <c r="B5" s="26" t="n">
        <v>1757.5</v>
      </c>
    </row>
    <row r="6" customFormat="false" ht="15" hidden="false" customHeight="false" outlineLevel="0" collapsed="false">
      <c r="A6" s="6" t="s">
        <v>171</v>
      </c>
      <c r="B6" s="26" t="n">
        <v>239.93</v>
      </c>
    </row>
    <row r="7" customFormat="false" ht="15" hidden="false" customHeight="false" outlineLevel="0" collapsed="false">
      <c r="A7" s="6" t="s">
        <v>172</v>
      </c>
      <c r="B7" s="19" t="n">
        <f aca="false">B5*B6</f>
        <v>421676.975</v>
      </c>
    </row>
    <row r="8" customFormat="false" ht="15" hidden="false" customHeight="false" outlineLevel="0" collapsed="false">
      <c r="A8" s="6" t="s">
        <v>173</v>
      </c>
      <c r="B8" s="26" t="n">
        <v>47.84</v>
      </c>
    </row>
    <row r="9" customFormat="false" ht="15" hidden="false" customHeight="false" outlineLevel="0" collapsed="false">
      <c r="A9" s="6" t="s">
        <v>174</v>
      </c>
      <c r="B9" s="17" t="n">
        <v>59911</v>
      </c>
    </row>
    <row r="10" customFormat="false" ht="15" hidden="false" customHeight="false" outlineLevel="0" collapsed="false">
      <c r="A10" s="6" t="s">
        <v>175</v>
      </c>
      <c r="B10" s="17" t="n">
        <v>12117</v>
      </c>
    </row>
    <row r="11" customFormat="false" ht="15" hidden="false" customHeight="false" outlineLevel="0" collapsed="false">
      <c r="A11" s="6" t="s">
        <v>176</v>
      </c>
      <c r="B11" s="17" t="n">
        <v>20096</v>
      </c>
    </row>
    <row r="12" customFormat="false" ht="15" hidden="false" customHeight="false" outlineLevel="0" collapsed="false">
      <c r="A12" s="6" t="s">
        <v>177</v>
      </c>
      <c r="B12" s="17" t="n">
        <v>24723</v>
      </c>
    </row>
    <row r="13" customFormat="false" ht="15" hidden="false" customHeight="false" outlineLevel="0" collapsed="false">
      <c r="A13" s="6" t="s">
        <v>178</v>
      </c>
      <c r="B13" s="17" t="n">
        <v>4627</v>
      </c>
    </row>
    <row r="14" customFormat="false" ht="15" hidden="false" customHeight="false" outlineLevel="0" collapsed="false">
      <c r="A14" s="6" t="s">
        <v>179</v>
      </c>
      <c r="B14" s="17" t="n">
        <v>18416</v>
      </c>
    </row>
    <row r="15" customFormat="false" ht="15" hidden="false" customHeight="false" outlineLevel="0" collapsed="false">
      <c r="A15" s="6" t="s">
        <v>180</v>
      </c>
      <c r="B15" s="26" t="n">
        <v>57.07</v>
      </c>
    </row>
    <row r="16" customFormat="false" ht="15" hidden="false" customHeight="false" outlineLevel="0" collapsed="false">
      <c r="A16" s="6" t="s">
        <v>181</v>
      </c>
      <c r="B16" s="26" t="n">
        <v>61.53</v>
      </c>
    </row>
    <row r="17" customFormat="false" ht="15" hidden="false" customHeight="false" outlineLevel="0" collapsed="false">
      <c r="A17" s="6" t="s">
        <v>182</v>
      </c>
      <c r="B17" s="26" t="n">
        <v>66.04</v>
      </c>
    </row>
    <row r="18" customFormat="false" ht="15" hidden="false" customHeight="false" outlineLevel="0" collapsed="false">
      <c r="A18" s="6" t="s">
        <v>183</v>
      </c>
      <c r="B18" s="27" t="n">
        <f aca="false">B5/B8</f>
        <v>36.7370401337793</v>
      </c>
    </row>
    <row r="19" customFormat="false" ht="15" hidden="false" customHeight="false" outlineLevel="0" collapsed="false">
      <c r="A19" s="6" t="s">
        <v>184</v>
      </c>
      <c r="B19" s="26" t="n">
        <v>95.18</v>
      </c>
    </row>
    <row r="20" customFormat="false" ht="15" hidden="false" customHeight="false" outlineLevel="0" collapsed="false">
      <c r="A20" s="6" t="s">
        <v>185</v>
      </c>
      <c r="B20" s="26" t="n">
        <v>94.2585</v>
      </c>
    </row>
    <row r="22" customFormat="false" ht="15" hidden="false" customHeight="false" outlineLevel="0" collapsed="false">
      <c r="A22" s="6" t="s">
        <v>186</v>
      </c>
      <c r="B22" s="8" t="n">
        <f aca="false">Synergies!B6*B20/10</f>
        <v>110753.7375</v>
      </c>
    </row>
    <row r="23" customFormat="false" ht="15" hidden="false" customHeight="false" outlineLevel="0" collapsed="false">
      <c r="A23" s="6" t="s">
        <v>187</v>
      </c>
      <c r="B23" s="8" t="n">
        <f aca="false">Synergies!B6*B19/10</f>
        <v>111836.5</v>
      </c>
    </row>
    <row r="24" customFormat="false" ht="15" hidden="false" customHeight="false" outlineLevel="0" collapsed="false">
      <c r="A24" s="6" t="s">
        <v>188</v>
      </c>
      <c r="B24" s="19" t="n">
        <f aca="false">B23-B22</f>
        <v>1082.7625</v>
      </c>
    </row>
    <row r="25" customFormat="false" ht="15" hidden="false" customHeight="false" outlineLevel="0" collapsed="false">
      <c r="A25" s="3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4"/>
    <col collapsed="false" customWidth="true" hidden="false" outlineLevel="0" max="4" min="4" style="0" width="52"/>
    <col collapsed="false" customWidth="true" hidden="false" outlineLevel="0" max="15" min="5" style="0" width="14"/>
  </cols>
  <sheetData>
    <row r="1" customFormat="false" ht="17.35" hidden="false" customHeight="false" outlineLevel="0" collapsed="false">
      <c r="A1" s="1" t="s">
        <v>190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191</v>
      </c>
    </row>
    <row r="4" customFormat="false" ht="15" hidden="false" customHeight="false" outlineLevel="0" collapsed="false">
      <c r="A4" s="4" t="s">
        <v>192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193</v>
      </c>
      <c r="B5" s="7" t="n">
        <f aca="false">'Deal Terms'!B20</f>
        <v>14</v>
      </c>
    </row>
    <row r="6" customFormat="false" ht="15" hidden="false" customHeight="false" outlineLevel="0" collapsed="false">
      <c r="A6" s="6" t="s">
        <v>194</v>
      </c>
      <c r="B6" s="13" t="n">
        <v>6.91</v>
      </c>
    </row>
    <row r="7" customFormat="false" ht="15" hidden="false" customHeight="false" outlineLevel="0" collapsed="false">
      <c r="A7" s="15" t="s">
        <v>195</v>
      </c>
      <c r="B7" s="28" t="n">
        <f aca="false">B5/B6-1</f>
        <v>1.0260492040521</v>
      </c>
    </row>
    <row r="8" customFormat="false" ht="15" hidden="false" customHeight="false" outlineLevel="0" collapsed="false">
      <c r="A8" s="6" t="s">
        <v>196</v>
      </c>
      <c r="B8" s="23" t="n">
        <f aca="false">ROUND(B7-C8,2)</f>
        <v>-0</v>
      </c>
      <c r="C8" s="24" t="n">
        <v>1.03</v>
      </c>
    </row>
    <row r="9" customFormat="false" ht="15" hidden="false" customHeight="false" outlineLevel="0" collapsed="false">
      <c r="A9" s="6" t="s">
        <v>197</v>
      </c>
      <c r="B9" s="13" t="n">
        <v>8.6</v>
      </c>
    </row>
    <row r="10" customFormat="false" ht="15" hidden="false" customHeight="false" outlineLevel="0" collapsed="false">
      <c r="A10" s="6" t="s">
        <v>198</v>
      </c>
      <c r="B10" s="23" t="n">
        <f aca="false">B5/B9-1</f>
        <v>0.627906976744186</v>
      </c>
    </row>
    <row r="11" customFormat="false" ht="15" hidden="false" customHeight="false" outlineLevel="0" collapsed="false">
      <c r="A11" s="6" t="s">
        <v>199</v>
      </c>
      <c r="B11" s="24" t="n">
        <v>1.2</v>
      </c>
    </row>
    <row r="12" customFormat="false" ht="15" hidden="false" customHeight="false" outlineLevel="0" collapsed="false">
      <c r="A12" s="6" t="s">
        <v>200</v>
      </c>
      <c r="B12" s="24" t="n">
        <v>0.53</v>
      </c>
    </row>
    <row r="13" customFormat="false" ht="15" hidden="false" customHeight="false" outlineLevel="0" collapsed="false">
      <c r="A13" s="6" t="s">
        <v>201</v>
      </c>
      <c r="B13" s="13" t="n">
        <v>13.25</v>
      </c>
    </row>
    <row r="14" customFormat="false" ht="15" hidden="false" customHeight="false" outlineLevel="0" collapsed="false">
      <c r="A14" s="6" t="s">
        <v>202</v>
      </c>
      <c r="B14" s="23" t="n">
        <f aca="false">B5/B13-1</f>
        <v>0.0566037735849057</v>
      </c>
    </row>
    <row r="15" customFormat="false" ht="15" hidden="false" customHeight="false" outlineLevel="0" collapsed="false">
      <c r="A15" s="6" t="s">
        <v>203</v>
      </c>
      <c r="B15" s="19" t="n">
        <f aca="false">B6*'Deal Terms'!B21</f>
        <v>1968.659</v>
      </c>
    </row>
    <row r="16" customFormat="false" ht="15" hidden="false" customHeight="false" outlineLevel="0" collapsed="false">
      <c r="A16" s="15" t="s">
        <v>204</v>
      </c>
      <c r="B16" s="29" t="n">
        <f aca="false">'Deal Terms'!B22-B15</f>
        <v>2019.941</v>
      </c>
    </row>
    <row r="18" customFormat="false" ht="15" hidden="false" customHeight="false" outlineLevel="0" collapsed="false">
      <c r="A18" s="4" t="s">
        <v>205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6" t="s">
        <v>206</v>
      </c>
      <c r="B19" s="10" t="n">
        <f aca="false">'Deal Terms'!B26/'Target Standalone'!B44</f>
        <v>6.28744541484716</v>
      </c>
    </row>
    <row r="20" customFormat="false" ht="15" hidden="false" customHeight="false" outlineLevel="0" collapsed="false">
      <c r="A20" s="6" t="s">
        <v>207</v>
      </c>
      <c r="B20" s="10" t="n">
        <f aca="false">'Deal Terms'!B26/'Target Standalone'!E39</f>
        <v>6.08162618796199</v>
      </c>
    </row>
    <row r="21" customFormat="false" ht="15" hidden="false" customHeight="false" outlineLevel="0" collapsed="false">
      <c r="A21" s="6" t="s">
        <v>208</v>
      </c>
      <c r="B21" s="10" t="n">
        <f aca="false">'Deal Terms'!B26/'Target Standalone'!F39</f>
        <v>5.70792864222002</v>
      </c>
    </row>
    <row r="22" customFormat="false" ht="15" hidden="false" customHeight="false" outlineLevel="0" collapsed="false">
      <c r="A22" s="6" t="s">
        <v>209</v>
      </c>
      <c r="B22" s="10" t="n">
        <f aca="false">'Deal Terms'!B26/'Target Standalone'!D6</f>
        <v>1.85305662805663</v>
      </c>
    </row>
    <row r="23" customFormat="false" ht="15" hidden="false" customHeight="false" outlineLevel="0" collapsed="false">
      <c r="A23" s="6" t="s">
        <v>210</v>
      </c>
      <c r="B23" s="27" t="n">
        <f aca="false">B5/C23</f>
        <v>3.82513661202186</v>
      </c>
      <c r="C23" s="13" t="n">
        <v>3.66</v>
      </c>
    </row>
    <row r="24" customFormat="false" ht="15" hidden="false" customHeight="false" outlineLevel="0" collapsed="false">
      <c r="A24" s="6" t="s">
        <v>211</v>
      </c>
      <c r="B24" s="30" t="n">
        <f aca="false">'Deal Terms'!B22/'Target Standalone'!B32</f>
        <v>3.96481113320079</v>
      </c>
    </row>
    <row r="25" customFormat="false" ht="15" hidden="false" customHeight="false" outlineLevel="0" collapsed="false">
      <c r="A25" s="6" t="s">
        <v>212</v>
      </c>
      <c r="B25" s="10" t="n">
        <f aca="false">(B15+'Deal Terms'!B25)/'Target Standalone'!E39</f>
        <v>5.01513146779303</v>
      </c>
    </row>
    <row r="26" customFormat="false" ht="15" hidden="false" customHeight="false" outlineLevel="0" collapsed="false">
      <c r="A26" s="6" t="s">
        <v>213</v>
      </c>
      <c r="B26" s="9" t="n">
        <f aca="false">'Deal Terms'!B22/'Deal Terms'!B26</f>
        <v>0.346274720886219</v>
      </c>
    </row>
    <row r="28" customFormat="false" ht="15" hidden="false" customHeight="false" outlineLevel="0" collapsed="false">
      <c r="A28" s="4" t="s">
        <v>214</v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21" t="s">
        <v>215</v>
      </c>
      <c r="B29" s="21" t="s">
        <v>85</v>
      </c>
      <c r="C29" s="21" t="s">
        <v>86</v>
      </c>
      <c r="D29" s="21" t="s">
        <v>216</v>
      </c>
      <c r="E29" s="21" t="s">
        <v>217</v>
      </c>
    </row>
    <row r="30" customFormat="false" ht="15" hidden="false" customHeight="false" outlineLevel="0" collapsed="false">
      <c r="A30" s="22" t="s">
        <v>218</v>
      </c>
      <c r="B30" s="13" t="n">
        <v>6.8</v>
      </c>
      <c r="C30" s="13" t="n">
        <v>13.9</v>
      </c>
      <c r="D30" s="22" t="s">
        <v>219</v>
      </c>
      <c r="E30" s="23" t="n">
        <f aca="false">$B$5/C30-1</f>
        <v>0.0071942446043165</v>
      </c>
    </row>
    <row r="31" customFormat="false" ht="15" hidden="false" customHeight="false" outlineLevel="0" collapsed="false">
      <c r="A31" s="22" t="s">
        <v>220</v>
      </c>
      <c r="B31" s="13" t="n">
        <v>7.3</v>
      </c>
      <c r="C31" s="13" t="n">
        <v>19.7</v>
      </c>
      <c r="D31" s="22" t="s">
        <v>221</v>
      </c>
      <c r="E31" s="23" t="n">
        <f aca="false">$B$5/C31-1</f>
        <v>-0.289340101522843</v>
      </c>
    </row>
    <row r="32" customFormat="false" ht="15" hidden="false" customHeight="false" outlineLevel="0" collapsed="false">
      <c r="A32" s="22" t="s">
        <v>222</v>
      </c>
      <c r="B32" s="13" t="n">
        <v>13.4</v>
      </c>
      <c r="C32" s="13" t="n">
        <v>15.3</v>
      </c>
      <c r="D32" s="22" t="s">
        <v>223</v>
      </c>
      <c r="E32" s="23" t="n">
        <f aca="false">$B$5/C32-1</f>
        <v>-0.0849673202614379</v>
      </c>
    </row>
    <row r="33" customFormat="false" ht="15" hidden="false" customHeight="false" outlineLevel="0" collapsed="false">
      <c r="A33" s="22" t="s">
        <v>224</v>
      </c>
      <c r="B33" s="13" t="n">
        <v>8.6</v>
      </c>
      <c r="C33" s="13" t="n">
        <v>11.5</v>
      </c>
      <c r="D33" s="22" t="s">
        <v>225</v>
      </c>
      <c r="E33" s="23" t="n">
        <f aca="false">$B$5/C33-1</f>
        <v>0.217391304347826</v>
      </c>
    </row>
    <row r="34" customFormat="false" ht="15" hidden="false" customHeight="false" outlineLevel="0" collapsed="false">
      <c r="A34" s="22" t="s">
        <v>226</v>
      </c>
      <c r="B34" s="13" t="n">
        <v>4.4</v>
      </c>
      <c r="C34" s="13" t="n">
        <v>10.6</v>
      </c>
      <c r="D34" s="22" t="s">
        <v>227</v>
      </c>
      <c r="E34" s="23" t="n">
        <f aca="false">$B$5/C34-1</f>
        <v>0.320754716981132</v>
      </c>
    </row>
    <row r="35" customFormat="false" ht="15" hidden="false" customHeight="false" outlineLevel="0" collapsed="false">
      <c r="A35" s="22" t="s">
        <v>228</v>
      </c>
      <c r="B35" s="13" t="n">
        <v>5.69</v>
      </c>
      <c r="C35" s="13" t="n">
        <v>13.25</v>
      </c>
      <c r="D35" s="22" t="s">
        <v>229</v>
      </c>
      <c r="E35" s="23" t="n">
        <f aca="false">$B$5/C35-1</f>
        <v>0.0566037735849057</v>
      </c>
    </row>
    <row r="37" customFormat="false" ht="15" hidden="false" customHeight="false" outlineLevel="0" collapsed="false">
      <c r="A37" s="6" t="s">
        <v>230</v>
      </c>
      <c r="B37" s="23" t="n">
        <f aca="false">B7-C37</f>
        <v>0.356049204052098</v>
      </c>
      <c r="C37" s="24" t="n">
        <v>0.67</v>
      </c>
    </row>
    <row r="38" customFormat="false" ht="15" hidden="false" customHeight="false" outlineLevel="0" collapsed="false">
      <c r="A38" s="6" t="s">
        <v>231</v>
      </c>
      <c r="B38" s="31" t="n">
        <f aca="false">B19-AVERAGE(C38:D38)</f>
        <v>-0.0625545851528386</v>
      </c>
      <c r="C38" s="32" t="n">
        <v>6.2</v>
      </c>
      <c r="D38" s="32" t="n">
        <v>6.5</v>
      </c>
    </row>
    <row r="39" customFormat="false" ht="15" hidden="false" customHeight="false" outlineLevel="0" collapsed="false">
      <c r="A39" s="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233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234</v>
      </c>
    </row>
    <row r="4" customFormat="false" ht="15" hidden="false" customHeight="false" outlineLevel="0" collapsed="false">
      <c r="A4" s="4" t="s">
        <v>235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4</v>
      </c>
      <c r="B5" s="8" t="n">
        <f aca="false">'Deal Terms'!B22</f>
        <v>3988.6</v>
      </c>
    </row>
    <row r="6" customFormat="false" ht="15" hidden="false" customHeight="false" outlineLevel="0" collapsed="false">
      <c r="A6" s="6" t="s">
        <v>236</v>
      </c>
      <c r="B6" s="8" t="n">
        <f aca="false">'Deal Terms'!B27</f>
        <v>11750</v>
      </c>
    </row>
    <row r="7" customFormat="false" ht="15" hidden="false" customHeight="false" outlineLevel="0" collapsed="false">
      <c r="A7" s="6" t="s">
        <v>237</v>
      </c>
      <c r="B7" s="8" t="n">
        <f aca="false">'Premium &amp; Precedents'!B16</f>
        <v>2019.941</v>
      </c>
    </row>
    <row r="9" customFormat="false" ht="15" hidden="false" customHeight="false" outlineLevel="0" collapsed="false">
      <c r="A9" s="4" t="s">
        <v>238</v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6" t="s">
        <v>239</v>
      </c>
      <c r="B10" s="17" t="n">
        <v>350</v>
      </c>
    </row>
    <row r="11" customFormat="false" ht="15" hidden="false" customHeight="false" outlineLevel="0" collapsed="false">
      <c r="A11" s="6" t="s">
        <v>240</v>
      </c>
      <c r="B11" s="24" t="n">
        <v>1</v>
      </c>
    </row>
    <row r="12" customFormat="false" ht="15" hidden="false" customHeight="false" outlineLevel="0" collapsed="false">
      <c r="A12" s="6" t="s">
        <v>241</v>
      </c>
      <c r="B12" s="24" t="n">
        <v>0.25</v>
      </c>
    </row>
    <row r="13" customFormat="false" ht="15" hidden="false" customHeight="false" outlineLevel="0" collapsed="false">
      <c r="A13" s="6" t="s">
        <v>242</v>
      </c>
      <c r="B13" s="33" t="n">
        <v>1</v>
      </c>
    </row>
    <row r="14" customFormat="false" ht="15" hidden="false" customHeight="false" outlineLevel="0" collapsed="false">
      <c r="A14" s="6" t="s">
        <v>243</v>
      </c>
      <c r="B14" s="24" t="n">
        <v>0.105</v>
      </c>
    </row>
    <row r="15" customFormat="false" ht="15" hidden="false" customHeight="false" outlineLevel="0" collapsed="false">
      <c r="A15" s="6" t="s">
        <v>244</v>
      </c>
      <c r="B15" s="24" t="n">
        <v>-0.01</v>
      </c>
    </row>
    <row r="16" customFormat="false" ht="15" hidden="false" customHeight="false" outlineLevel="0" collapsed="false">
      <c r="A16" s="6" t="s">
        <v>245</v>
      </c>
      <c r="B16" s="17" t="n">
        <v>700</v>
      </c>
    </row>
    <row r="17" customFormat="false" ht="15" hidden="false" customHeight="false" outlineLevel="0" collapsed="false">
      <c r="A17" s="21"/>
      <c r="B17" s="21" t="s">
        <v>157</v>
      </c>
      <c r="C17" s="21" t="s">
        <v>158</v>
      </c>
      <c r="D17" s="21" t="s">
        <v>159</v>
      </c>
      <c r="E17" s="21" t="s">
        <v>160</v>
      </c>
      <c r="F17" s="21" t="s">
        <v>161</v>
      </c>
    </row>
    <row r="18" customFormat="false" ht="15" hidden="false" customHeight="false" outlineLevel="0" collapsed="false">
      <c r="A18" s="6" t="s">
        <v>246</v>
      </c>
      <c r="B18" s="34" t="n">
        <v>0.375</v>
      </c>
      <c r="C18" s="34" t="n">
        <v>1.25</v>
      </c>
      <c r="D18" s="34" t="n">
        <v>2.25</v>
      </c>
      <c r="E18" s="34" t="n">
        <v>3.25</v>
      </c>
      <c r="F18" s="34" t="n">
        <v>4.25</v>
      </c>
    </row>
    <row r="19" customFormat="false" ht="15" hidden="false" customHeight="false" outlineLevel="0" collapsed="false">
      <c r="A19" s="6" t="s">
        <v>247</v>
      </c>
      <c r="B19" s="24" t="n">
        <v>0</v>
      </c>
      <c r="C19" s="24" t="n">
        <v>0.25</v>
      </c>
      <c r="D19" s="24" t="n">
        <v>0.6</v>
      </c>
      <c r="E19" s="24" t="n">
        <v>1</v>
      </c>
      <c r="F19" s="24" t="n">
        <v>1</v>
      </c>
    </row>
    <row r="20" customFormat="false" ht="15" hidden="false" customHeight="false" outlineLevel="0" collapsed="false">
      <c r="A20" s="6" t="s">
        <v>248</v>
      </c>
      <c r="B20" s="24" t="n">
        <v>0</v>
      </c>
      <c r="C20" s="24" t="n">
        <v>0.5</v>
      </c>
      <c r="D20" s="24" t="n">
        <v>0.5</v>
      </c>
      <c r="E20" s="24" t="n">
        <v>0</v>
      </c>
      <c r="F20" s="24" t="n">
        <v>0</v>
      </c>
    </row>
    <row r="21" customFormat="false" ht="15" hidden="false" customHeight="false" outlineLevel="0" collapsed="false">
      <c r="A21" s="6" t="s">
        <v>249</v>
      </c>
      <c r="B21" s="19" t="n">
        <f aca="false">$B$10*$B$11*B19*(1-$B$12)</f>
        <v>0</v>
      </c>
      <c r="C21" s="19" t="n">
        <f aca="false">$B$10*$B$11*C19*(1-$B$12)</f>
        <v>65.625</v>
      </c>
      <c r="D21" s="19" t="n">
        <f aca="false">$B$10*$B$11*D19*(1-$B$12)</f>
        <v>157.5</v>
      </c>
      <c r="E21" s="19" t="n">
        <f aca="false">$B$10*$B$11*E19*(1-$B$12)</f>
        <v>262.5</v>
      </c>
      <c r="F21" s="19" t="n">
        <f aca="false">$B$10*$B$11*F19*(1-$B$12)</f>
        <v>262.5</v>
      </c>
    </row>
    <row r="22" customFormat="false" ht="15" hidden="false" customHeight="false" outlineLevel="0" collapsed="false">
      <c r="A22" s="6" t="s">
        <v>250</v>
      </c>
      <c r="B22" s="19" t="n">
        <f aca="false">-$B$10*$B$13*B20*(1-$B$12)</f>
        <v>-0</v>
      </c>
      <c r="C22" s="19" t="n">
        <f aca="false">-$B$10*$B$13*C20*(1-$B$12)</f>
        <v>-131.25</v>
      </c>
      <c r="D22" s="19" t="n">
        <f aca="false">-$B$10*$B$13*D20*(1-$B$12)</f>
        <v>-131.25</v>
      </c>
      <c r="E22" s="19" t="n">
        <f aca="false">-$B$10*$B$13*E20*(1-$B$12)</f>
        <v>-0</v>
      </c>
      <c r="F22" s="19" t="n">
        <f aca="false">-$B$10*$B$13*F20*(1-$B$12)</f>
        <v>-0</v>
      </c>
    </row>
    <row r="23" customFormat="false" ht="15" hidden="false" customHeight="false" outlineLevel="0" collapsed="false">
      <c r="A23" s="6" t="s">
        <v>251</v>
      </c>
      <c r="B23" s="35" t="n">
        <f aca="false">1/(1+$B$14)^B18</f>
        <v>0.963250284026082</v>
      </c>
      <c r="C23" s="35" t="n">
        <f aca="false">1/(1+$B$14)^C18</f>
        <v>0.8826675333409</v>
      </c>
      <c r="D23" s="35" t="n">
        <f aca="false">1/(1+$B$14)^D18</f>
        <v>0.79879414781982</v>
      </c>
      <c r="E23" s="35" t="n">
        <f aca="false">1/(1+$B$14)^E18</f>
        <v>0.722890631511149</v>
      </c>
      <c r="F23" s="35" t="n">
        <f aca="false">1/(1+$B$14)^F18</f>
        <v>0.654199666525927</v>
      </c>
    </row>
    <row r="24" customFormat="false" ht="15" hidden="false" customHeight="false" outlineLevel="0" collapsed="false">
      <c r="A24" s="6" t="s">
        <v>252</v>
      </c>
      <c r="B24" s="19" t="n">
        <f aca="false">B21*B23</f>
        <v>0</v>
      </c>
      <c r="C24" s="19" t="n">
        <f aca="false">C21*C23</f>
        <v>57.9250568754966</v>
      </c>
      <c r="D24" s="19" t="n">
        <f aca="false">D21*D23</f>
        <v>125.810078281622</v>
      </c>
      <c r="E24" s="19" t="n">
        <f aca="false">E21*E23</f>
        <v>189.758790771677</v>
      </c>
      <c r="F24" s="19" t="n">
        <f aca="false">F21*F23</f>
        <v>171.727412463056</v>
      </c>
    </row>
    <row r="25" customFormat="false" ht="15" hidden="false" customHeight="false" outlineLevel="0" collapsed="false">
      <c r="A25" s="6" t="s">
        <v>253</v>
      </c>
      <c r="B25" s="19" t="n">
        <f aca="false">B22*B23</f>
        <v>-0</v>
      </c>
      <c r="C25" s="19" t="n">
        <f aca="false">C22*C23</f>
        <v>-115.850113750993</v>
      </c>
      <c r="D25" s="19" t="n">
        <f aca="false">D22*D23</f>
        <v>-104.841731901351</v>
      </c>
      <c r="E25" s="19" t="n">
        <f aca="false">E22*E23</f>
        <v>-0</v>
      </c>
      <c r="F25" s="19" t="n">
        <f aca="false">F22*F23</f>
        <v>-0</v>
      </c>
    </row>
    <row r="26" customFormat="false" ht="15" hidden="false" customHeight="false" outlineLevel="0" collapsed="false">
      <c r="A26" s="6" t="s">
        <v>254</v>
      </c>
      <c r="B26" s="19" t="n">
        <f aca="false">F21*(1+B15)/(B14-B15)/(1+B14)^F18</f>
        <v>1478.34902902978</v>
      </c>
    </row>
    <row r="27" customFormat="false" ht="15" hidden="false" customHeight="false" outlineLevel="0" collapsed="false">
      <c r="A27" s="15" t="s">
        <v>255</v>
      </c>
      <c r="B27" s="16" t="n">
        <f aca="false">SUM(B24:F24)+SUM(B25:F25)+B26</f>
        <v>1802.87852176929</v>
      </c>
    </row>
    <row r="28" customFormat="false" ht="15" hidden="false" customHeight="false" outlineLevel="0" collapsed="false">
      <c r="A28" s="6" t="s">
        <v>256</v>
      </c>
      <c r="B28" s="19" t="n">
        <f aca="false">(SUM(B24:F24)+B26)/B11</f>
        <v>2023.57036742163</v>
      </c>
    </row>
    <row r="29" customFormat="false" ht="15" hidden="false" customHeight="false" outlineLevel="0" collapsed="false">
      <c r="A29" s="6" t="s">
        <v>253</v>
      </c>
      <c r="B29" s="19" t="n">
        <f aca="false">SUM(B25:F25)</f>
        <v>-220.691845652344</v>
      </c>
    </row>
    <row r="30" customFormat="false" ht="15" hidden="false" customHeight="false" outlineLevel="0" collapsed="false">
      <c r="A30" s="15" t="s">
        <v>257</v>
      </c>
      <c r="B30" s="28" t="n">
        <f aca="false">B7/B27</f>
        <v>1.12039772819396</v>
      </c>
    </row>
    <row r="31" customFormat="false" ht="15" hidden="false" customHeight="false" outlineLevel="0" collapsed="false">
      <c r="A31" s="6" t="s">
        <v>258</v>
      </c>
      <c r="B31" s="23" t="n">
        <f aca="false">(B7-B29)/B28</f>
        <v>1.10726707690787</v>
      </c>
    </row>
    <row r="32" customFormat="false" ht="15" hidden="false" customHeight="false" outlineLevel="0" collapsed="false">
      <c r="A32" s="6" t="s">
        <v>259</v>
      </c>
      <c r="B32" s="23" t="n">
        <f aca="false">B26/(SUM(B24:F24)+B26)</f>
        <v>0.730564675600309</v>
      </c>
    </row>
    <row r="33" customFormat="false" ht="15" hidden="false" customHeight="false" outlineLevel="0" collapsed="false">
      <c r="A33" s="6" t="s">
        <v>260</v>
      </c>
      <c r="B33" s="19" t="n">
        <f aca="false">B10*B11*(1-B12)*C33</f>
        <v>1837.5</v>
      </c>
      <c r="C33" s="33" t="n">
        <v>7</v>
      </c>
    </row>
    <row r="34" customFormat="false" ht="15" hidden="false" customHeight="false" outlineLevel="0" collapsed="false">
      <c r="A34" s="3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262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263</v>
      </c>
    </row>
    <row r="4" customFormat="false" ht="15" hidden="false" customHeight="false" outlineLevel="0" collapsed="false">
      <c r="A4" s="4" t="s">
        <v>264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265</v>
      </c>
      <c r="B5" s="8" t="n">
        <f aca="false">'Deal Terms'!B22</f>
        <v>3988.6</v>
      </c>
    </row>
    <row r="6" customFormat="false" ht="15" hidden="false" customHeight="false" outlineLevel="0" collapsed="false">
      <c r="A6" s="6" t="s">
        <v>266</v>
      </c>
      <c r="B6" s="8" t="n">
        <f aca="false">'Target Standalone'!B28</f>
        <v>8553</v>
      </c>
    </row>
    <row r="7" customFormat="false" ht="15" hidden="false" customHeight="false" outlineLevel="0" collapsed="false">
      <c r="A7" s="6" t="s">
        <v>267</v>
      </c>
      <c r="B7" s="17" t="n">
        <v>150</v>
      </c>
    </row>
    <row r="8" customFormat="false" ht="15" hidden="false" customHeight="false" outlineLevel="0" collapsed="false">
      <c r="A8" s="15" t="s">
        <v>268</v>
      </c>
      <c r="B8" s="16" t="n">
        <f aca="false">SUM(B5:B7)</f>
        <v>12691.6</v>
      </c>
    </row>
    <row r="9" customFormat="false" ht="15" hidden="false" customHeight="false" outlineLevel="0" collapsed="false">
      <c r="A9" s="6" t="s">
        <v>269</v>
      </c>
      <c r="B9" s="17" t="n">
        <v>2250</v>
      </c>
    </row>
    <row r="10" customFormat="false" ht="15" hidden="false" customHeight="false" outlineLevel="0" collapsed="false">
      <c r="A10" s="6" t="s">
        <v>270</v>
      </c>
      <c r="B10" s="19" t="n">
        <f aca="false">B8-B9</f>
        <v>10441.6</v>
      </c>
    </row>
    <row r="11" customFormat="false" ht="15" hidden="false" customHeight="false" outlineLevel="0" collapsed="false">
      <c r="A11" s="6" t="s">
        <v>271</v>
      </c>
      <c r="B11" s="17" t="n">
        <v>12000</v>
      </c>
    </row>
    <row r="12" customFormat="false" ht="15" hidden="false" customHeight="false" outlineLevel="0" collapsed="false">
      <c r="A12" s="6" t="s">
        <v>272</v>
      </c>
      <c r="B12" s="24" t="n">
        <v>0.065</v>
      </c>
    </row>
    <row r="13" customFormat="false" ht="15" hidden="false" customHeight="false" outlineLevel="0" collapsed="false">
      <c r="A13" s="6" t="s">
        <v>273</v>
      </c>
      <c r="B13" s="24" t="n">
        <v>0.075</v>
      </c>
    </row>
    <row r="14" customFormat="false" ht="15" hidden="false" customHeight="false" outlineLevel="0" collapsed="false">
      <c r="A14" s="6" t="s">
        <v>241</v>
      </c>
      <c r="B14" s="9" t="n">
        <f aca="false">Synergies!B12</f>
        <v>0.25</v>
      </c>
    </row>
    <row r="15" customFormat="false" ht="15" hidden="false" customHeight="false" outlineLevel="0" collapsed="false">
      <c r="A15" s="6" t="s">
        <v>274</v>
      </c>
      <c r="B15" s="8" t="n">
        <f aca="false">'Target Standalone'!D15+'Target Standalone'!D16</f>
        <v>361</v>
      </c>
    </row>
    <row r="16" customFormat="false" ht="15" hidden="false" customHeight="false" outlineLevel="0" collapsed="false">
      <c r="A16" s="6" t="s">
        <v>275</v>
      </c>
      <c r="B16" s="17" t="n">
        <v>500</v>
      </c>
    </row>
    <row r="17" customFormat="false" ht="15" hidden="false" customHeight="false" outlineLevel="0" collapsed="false">
      <c r="A17" s="6" t="s">
        <v>276</v>
      </c>
      <c r="B17" s="36" t="n">
        <f aca="false">'Acquirer Standalone'!B19</f>
        <v>95.18</v>
      </c>
    </row>
    <row r="19" customFormat="false" ht="15" hidden="false" customHeight="false" outlineLevel="0" collapsed="false">
      <c r="A19" s="21"/>
      <c r="B19" s="21" t="s">
        <v>277</v>
      </c>
      <c r="C19" s="21" t="s">
        <v>278</v>
      </c>
      <c r="D19" s="21" t="s">
        <v>279</v>
      </c>
    </row>
    <row r="20" customFormat="false" ht="15" hidden="false" customHeight="false" outlineLevel="0" collapsed="false">
      <c r="A20" s="6" t="s">
        <v>280</v>
      </c>
      <c r="B20" s="8" t="n">
        <f aca="false">'Target Standalone'!F39</f>
        <v>2018</v>
      </c>
      <c r="C20" s="8" t="n">
        <f aca="false">'Target Standalone'!G39</f>
        <v>2099</v>
      </c>
      <c r="D20" s="8" t="n">
        <f aca="false">'Target Standalone'!H39</f>
        <v>2150</v>
      </c>
    </row>
    <row r="21" customFormat="false" ht="15" hidden="false" customHeight="false" outlineLevel="0" collapsed="false">
      <c r="A21" s="6" t="s">
        <v>281</v>
      </c>
      <c r="B21" s="8" t="n">
        <f aca="false">Synergies!$B$10*Synergies!$B$11*Synergies!C19</f>
        <v>87.5</v>
      </c>
      <c r="C21" s="8" t="n">
        <f aca="false">Synergies!$B$10*Synergies!$B$11*Synergies!D19</f>
        <v>210</v>
      </c>
      <c r="D21" s="8" t="n">
        <f aca="false">Synergies!$B$10*Synergies!$B$11*Synergies!E19</f>
        <v>350</v>
      </c>
    </row>
    <row r="22" customFormat="false" ht="15" hidden="false" customHeight="false" outlineLevel="0" collapsed="false">
      <c r="A22" s="6" t="s">
        <v>282</v>
      </c>
      <c r="B22" s="8" t="n">
        <f aca="false">-Synergies!$B$10*Synergies!$B$13*Synergies!C20</f>
        <v>-175</v>
      </c>
      <c r="C22" s="8" t="n">
        <f aca="false">-Synergies!$B$10*Synergies!$B$13*Synergies!D20</f>
        <v>-175</v>
      </c>
      <c r="D22" s="8" t="n">
        <f aca="false">-Synergies!$B$10*Synergies!$B$13*Synergies!E20</f>
        <v>-0</v>
      </c>
    </row>
    <row r="23" customFormat="false" ht="15" hidden="false" customHeight="false" outlineLevel="0" collapsed="false">
      <c r="A23" s="6" t="s">
        <v>283</v>
      </c>
      <c r="B23" s="19" t="n">
        <f aca="false">-$B$15</f>
        <v>-361</v>
      </c>
      <c r="C23" s="19" t="n">
        <f aca="false">-$B$15</f>
        <v>-361</v>
      </c>
      <c r="D23" s="19" t="n">
        <f aca="false">-$B$15</f>
        <v>-361</v>
      </c>
    </row>
    <row r="24" customFormat="false" ht="15" hidden="false" customHeight="false" outlineLevel="0" collapsed="false">
      <c r="A24" s="6" t="s">
        <v>284</v>
      </c>
      <c r="B24" s="19" t="n">
        <f aca="false">-$B$10*$B$12</f>
        <v>-678.704</v>
      </c>
      <c r="C24" s="19" t="n">
        <f aca="false">-$B$10*$B$12</f>
        <v>-678.704</v>
      </c>
      <c r="D24" s="19" t="n">
        <f aca="false">-$B$10*$B$12</f>
        <v>-678.704</v>
      </c>
    </row>
    <row r="25" customFormat="false" ht="15" hidden="false" customHeight="false" outlineLevel="0" collapsed="false">
      <c r="A25" s="6" t="s">
        <v>285</v>
      </c>
      <c r="B25" s="19" t="n">
        <f aca="false">-$B$9*$B$13</f>
        <v>-168.75</v>
      </c>
      <c r="C25" s="19" t="n">
        <f aca="false">-$B$9*$B$13</f>
        <v>-168.75</v>
      </c>
      <c r="D25" s="19" t="n">
        <f aca="false">-$B$9*$B$13</f>
        <v>-168.75</v>
      </c>
    </row>
    <row r="26" customFormat="false" ht="15" hidden="false" customHeight="false" outlineLevel="0" collapsed="false">
      <c r="A26" s="6" t="s">
        <v>286</v>
      </c>
      <c r="B26" s="19" t="n">
        <f aca="false">-$B$16</f>
        <v>-500</v>
      </c>
      <c r="C26" s="19" t="n">
        <f aca="false">-$B$16</f>
        <v>-500</v>
      </c>
      <c r="D26" s="19" t="n">
        <f aca="false">-$B$16</f>
        <v>-500</v>
      </c>
    </row>
    <row r="27" customFormat="false" ht="15" hidden="false" customHeight="false" outlineLevel="0" collapsed="false">
      <c r="A27" s="6" t="s">
        <v>287</v>
      </c>
      <c r="B27" s="19" t="n">
        <f aca="false">SUM(B20:B26)</f>
        <v>222.046</v>
      </c>
      <c r="C27" s="19" t="n">
        <f aca="false">SUM(C20:C26)</f>
        <v>425.546</v>
      </c>
      <c r="D27" s="19" t="n">
        <f aca="false">SUM(D20:D26)</f>
        <v>791.546</v>
      </c>
    </row>
    <row r="28" customFormat="false" ht="15" hidden="false" customHeight="false" outlineLevel="0" collapsed="false">
      <c r="A28" s="6" t="s">
        <v>288</v>
      </c>
      <c r="B28" s="19" t="n">
        <f aca="false">B27*(1-$B$14)</f>
        <v>166.5345</v>
      </c>
      <c r="C28" s="19" t="n">
        <f aca="false">C27*(1-$B$14)</f>
        <v>319.1595</v>
      </c>
      <c r="D28" s="19" t="n">
        <f aca="false">D27*(1-$B$14)</f>
        <v>593.6595</v>
      </c>
    </row>
    <row r="29" customFormat="false" ht="15" hidden="false" customHeight="false" outlineLevel="0" collapsed="false">
      <c r="A29" s="6" t="s">
        <v>289</v>
      </c>
      <c r="B29" s="36" t="n">
        <f aca="false">B28*$B$17/10/'Acquirer Standalone'!$B$6</f>
        <v>6.6064075813779</v>
      </c>
      <c r="C29" s="36" t="n">
        <f aca="false">C28*$B$17/10/'Acquirer Standalone'!$B$6</f>
        <v>12.6610266369358</v>
      </c>
      <c r="D29" s="36" t="n">
        <f aca="false">D28*$B$17/10/'Acquirer Standalone'!$B$6</f>
        <v>23.5504152086025</v>
      </c>
    </row>
    <row r="30" customFormat="false" ht="15" hidden="false" customHeight="false" outlineLevel="0" collapsed="false">
      <c r="A30" s="6" t="s">
        <v>290</v>
      </c>
      <c r="B30" s="36" t="n">
        <f aca="false">'Acquirer Standalone'!B15</f>
        <v>57.07</v>
      </c>
      <c r="C30" s="36" t="n">
        <f aca="false">'Acquirer Standalone'!B16</f>
        <v>61.53</v>
      </c>
      <c r="D30" s="36" t="n">
        <f aca="false">'Acquirer Standalone'!B17</f>
        <v>66.04</v>
      </c>
    </row>
    <row r="31" customFormat="false" ht="15" hidden="false" customHeight="false" outlineLevel="0" collapsed="false">
      <c r="A31" s="6" t="s">
        <v>291</v>
      </c>
      <c r="B31" s="37" t="n">
        <f aca="false">B30+B29</f>
        <v>63.6764075813779</v>
      </c>
      <c r="C31" s="37" t="n">
        <f aca="false">C30+C29</f>
        <v>74.1910266369358</v>
      </c>
      <c r="D31" s="37" t="n">
        <f aca="false">D30+D29</f>
        <v>89.5904152086025</v>
      </c>
    </row>
    <row r="32" customFormat="false" ht="15" hidden="false" customHeight="false" outlineLevel="0" collapsed="false">
      <c r="A32" s="15" t="s">
        <v>292</v>
      </c>
      <c r="B32" s="28" t="n">
        <f aca="false">B31/B30-1</f>
        <v>0.115759726325178</v>
      </c>
      <c r="C32" s="28" t="n">
        <f aca="false">C31/C30-1</f>
        <v>0.205769976221937</v>
      </c>
      <c r="D32" s="28" t="n">
        <f aca="false">D31/D30-1</f>
        <v>0.356608346586955</v>
      </c>
    </row>
    <row r="33" customFormat="false" ht="15" hidden="false" customHeight="false" outlineLevel="0" collapsed="false">
      <c r="A33" s="6" t="s">
        <v>293</v>
      </c>
      <c r="B33" s="9" t="n">
        <f aca="false">(B30+(B27-B22-B26)*(1-$B$14)*$B$17/10/'Acquirer Standalone'!$B$6)/B30-1</f>
        <v>0.467658951123171</v>
      </c>
      <c r="C33" s="9" t="n">
        <f aca="false">(C30+(C27-C22-C26)*(1-$B$14)*$B$17/10/'Acquirer Standalone'!$B$6)/C30-1</f>
        <v>0.532161797434702</v>
      </c>
      <c r="D33" s="9" t="n">
        <f aca="false">(D30+(D27-D22-D26)*(1-$B$14)*$B$17/10/'Acquirer Standalone'!$B$6)/D30-1</f>
        <v>0.581869005213842</v>
      </c>
    </row>
    <row r="34" customFormat="false" ht="15" hidden="false" customHeight="false" outlineLevel="0" collapsed="false">
      <c r="A34" s="6" t="s">
        <v>294</v>
      </c>
      <c r="B34" s="9" t="n">
        <f aca="false">(B30+(B27-B21-B22)*(1-$B$14)*$B$17/10/'Acquirer Standalone'!$B$6)/B30-1</f>
        <v>0.161376292502696</v>
      </c>
      <c r="C34" s="9" t="n">
        <f aca="false">(C30+(C27-C21-C22)*(1-$B$14)*$B$17/10/'Acquirer Standalone'!$B$6)/C30-1</f>
        <v>0.188845955862756</v>
      </c>
      <c r="D34" s="9" t="n">
        <f aca="false">(D30+(D27-D21-D22)*(1-$B$14)*$B$17/10/'Acquirer Standalone'!$B$6)/D30-1</f>
        <v>0.198925885548134</v>
      </c>
    </row>
    <row r="36" customFormat="false" ht="15" hidden="false" customHeight="false" outlineLevel="0" collapsed="false">
      <c r="A36" s="4" t="s">
        <v>295</v>
      </c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6" t="s">
        <v>296</v>
      </c>
      <c r="B37" s="23" t="n">
        <f aca="false">B33</f>
        <v>0.467658951123171</v>
      </c>
    </row>
    <row r="38" customFormat="false" ht="15" hidden="false" customHeight="false" outlineLevel="0" collapsed="false">
      <c r="A38" s="6" t="s">
        <v>297</v>
      </c>
      <c r="B38" s="9" t="n">
        <f aca="false">(B30+(B27-B22-B26-B21*(1-C38))*(1-B14)*B17/10/'Acquirer Standalone'!B6)/B30-1</f>
        <v>0.444850668034412</v>
      </c>
      <c r="C38" s="24" t="n">
        <v>0.5</v>
      </c>
    </row>
    <row r="39" customFormat="false" ht="15" hidden="false" customHeight="false" outlineLevel="0" collapsed="false">
      <c r="A39" s="6" t="s">
        <v>298</v>
      </c>
      <c r="B39" s="9" t="n">
        <f aca="false">(B30+(B27-B22-B26-B21*(1-C38))*(1-B14)*C39/10/'Acquirer Standalone'!B6)/B30-1</f>
        <v>0.41362979744742</v>
      </c>
      <c r="C39" s="26" t="n">
        <v>88.5</v>
      </c>
    </row>
    <row r="40" customFormat="false" ht="15" hidden="false" customHeight="false" outlineLevel="0" collapsed="false">
      <c r="A40" s="6" t="s">
        <v>299</v>
      </c>
      <c r="B40" s="24" t="n">
        <v>0.289</v>
      </c>
    </row>
    <row r="41" customFormat="false" ht="15" hidden="false" customHeight="false" outlineLevel="0" collapsed="false">
      <c r="A41" s="6" t="s">
        <v>300</v>
      </c>
      <c r="B41" s="23" t="n">
        <f aca="false">B40-B39</f>
        <v>-0.12462979744742</v>
      </c>
    </row>
    <row r="43" customFormat="false" ht="15" hidden="false" customHeight="false" outlineLevel="0" collapsed="false">
      <c r="A43" s="4" t="s">
        <v>301</v>
      </c>
      <c r="B43" s="5"/>
      <c r="C43" s="5"/>
      <c r="D43" s="5"/>
      <c r="E43" s="5"/>
      <c r="F43" s="5"/>
      <c r="G43" s="5"/>
      <c r="H43" s="5"/>
      <c r="I43" s="5"/>
    </row>
    <row r="44" customFormat="false" ht="15" hidden="false" customHeight="false" outlineLevel="0" collapsed="false">
      <c r="A44" s="6" t="s">
        <v>302</v>
      </c>
      <c r="B44" s="8" t="n">
        <f aca="false">Synergies!B6+B7</f>
        <v>11900</v>
      </c>
    </row>
    <row r="45" customFormat="false" ht="15" hidden="false" customHeight="false" outlineLevel="0" collapsed="false">
      <c r="A45" s="6" t="s">
        <v>303</v>
      </c>
      <c r="B45" s="19" t="n">
        <f aca="false">(B20+B21-B15)*(1-B14)</f>
        <v>1308.375</v>
      </c>
    </row>
    <row r="46" customFormat="false" ht="15" hidden="false" customHeight="false" outlineLevel="0" collapsed="false">
      <c r="A46" s="6" t="s">
        <v>304</v>
      </c>
      <c r="B46" s="23" t="n">
        <f aca="false">B45/B44</f>
        <v>0.109947478991597</v>
      </c>
    </row>
    <row r="47" customFormat="false" ht="15" hidden="false" customHeight="false" outlineLevel="0" collapsed="false">
      <c r="A47" s="6" t="s">
        <v>305</v>
      </c>
      <c r="B47" s="23" t="n">
        <f aca="false">(D20+D21-B15)*(1-B14)/B44</f>
        <v>0.134810924369748</v>
      </c>
    </row>
    <row r="48" customFormat="false" ht="15" hidden="false" customHeight="false" outlineLevel="0" collapsed="false">
      <c r="A48" s="6" t="s">
        <v>306</v>
      </c>
      <c r="B48" s="9" t="n">
        <f aca="false">Synergies!B14</f>
        <v>0.105</v>
      </c>
    </row>
    <row r="49" customFormat="false" ht="15" hidden="false" customHeight="false" outlineLevel="0" collapsed="false">
      <c r="A49" s="6" t="s">
        <v>307</v>
      </c>
      <c r="B49" s="23" t="n">
        <f aca="false">B12*(1-B14)</f>
        <v>0.04875</v>
      </c>
    </row>
    <row r="50" customFormat="false" ht="15" hidden="false" customHeight="false" outlineLevel="0" collapsed="false">
      <c r="A50" s="6" t="s">
        <v>308</v>
      </c>
      <c r="B50" s="23" t="n">
        <f aca="false">B20/B44</f>
        <v>0.169579831932773</v>
      </c>
    </row>
    <row r="51" customFormat="false" ht="15" hidden="false" customHeight="false" outlineLevel="0" collapsed="false">
      <c r="A51" s="3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310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311</v>
      </c>
    </row>
    <row r="4" customFormat="false" ht="15" hidden="false" customHeight="false" outlineLevel="0" collapsed="false">
      <c r="A4" s="21" t="s">
        <v>312</v>
      </c>
      <c r="B4" s="21" t="s">
        <v>313</v>
      </c>
      <c r="C4" s="21"/>
      <c r="D4" s="21" t="s">
        <v>314</v>
      </c>
      <c r="E4" s="21" t="s">
        <v>313</v>
      </c>
    </row>
    <row r="5" customFormat="false" ht="15" hidden="false" customHeight="false" outlineLevel="0" collapsed="false">
      <c r="A5" s="6" t="s">
        <v>315</v>
      </c>
      <c r="B5" s="8" t="n">
        <f aca="false">'Accretion-Dilution'!B9</f>
        <v>2250</v>
      </c>
      <c r="D5" s="6" t="s">
        <v>316</v>
      </c>
      <c r="E5" s="8" t="n">
        <f aca="false">'Accretion-Dilution'!B5</f>
        <v>3988.6</v>
      </c>
    </row>
    <row r="6" customFormat="false" ht="15" hidden="false" customHeight="false" outlineLevel="0" collapsed="false">
      <c r="A6" s="6" t="s">
        <v>317</v>
      </c>
      <c r="B6" s="8" t="n">
        <f aca="false">'Accretion-Dilution'!B10</f>
        <v>10441.6</v>
      </c>
      <c r="D6" s="6" t="s">
        <v>318</v>
      </c>
      <c r="E6" s="8" t="n">
        <f aca="false">'Accretion-Dilution'!B6</f>
        <v>8553</v>
      </c>
    </row>
    <row r="7" customFormat="false" ht="15" hidden="false" customHeight="false" outlineLevel="0" collapsed="false">
      <c r="D7" s="6" t="s">
        <v>319</v>
      </c>
      <c r="E7" s="8" t="n">
        <f aca="false">'Accretion-Dilution'!B7</f>
        <v>150</v>
      </c>
    </row>
    <row r="8" customFormat="false" ht="15" hidden="false" customHeight="false" outlineLevel="0" collapsed="false">
      <c r="A8" s="6" t="s">
        <v>320</v>
      </c>
      <c r="B8" s="16" t="n">
        <f aca="false">B5+B6</f>
        <v>12691.6</v>
      </c>
      <c r="D8" s="6" t="s">
        <v>320</v>
      </c>
      <c r="E8" s="16" t="n">
        <f aca="false">SUM(E5:E7)</f>
        <v>12691.6</v>
      </c>
    </row>
    <row r="9" customFormat="false" ht="15" hidden="false" customHeight="false" outlineLevel="0" collapsed="false">
      <c r="A9" s="6" t="s">
        <v>321</v>
      </c>
      <c r="B9" s="8" t="n">
        <f aca="false">'Accretion-Dilution'!B11-B6</f>
        <v>1558.4</v>
      </c>
    </row>
    <row r="11" customFormat="false" ht="15" hidden="false" customHeight="false" outlineLevel="0" collapsed="false">
      <c r="A11" s="4" t="s">
        <v>322</v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6" t="s">
        <v>323</v>
      </c>
      <c r="B12" s="19" t="n">
        <f aca="false">B6</f>
        <v>10441.6</v>
      </c>
    </row>
    <row r="13" customFormat="false" ht="15" hidden="false" customHeight="false" outlineLevel="0" collapsed="false">
      <c r="A13" s="6" t="s">
        <v>324</v>
      </c>
      <c r="B13" s="8" t="n">
        <f aca="false">'Acquirer Standalone'!B13*10/'Acquirer Standalone'!B19</f>
        <v>486.131540239546</v>
      </c>
    </row>
    <row r="14" customFormat="false" ht="15" hidden="false" customHeight="false" outlineLevel="0" collapsed="false">
      <c r="A14" s="6" t="s">
        <v>325</v>
      </c>
      <c r="B14" s="8" t="n">
        <f aca="false">-('Acquirer Standalone'!B12*10/'Acquirer Standalone'!B19-B5)</f>
        <v>-347.499474679554</v>
      </c>
    </row>
    <row r="15" customFormat="false" ht="15" hidden="false" customHeight="false" outlineLevel="0" collapsed="false">
      <c r="A15" s="6" t="s">
        <v>326</v>
      </c>
      <c r="B15" s="8" t="n">
        <f aca="false">-'Target Standalone'!B27</f>
        <v>-1132</v>
      </c>
    </row>
    <row r="16" customFormat="false" ht="15" hidden="false" customHeight="false" outlineLevel="0" collapsed="false">
      <c r="A16" s="15" t="s">
        <v>327</v>
      </c>
      <c r="B16" s="16" t="n">
        <f aca="false">SUM(B12:B15)</f>
        <v>9448.23206555999</v>
      </c>
    </row>
    <row r="17" customFormat="false" ht="15" hidden="false" customHeight="false" outlineLevel="0" collapsed="false">
      <c r="A17" s="6" t="s">
        <v>328</v>
      </c>
      <c r="B17" s="8" t="n">
        <f aca="false">'Acquirer Standalone'!B14*10/'Acquirer Standalone'!B19</f>
        <v>1934.8602647615</v>
      </c>
    </row>
    <row r="18" customFormat="false" ht="15" hidden="false" customHeight="false" outlineLevel="0" collapsed="false">
      <c r="A18" s="6" t="s">
        <v>329</v>
      </c>
      <c r="B18" s="8" t="n">
        <f aca="false">'Target Standalone'!E39</f>
        <v>1894</v>
      </c>
    </row>
    <row r="19" customFormat="false" ht="15" hidden="false" customHeight="false" outlineLevel="0" collapsed="false">
      <c r="A19" s="15" t="s">
        <v>330</v>
      </c>
      <c r="B19" s="38" t="n">
        <f aca="false">B16/(B17+B18)</f>
        <v>2.4676356440886</v>
      </c>
    </row>
    <row r="20" customFormat="false" ht="15" hidden="false" customHeight="false" outlineLevel="0" collapsed="false">
      <c r="A20" s="6" t="s">
        <v>331</v>
      </c>
      <c r="B20" s="33" t="n">
        <v>2.3</v>
      </c>
    </row>
    <row r="21" customFormat="false" ht="15" hidden="false" customHeight="false" outlineLevel="0" collapsed="false">
      <c r="A21" s="6" t="s">
        <v>332</v>
      </c>
      <c r="B21" s="23" t="n">
        <f aca="false">B18/(B17+B18)</f>
        <v>0.494664173940016</v>
      </c>
    </row>
    <row r="22" customFormat="false" ht="15" hidden="false" customHeight="false" outlineLevel="0" collapsed="false">
      <c r="A22" s="3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334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335</v>
      </c>
    </row>
    <row r="4" customFormat="false" ht="15" hidden="false" customHeight="false" outlineLevel="0" collapsed="false">
      <c r="A4" s="6" t="s">
        <v>3</v>
      </c>
      <c r="B4" s="7" t="n">
        <f aca="false">'Deal Terms'!B20</f>
        <v>14</v>
      </c>
    </row>
    <row r="5" customFormat="false" ht="15" hidden="false" customHeight="false" outlineLevel="0" collapsed="false">
      <c r="A5" s="6" t="s">
        <v>336</v>
      </c>
      <c r="B5" s="13" t="n">
        <v>13.78</v>
      </c>
    </row>
    <row r="6" customFormat="false" ht="15" hidden="false" customHeight="false" outlineLevel="0" collapsed="false">
      <c r="A6" s="6" t="s">
        <v>337</v>
      </c>
      <c r="B6" s="13" t="n">
        <v>0.02</v>
      </c>
    </row>
    <row r="7" customFormat="false" ht="15" hidden="false" customHeight="false" outlineLevel="0" collapsed="false">
      <c r="A7" s="6" t="s">
        <v>338</v>
      </c>
      <c r="B7" s="39" t="n">
        <f aca="false">B4+B6-B5</f>
        <v>0.24</v>
      </c>
    </row>
    <row r="8" customFormat="false" ht="15" hidden="false" customHeight="false" outlineLevel="0" collapsed="false">
      <c r="A8" s="6" t="s">
        <v>339</v>
      </c>
      <c r="B8" s="18" t="n">
        <f aca="false">B7/B5</f>
        <v>0.0174165457184325</v>
      </c>
    </row>
    <row r="9" customFormat="false" ht="15" hidden="false" customHeight="false" outlineLevel="0" collapsed="false">
      <c r="A9" s="6" t="s">
        <v>340</v>
      </c>
      <c r="B9" s="40" t="n">
        <v>46323</v>
      </c>
    </row>
    <row r="10" customFormat="false" ht="15" hidden="false" customHeight="false" outlineLevel="0" collapsed="false">
      <c r="A10" s="6" t="s">
        <v>341</v>
      </c>
      <c r="B10" s="40" t="n">
        <v>46413</v>
      </c>
    </row>
    <row r="11" customFormat="false" ht="15" hidden="false" customHeight="false" outlineLevel="0" collapsed="false">
      <c r="A11" s="6" t="s">
        <v>342</v>
      </c>
      <c r="B11" s="41" t="n">
        <f aca="false">B10-B9</f>
        <v>90</v>
      </c>
    </row>
    <row r="12" customFormat="false" ht="15" hidden="false" customHeight="false" outlineLevel="0" collapsed="false">
      <c r="A12" s="15" t="s">
        <v>343</v>
      </c>
      <c r="B12" s="28" t="n">
        <f aca="false">(1+B8)^(365/B11)-1</f>
        <v>0.0725357670871125</v>
      </c>
    </row>
    <row r="13" customFormat="false" ht="15" hidden="false" customHeight="false" outlineLevel="0" collapsed="false">
      <c r="A13" s="6" t="s">
        <v>344</v>
      </c>
      <c r="B13" s="42" t="n">
        <v>0.03995</v>
      </c>
    </row>
    <row r="14" customFormat="false" ht="15" hidden="false" customHeight="false" outlineLevel="0" collapsed="false">
      <c r="A14" s="6" t="s">
        <v>345</v>
      </c>
      <c r="B14" s="23" t="n">
        <f aca="false">B12-B13</f>
        <v>0.0325857670871125</v>
      </c>
    </row>
    <row r="15" customFormat="false" ht="15" hidden="false" customHeight="false" outlineLevel="0" collapsed="false">
      <c r="A15" s="6" t="s">
        <v>346</v>
      </c>
      <c r="B15" s="7" t="n">
        <f aca="false">'Premium &amp; Precedents'!B6</f>
        <v>6.91</v>
      </c>
    </row>
    <row r="16" customFormat="false" ht="15" hidden="false" customHeight="false" outlineLevel="0" collapsed="false">
      <c r="A16" s="6" t="s">
        <v>347</v>
      </c>
      <c r="B16" s="23" t="n">
        <f aca="false">C16/D16-1</f>
        <v>0.134705611708129</v>
      </c>
      <c r="C16" s="26" t="n">
        <v>7743.98</v>
      </c>
      <c r="D16" s="26" t="n">
        <v>6824.66</v>
      </c>
      <c r="E16" s="3" t="s">
        <v>348</v>
      </c>
    </row>
    <row r="17" customFormat="false" ht="15" hidden="false" customHeight="false" outlineLevel="0" collapsed="false">
      <c r="A17" s="6" t="s">
        <v>349</v>
      </c>
      <c r="B17" s="39" t="n">
        <f aca="false">B15*(1+B16)</f>
        <v>7.84081577690317</v>
      </c>
    </row>
    <row r="18" customFormat="false" ht="15" hidden="false" customHeight="false" outlineLevel="0" collapsed="false">
      <c r="A18" s="6" t="s">
        <v>350</v>
      </c>
      <c r="B18" s="23" t="n">
        <f aca="false">(B5*(1+B13*B11/365)-B17)/(B4+B6-B17)</f>
        <v>0.983127617193522</v>
      </c>
    </row>
    <row r="19" customFormat="false" ht="15" hidden="false" customHeight="false" outlineLevel="0" collapsed="false">
      <c r="A19" s="6" t="s">
        <v>351</v>
      </c>
      <c r="B19" s="23" t="n">
        <f aca="false">B17/B5-1</f>
        <v>-0.431000306465662</v>
      </c>
    </row>
    <row r="20" customFormat="false" ht="15" hidden="false" customHeight="false" outlineLevel="0" collapsed="false">
      <c r="A20" s="6" t="s">
        <v>352</v>
      </c>
      <c r="B20" s="18" t="n">
        <f aca="false">B8</f>
        <v>0.0174165457184325</v>
      </c>
    </row>
    <row r="21" customFormat="false" ht="15" hidden="false" customHeight="false" outlineLevel="0" collapsed="false">
      <c r="A21" s="6" t="s">
        <v>353</v>
      </c>
      <c r="B21" s="43" t="n">
        <f aca="false">-B19/B20</f>
        <v>24.7466009295701</v>
      </c>
    </row>
    <row r="23" customFormat="false" ht="15" hidden="false" customHeight="false" outlineLevel="0" collapsed="false">
      <c r="A23" s="4" t="s">
        <v>354</v>
      </c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21" t="s">
        <v>355</v>
      </c>
      <c r="B24" s="21" t="s">
        <v>356</v>
      </c>
      <c r="C24" s="21" t="s">
        <v>357</v>
      </c>
      <c r="D24" s="21" t="s">
        <v>358</v>
      </c>
    </row>
    <row r="25" customFormat="false" ht="15" hidden="false" customHeight="false" outlineLevel="0" collapsed="false">
      <c r="A25" s="22" t="s">
        <v>359</v>
      </c>
      <c r="B25" s="41" t="n">
        <f aca="false">E25-$B$9</f>
        <v>90</v>
      </c>
      <c r="C25" s="23" t="n">
        <f aca="false">(1+$B$8)^(365/B25)-1</f>
        <v>0.0725357670871125</v>
      </c>
      <c r="D25" s="44" t="n">
        <f aca="false">C25-$B$13</f>
        <v>0.0325857670871125</v>
      </c>
      <c r="E25" s="40" t="n">
        <v>46413</v>
      </c>
    </row>
    <row r="26" customFormat="false" ht="15" hidden="false" customHeight="false" outlineLevel="0" collapsed="false">
      <c r="A26" s="22" t="s">
        <v>360</v>
      </c>
      <c r="B26" s="41" t="n">
        <f aca="false">E26-$B$9</f>
        <v>154</v>
      </c>
      <c r="C26" s="23" t="n">
        <f aca="false">(1+$B$8)^(365/B26)-1</f>
        <v>0.0417730552940061</v>
      </c>
      <c r="D26" s="44" t="n">
        <f aca="false">C26-$B$13</f>
        <v>0.0018230552940061</v>
      </c>
      <c r="E26" s="40" t="n">
        <v>46477</v>
      </c>
    </row>
    <row r="27" customFormat="false" ht="15" hidden="false" customHeight="false" outlineLevel="0" collapsed="false">
      <c r="A27" s="22" t="s">
        <v>361</v>
      </c>
      <c r="B27" s="41" t="n">
        <f aca="false">E27-$B$9</f>
        <v>180</v>
      </c>
      <c r="C27" s="23" t="n">
        <f aca="false">(1+$B$8)^(365/B27)-1</f>
        <v>0.0356330272288117</v>
      </c>
      <c r="D27" s="44" t="n">
        <f aca="false">C27-$B$13</f>
        <v>-0.00431697277118832</v>
      </c>
      <c r="E27" s="40" t="n">
        <v>46503</v>
      </c>
    </row>
    <row r="29" customFormat="false" ht="15" hidden="false" customHeight="false" outlineLevel="0" collapsed="false">
      <c r="A29" s="3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363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364</v>
      </c>
    </row>
    <row r="4" customFormat="false" ht="15" hidden="false" customHeight="false" outlineLevel="0" collapsed="false">
      <c r="A4" s="4" t="s">
        <v>365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366</v>
      </c>
      <c r="B5" s="9" t="n">
        <f aca="false">Synergies!B14</f>
        <v>0.105</v>
      </c>
    </row>
    <row r="6" customFormat="false" ht="15" hidden="false" customHeight="false" outlineLevel="0" collapsed="false">
      <c r="A6" s="6" t="s">
        <v>367</v>
      </c>
      <c r="B6" s="9" t="n">
        <f aca="false">Synergies!B15</f>
        <v>-0.01</v>
      </c>
    </row>
    <row r="7" customFormat="false" ht="15" hidden="false" customHeight="false" outlineLevel="0" collapsed="false">
      <c r="A7" s="6" t="s">
        <v>368</v>
      </c>
      <c r="B7" s="8" t="n">
        <f aca="false">'Target Standalone'!I39</f>
        <v>1986</v>
      </c>
    </row>
    <row r="8" customFormat="false" ht="15" hidden="false" customHeight="false" outlineLevel="0" collapsed="false">
      <c r="A8" s="6" t="s">
        <v>369</v>
      </c>
      <c r="B8" s="17" t="n">
        <v>77</v>
      </c>
    </row>
    <row r="9" customFormat="false" ht="15" hidden="false" customHeight="false" outlineLevel="0" collapsed="false">
      <c r="A9" s="6" t="s">
        <v>370</v>
      </c>
      <c r="B9" s="8" t="n">
        <f aca="false">'Target Standalone'!D15</f>
        <v>156</v>
      </c>
    </row>
    <row r="10" customFormat="false" ht="15" hidden="false" customHeight="false" outlineLevel="0" collapsed="false">
      <c r="A10" s="6" t="s">
        <v>371</v>
      </c>
      <c r="B10" s="8" t="n">
        <f aca="false">(B7-B9)*Synergies!B12</f>
        <v>457.5</v>
      </c>
    </row>
    <row r="11" customFormat="false" ht="15" hidden="false" customHeight="false" outlineLevel="0" collapsed="false">
      <c r="A11" s="6" t="s">
        <v>372</v>
      </c>
      <c r="B11" s="8" t="n">
        <f aca="false">'Target Standalone'!D18</f>
        <v>162</v>
      </c>
    </row>
    <row r="12" customFormat="false" ht="15" hidden="false" customHeight="false" outlineLevel="0" collapsed="false">
      <c r="A12" s="6" t="s">
        <v>373</v>
      </c>
      <c r="B12" s="17" t="n">
        <v>0</v>
      </c>
    </row>
    <row r="13" customFormat="false" ht="15" hidden="false" customHeight="false" outlineLevel="0" collapsed="false">
      <c r="A13" s="15" t="s">
        <v>374</v>
      </c>
      <c r="B13" s="16" t="n">
        <f aca="false">B7-B8-B10-B11-B12</f>
        <v>1289.5</v>
      </c>
    </row>
    <row r="14" customFormat="false" ht="15" hidden="false" customHeight="false" outlineLevel="0" collapsed="false">
      <c r="A14" s="6" t="s">
        <v>375</v>
      </c>
      <c r="B14" s="8" t="n">
        <f aca="false">AVERAGE('Target Standalone'!F40:H40)</f>
        <v>929.666666666667</v>
      </c>
    </row>
    <row r="15" customFormat="false" ht="15" hidden="false" customHeight="false" outlineLevel="0" collapsed="false">
      <c r="A15" s="21"/>
      <c r="B15" s="21" t="s">
        <v>376</v>
      </c>
      <c r="C15" s="21" t="s">
        <v>158</v>
      </c>
      <c r="D15" s="21" t="s">
        <v>159</v>
      </c>
      <c r="E15" s="21" t="s">
        <v>160</v>
      </c>
      <c r="F15" s="21" t="s">
        <v>161</v>
      </c>
    </row>
    <row r="16" customFormat="false" ht="15" hidden="false" customHeight="false" outlineLevel="0" collapsed="false">
      <c r="A16" s="6" t="s">
        <v>377</v>
      </c>
      <c r="B16" s="8" t="n">
        <f aca="false">SUM('Target Standalone'!B40:D40)</f>
        <v>505</v>
      </c>
      <c r="C16" s="8" t="n">
        <f aca="false">'Target Standalone'!F40</f>
        <v>714</v>
      </c>
      <c r="D16" s="8" t="n">
        <f aca="false">'Target Standalone'!G40</f>
        <v>958</v>
      </c>
      <c r="E16" s="8" t="n">
        <f aca="false">'Target Standalone'!H40</f>
        <v>1117</v>
      </c>
      <c r="F16" s="8" t="n">
        <f aca="false">'Target Standalone'!I40</f>
        <v>774</v>
      </c>
    </row>
    <row r="17" customFormat="false" ht="15" hidden="false" customHeight="false" outlineLevel="0" collapsed="false">
      <c r="A17" s="6" t="s">
        <v>246</v>
      </c>
      <c r="B17" s="45" t="n">
        <f aca="false">Synergies!B18</f>
        <v>0.375</v>
      </c>
      <c r="C17" s="45" t="n">
        <f aca="false">Synergies!C18</f>
        <v>1.25</v>
      </c>
      <c r="D17" s="45" t="n">
        <f aca="false">Synergies!D18</f>
        <v>2.25</v>
      </c>
      <c r="E17" s="45" t="n">
        <f aca="false">Synergies!E18</f>
        <v>3.25</v>
      </c>
      <c r="F17" s="45" t="n">
        <f aca="false">Synergies!F18</f>
        <v>4.25</v>
      </c>
    </row>
    <row r="18" customFormat="false" ht="15" hidden="false" customHeight="false" outlineLevel="0" collapsed="false">
      <c r="A18" s="6" t="s">
        <v>378</v>
      </c>
      <c r="B18" s="19" t="n">
        <f aca="false">B16/(1+$B$5)^B17</f>
        <v>486.441393433171</v>
      </c>
      <c r="C18" s="19" t="n">
        <f aca="false">C16/(1+$B$5)^C17</f>
        <v>630.224618805403</v>
      </c>
      <c r="D18" s="19" t="n">
        <f aca="false">D16/(1+$B$5)^D17</f>
        <v>765.244793611387</v>
      </c>
      <c r="E18" s="19" t="n">
        <f aca="false">E16/(1+$B$5)^E17</f>
        <v>807.468835397953</v>
      </c>
      <c r="F18" s="19" t="n">
        <f aca="false">F16/(1+$B$5)^F17</f>
        <v>506.350541891067</v>
      </c>
    </row>
    <row r="19" customFormat="false" ht="15" hidden="false" customHeight="false" outlineLevel="0" collapsed="false">
      <c r="A19" s="6" t="s">
        <v>379</v>
      </c>
      <c r="B19" s="19" t="n">
        <f aca="false">B13*(1+B6)/(B5-B6)/(1+B5)^F17</f>
        <v>7262.21361117679</v>
      </c>
    </row>
    <row r="20" customFormat="false" ht="15" hidden="false" customHeight="false" outlineLevel="0" collapsed="false">
      <c r="A20" s="15" t="s">
        <v>380</v>
      </c>
      <c r="B20" s="16" t="n">
        <f aca="false">SUM(B18:F18)+B19</f>
        <v>10457.9437943158</v>
      </c>
    </row>
    <row r="21" customFormat="false" ht="15" hidden="false" customHeight="false" outlineLevel="0" collapsed="false">
      <c r="A21" s="6" t="s">
        <v>381</v>
      </c>
      <c r="B21" s="7" t="n">
        <f aca="false">(B20-'Deal Terms'!B25)/'Deal Terms'!B21</f>
        <v>10.2770929951413</v>
      </c>
    </row>
    <row r="23" customFormat="false" ht="15" hidden="false" customHeight="false" outlineLevel="0" collapsed="false">
      <c r="A23" s="4" t="s">
        <v>382</v>
      </c>
      <c r="B23" s="5"/>
      <c r="C23" s="5"/>
      <c r="D23" s="5"/>
      <c r="E23" s="5"/>
      <c r="F23" s="5"/>
      <c r="G23" s="5"/>
      <c r="H23" s="5"/>
      <c r="I23" s="5"/>
    </row>
    <row r="24" customFormat="false" ht="23.85" hidden="false" customHeight="false" outlineLevel="0" collapsed="false">
      <c r="A24" s="21" t="s">
        <v>383</v>
      </c>
      <c r="B24" s="21" t="s">
        <v>384</v>
      </c>
      <c r="C24" s="21" t="s">
        <v>385</v>
      </c>
      <c r="D24" s="21" t="s">
        <v>386</v>
      </c>
    </row>
    <row r="25" customFormat="false" ht="15" hidden="false" customHeight="false" outlineLevel="0" collapsed="false">
      <c r="A25" s="6" t="s">
        <v>387</v>
      </c>
      <c r="B25" s="24" t="n">
        <v>0.102</v>
      </c>
      <c r="C25" s="24" t="n">
        <v>-0.02</v>
      </c>
      <c r="D25" s="7" t="n">
        <f aca="false">((SUMPRODUCT($B$16:$F$16,1/(1+B25)^$B$17:$F$17)+$B$13*(1+C25)/(B25-C25)/(1+B25)^$F$17)-'Deal Terms'!$B$25)/'Deal Terms'!$B$21</f>
        <v>8.9197937816841</v>
      </c>
    </row>
    <row r="26" customFormat="false" ht="15" hidden="false" customHeight="false" outlineLevel="0" collapsed="false">
      <c r="A26" s="6" t="s">
        <v>388</v>
      </c>
      <c r="B26" s="24" t="n">
        <v>0.102</v>
      </c>
      <c r="C26" s="24" t="n">
        <v>0</v>
      </c>
      <c r="D26" s="7" t="n">
        <f aca="false">((SUMPRODUCT($B$16:$F$16,1/(1+B26)^$B$17:$F$17)+$B$13*(1+C26)/(B26-C26)/(1+B26)^$F$17)-'Deal Terms'!$B$25)/'Deal Terms'!$B$21</f>
        <v>14.2250786487095</v>
      </c>
    </row>
    <row r="27" customFormat="false" ht="15" hidden="false" customHeight="false" outlineLevel="0" collapsed="false">
      <c r="A27" s="6" t="s">
        <v>389</v>
      </c>
      <c r="B27" s="24" t="n">
        <v>0.109</v>
      </c>
      <c r="C27" s="24" t="n">
        <v>-0.02</v>
      </c>
      <c r="D27" s="7" t="n">
        <f aca="false">((SUMPRODUCT($B$16:$F$16,1/(1+B27)^$B$17:$F$17)+$B$13*(1+C27)/(B27-C27)/(1+B27)^$F$17)-'Deal Terms'!$B$25)/'Deal Terms'!$B$21</f>
        <v>6.84414957142162</v>
      </c>
    </row>
    <row r="28" customFormat="false" ht="15" hidden="false" customHeight="false" outlineLevel="0" collapsed="false">
      <c r="A28" s="6" t="s">
        <v>390</v>
      </c>
      <c r="B28" s="24" t="n">
        <v>0.109</v>
      </c>
      <c r="C28" s="24" t="n">
        <v>0</v>
      </c>
      <c r="D28" s="7" t="n">
        <f aca="false">((SUMPRODUCT($B$16:$F$16,1/(1+B28)^$B$17:$F$17)+$B$13*(1+C28)/(B28-C28)/(1+B28)^$F$17)-'Deal Terms'!$B$25)/'Deal Terms'!$B$21</f>
        <v>11.4436976163525</v>
      </c>
    </row>
    <row r="29" customFormat="false" ht="15" hidden="false" customHeight="false" outlineLevel="0" collapsed="false">
      <c r="A29" s="6" t="s">
        <v>391</v>
      </c>
      <c r="B29" s="39" t="n">
        <f aca="false">MIN(D25:D28)</f>
        <v>6.84414957142162</v>
      </c>
      <c r="C29" s="39" t="n">
        <f aca="false">MAX(D25:D28)</f>
        <v>14.2250786487095</v>
      </c>
    </row>
    <row r="30" customFormat="false" ht="15" hidden="false" customHeight="false" outlineLevel="0" collapsed="false">
      <c r="A30" s="6" t="s">
        <v>392</v>
      </c>
      <c r="B30" s="7" t="n">
        <f aca="false">'Premium &amp; Precedents'!B30</f>
        <v>6.8</v>
      </c>
      <c r="C30" s="7" t="n">
        <f aca="false">'Premium &amp; Precedents'!C30</f>
        <v>13.9</v>
      </c>
    </row>
    <row r="31" customFormat="false" ht="15" hidden="false" customHeight="false" outlineLevel="0" collapsed="false">
      <c r="A31" s="6" t="s">
        <v>393</v>
      </c>
      <c r="B31" s="23" t="n">
        <f aca="false">B29/B30-1</f>
        <v>0.00649258403259179</v>
      </c>
      <c r="C31" s="23" t="n">
        <f aca="false">C29/C30-1</f>
        <v>0.023386953144567</v>
      </c>
    </row>
    <row r="33" customFormat="false" ht="15" hidden="false" customHeight="false" outlineLevel="0" collapsed="false">
      <c r="A33" s="4" t="s">
        <v>394</v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6" t="s">
        <v>395</v>
      </c>
      <c r="B34" s="19" t="n">
        <f aca="false">B20</f>
        <v>10457.9437943158</v>
      </c>
    </row>
    <row r="35" customFormat="false" ht="15" hidden="false" customHeight="false" outlineLevel="0" collapsed="false">
      <c r="A35" s="6" t="s">
        <v>396</v>
      </c>
      <c r="B35" s="8" t="n">
        <f aca="false">Synergies!B27</f>
        <v>1802.87852176929</v>
      </c>
    </row>
    <row r="36" customFormat="false" ht="15" hidden="false" customHeight="false" outlineLevel="0" collapsed="false">
      <c r="A36" s="15" t="s">
        <v>397</v>
      </c>
      <c r="B36" s="16" t="n">
        <f aca="false">B34+B35</f>
        <v>12260.8223160851</v>
      </c>
    </row>
    <row r="37" customFormat="false" ht="15" hidden="false" customHeight="false" outlineLevel="0" collapsed="false">
      <c r="A37" s="6" t="s">
        <v>398</v>
      </c>
      <c r="B37" s="7" t="n">
        <f aca="false">(B36-'Deal Terms'!B25)/'Deal Terms'!B21</f>
        <v>16.6052029346615</v>
      </c>
    </row>
    <row r="38" customFormat="false" ht="15" hidden="false" customHeight="false" outlineLevel="0" collapsed="false">
      <c r="A38" s="6" t="s">
        <v>399</v>
      </c>
      <c r="B38" s="8" t="n">
        <f aca="false">'Accretion-Dilution'!B44</f>
        <v>11900</v>
      </c>
    </row>
    <row r="39" customFormat="false" ht="15" hidden="false" customHeight="false" outlineLevel="0" collapsed="false">
      <c r="A39" s="15" t="s">
        <v>400</v>
      </c>
      <c r="B39" s="16" t="n">
        <f aca="false">B36-B38</f>
        <v>360.822316085058</v>
      </c>
    </row>
    <row r="40" customFormat="false" ht="15" hidden="false" customHeight="false" outlineLevel="0" collapsed="false">
      <c r="A40" s="6" t="s">
        <v>401</v>
      </c>
      <c r="B40" s="23" t="n">
        <f aca="false">B39/B35</f>
        <v>0.200136787769238</v>
      </c>
    </row>
    <row r="41" customFormat="false" ht="15" hidden="false" customHeight="false" outlineLevel="0" collapsed="false">
      <c r="A41" s="6" t="s">
        <v>402</v>
      </c>
      <c r="B41" s="19" t="n">
        <f aca="false">B34-B38</f>
        <v>-1442.05620568423</v>
      </c>
    </row>
    <row r="42" customFormat="false" ht="15" hidden="false" customHeight="false" outlineLevel="0" collapsed="false">
      <c r="A42" s="6" t="s">
        <v>403</v>
      </c>
      <c r="B42" s="9" t="n">
        <f aca="false">(B38-B34-Synergies!B29)/Synergies!B28</f>
        <v>0.821690255059029</v>
      </c>
    </row>
    <row r="44" customFormat="false" ht="15" hidden="false" customHeight="false" outlineLevel="0" collapsed="false">
      <c r="A44" s="4" t="s">
        <v>404</v>
      </c>
      <c r="B44" s="5"/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6" t="s">
        <v>405</v>
      </c>
      <c r="B45" s="26" t="n">
        <v>1717.1</v>
      </c>
    </row>
    <row r="46" customFormat="false" ht="15" hidden="false" customHeight="false" outlineLevel="0" collapsed="false">
      <c r="A46" s="6" t="s">
        <v>406</v>
      </c>
      <c r="B46" s="26" t="n">
        <v>1680.1</v>
      </c>
    </row>
    <row r="47" customFormat="false" ht="15" hidden="false" customHeight="false" outlineLevel="0" collapsed="false">
      <c r="A47" s="6" t="s">
        <v>407</v>
      </c>
      <c r="B47" s="26" t="n">
        <v>1733.5</v>
      </c>
    </row>
    <row r="48" customFormat="false" ht="15" hidden="false" customHeight="false" outlineLevel="0" collapsed="false">
      <c r="A48" s="6" t="s">
        <v>408</v>
      </c>
      <c r="B48" s="26" t="n">
        <v>23775.1</v>
      </c>
    </row>
    <row r="49" customFormat="false" ht="15" hidden="false" customHeight="false" outlineLevel="0" collapsed="false">
      <c r="A49" s="6" t="s">
        <v>409</v>
      </c>
      <c r="B49" s="26" t="n">
        <v>24173.05</v>
      </c>
    </row>
    <row r="50" customFormat="false" ht="15" hidden="false" customHeight="false" outlineLevel="0" collapsed="false">
      <c r="A50" s="6" t="s">
        <v>410</v>
      </c>
      <c r="B50" s="26" t="n">
        <v>24092.7</v>
      </c>
    </row>
    <row r="51" customFormat="false" ht="15" hidden="false" customHeight="false" outlineLevel="0" collapsed="false">
      <c r="A51" s="6" t="s">
        <v>411</v>
      </c>
      <c r="B51" s="26" t="n">
        <v>22698.85</v>
      </c>
    </row>
    <row r="52" customFormat="false" ht="15" hidden="false" customHeight="false" outlineLevel="0" collapsed="false">
      <c r="A52" s="6" t="s">
        <v>412</v>
      </c>
      <c r="B52" s="8" t="n">
        <f aca="false">'Premium &amp; Precedents'!B15</f>
        <v>1968.659</v>
      </c>
    </row>
    <row r="53" customFormat="false" ht="15" hidden="false" customHeight="false" outlineLevel="0" collapsed="false">
      <c r="A53" s="6" t="s">
        <v>413</v>
      </c>
      <c r="B53" s="8" t="n">
        <f aca="false">'Premium &amp; Precedents'!B16</f>
        <v>2019.941</v>
      </c>
    </row>
    <row r="54" customFormat="false" ht="15" hidden="false" customHeight="false" outlineLevel="0" collapsed="false">
      <c r="A54" s="6" t="s">
        <v>414</v>
      </c>
      <c r="B54" s="23" t="n">
        <f aca="false">(B47/B46-1)-(B50/B49-1)</f>
        <v>0.0351077719965597</v>
      </c>
    </row>
    <row r="55" customFormat="false" ht="15" hidden="false" customHeight="false" outlineLevel="0" collapsed="false">
      <c r="A55" s="6" t="s">
        <v>415</v>
      </c>
      <c r="B55" s="23" t="n">
        <f aca="false">(B47/B45-1)-(B50/B48-1)</f>
        <v>-0.00380752660970152</v>
      </c>
    </row>
    <row r="56" customFormat="false" ht="15" hidden="false" customHeight="false" outlineLevel="0" collapsed="false">
      <c r="A56" s="6" t="s">
        <v>416</v>
      </c>
      <c r="B56" s="9" t="n">
        <f aca="false">'Acquirer Standalone'!B5/B47-1</f>
        <v>0.0138448226132102</v>
      </c>
    </row>
    <row r="57" customFormat="false" ht="15" hidden="false" customHeight="false" outlineLevel="0" collapsed="false">
      <c r="A57" s="6" t="s">
        <v>417</v>
      </c>
      <c r="B57" s="23" t="n">
        <f aca="false">B51/B50-1</f>
        <v>-0.0578536237117469</v>
      </c>
    </row>
    <row r="58" customFormat="false" ht="15" hidden="false" customHeight="false" outlineLevel="0" collapsed="false">
      <c r="A58" s="6" t="s">
        <v>418</v>
      </c>
      <c r="B58" s="23" t="n">
        <f aca="false">B56-B57</f>
        <v>0.071698446324957</v>
      </c>
    </row>
    <row r="60" customFormat="false" ht="15" hidden="false" customHeight="false" outlineLevel="0" collapsed="false">
      <c r="A60" s="4" t="s">
        <v>419</v>
      </c>
      <c r="B60" s="5"/>
      <c r="C60" s="5"/>
      <c r="D60" s="5"/>
      <c r="E60" s="5"/>
      <c r="F60" s="5"/>
      <c r="G60" s="5"/>
      <c r="H60" s="5"/>
      <c r="I60" s="5"/>
    </row>
    <row r="61" customFormat="false" ht="15" hidden="false" customHeight="false" outlineLevel="0" collapsed="false">
      <c r="A61" s="6" t="s">
        <v>420</v>
      </c>
    </row>
    <row r="62" customFormat="false" ht="15" hidden="false" customHeight="false" outlineLevel="0" collapsed="false">
      <c r="A62" s="6" t="s">
        <v>421</v>
      </c>
    </row>
    <row r="63" customFormat="false" ht="15" hidden="false" customHeight="false" outlineLevel="0" collapsed="false">
      <c r="A63" s="6" t="s">
        <v>422</v>
      </c>
    </row>
    <row r="64" customFormat="false" ht="15" hidden="false" customHeight="false" outlineLevel="0" collapsed="false">
      <c r="A64" s="6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5" min="2" style="0" width="14"/>
  </cols>
  <sheetData>
    <row r="1" customFormat="false" ht="17.35" hidden="false" customHeight="false" outlineLevel="0" collapsed="false">
      <c r="A1" s="1" t="s">
        <v>424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425</v>
      </c>
    </row>
    <row r="4" customFormat="false" ht="15" hidden="false" customHeight="false" outlineLevel="0" collapsed="false">
      <c r="A4" s="4" t="s">
        <v>426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15" t="s">
        <v>427</v>
      </c>
      <c r="B5" s="46" t="n">
        <v>5.5</v>
      </c>
      <c r="C5" s="46" t="n">
        <v>6</v>
      </c>
      <c r="D5" s="47" t="n">
        <f aca="false">'Deal Terms'!B26/'Target Standalone'!E39</f>
        <v>6.08162618796199</v>
      </c>
      <c r="E5" s="46" t="n">
        <v>6.5</v>
      </c>
      <c r="F5" s="46" t="n">
        <v>7</v>
      </c>
      <c r="G5" s="46" t="n">
        <v>7.5</v>
      </c>
    </row>
    <row r="6" customFormat="false" ht="15" hidden="false" customHeight="false" outlineLevel="0" collapsed="false">
      <c r="A6" s="48" t="n">
        <v>0.5</v>
      </c>
      <c r="B6" s="8" t="n">
        <f aca="false">'Valuation &amp; Verdict'!$B$34+Synergies!$B$28*$A6+Synergies!$B$29-(B$5*'Target Standalone'!$E$39+'Deal Terms'!$B$28+'Accretion-Dilution'!$B$7)</f>
        <v>450.637132374239</v>
      </c>
      <c r="C6" s="8" t="n">
        <f aca="false">'Valuation &amp; Verdict'!$B$34+Synergies!$B$28*$A6+Synergies!$B$29-(C$5*'Target Standalone'!$E$39+'Deal Terms'!$B$28+'Accretion-Dilution'!$B$7)</f>
        <v>-496.362867625761</v>
      </c>
      <c r="D6" s="8" t="n">
        <f aca="false">'Valuation &amp; Verdict'!$B$34+Synergies!$B$28*$A6+Synergies!$B$29-(D$5*'Target Standalone'!$E$39+'Deal Terms'!$B$28+'Accretion-Dilution'!$B$7)</f>
        <v>-650.96286762576</v>
      </c>
      <c r="E6" s="8" t="n">
        <f aca="false">'Valuation &amp; Verdict'!$B$34+Synergies!$B$28*$A6+Synergies!$B$29-(E$5*'Target Standalone'!$E$39+'Deal Terms'!$B$28+'Accretion-Dilution'!$B$7)</f>
        <v>-1443.36286762576</v>
      </c>
      <c r="F6" s="8" t="n">
        <f aca="false">'Valuation &amp; Verdict'!$B$34+Synergies!$B$28*$A6+Synergies!$B$29-(F$5*'Target Standalone'!$E$39+'Deal Terms'!$B$28+'Accretion-Dilution'!$B$7)</f>
        <v>-2390.36286762576</v>
      </c>
      <c r="G6" s="8" t="n">
        <f aca="false">'Valuation &amp; Verdict'!$B$34+Synergies!$B$28*$A6+Synergies!$B$29-(G$5*'Target Standalone'!$E$39+'Deal Terms'!$B$28+'Accretion-Dilution'!$B$7)</f>
        <v>-3337.36286762576</v>
      </c>
    </row>
    <row r="7" customFormat="false" ht="15" hidden="false" customHeight="false" outlineLevel="0" collapsed="false">
      <c r="A7" s="48" t="n">
        <v>0.75</v>
      </c>
      <c r="B7" s="8" t="n">
        <f aca="false">'Valuation &amp; Verdict'!$B$34+Synergies!$B$28*$A7+Synergies!$B$29-(B$5*'Target Standalone'!$E$39+'Deal Terms'!$B$28+'Accretion-Dilution'!$B$7)</f>
        <v>956.529724229647</v>
      </c>
      <c r="C7" s="8" t="n">
        <f aca="false">'Valuation &amp; Verdict'!$B$34+Synergies!$B$28*$A7+Synergies!$B$29-(C$5*'Target Standalone'!$E$39+'Deal Terms'!$B$28+'Accretion-Dilution'!$B$7)</f>
        <v>9.5297242296474</v>
      </c>
      <c r="D7" s="8" t="n">
        <f aca="false">'Valuation &amp; Verdict'!$B$34+Synergies!$B$28*$A7+Synergies!$B$29-(D$5*'Target Standalone'!$E$39+'Deal Terms'!$B$28+'Accretion-Dilution'!$B$7)</f>
        <v>-145.070275770351</v>
      </c>
      <c r="E7" s="8" t="n">
        <f aca="false">'Valuation &amp; Verdict'!$B$34+Synergies!$B$28*$A7+Synergies!$B$29-(E$5*'Target Standalone'!$E$39+'Deal Terms'!$B$28+'Accretion-Dilution'!$B$7)</f>
        <v>-937.470275770353</v>
      </c>
      <c r="F7" s="8" t="n">
        <f aca="false">'Valuation &amp; Verdict'!$B$34+Synergies!$B$28*$A7+Synergies!$B$29-(F$5*'Target Standalone'!$E$39+'Deal Terms'!$B$28+'Accretion-Dilution'!$B$7)</f>
        <v>-1884.47027577035</v>
      </c>
      <c r="G7" s="8" t="n">
        <f aca="false">'Valuation &amp; Verdict'!$B$34+Synergies!$B$28*$A7+Synergies!$B$29-(G$5*'Target Standalone'!$E$39+'Deal Terms'!$B$28+'Accretion-Dilution'!$B$7)</f>
        <v>-2831.47027577035</v>
      </c>
    </row>
    <row r="8" customFormat="false" ht="15" hidden="false" customHeight="false" outlineLevel="0" collapsed="false">
      <c r="A8" s="48" t="n">
        <v>1</v>
      </c>
      <c r="B8" s="8" t="n">
        <f aca="false">'Valuation &amp; Verdict'!$B$34+Synergies!$B$28*$A8+Synergies!$B$29-(B$5*'Target Standalone'!$E$39+'Deal Terms'!$B$28+'Accretion-Dilution'!$B$7)</f>
        <v>1462.42231608506</v>
      </c>
      <c r="C8" s="8" t="n">
        <f aca="false">'Valuation &amp; Verdict'!$B$34+Synergies!$B$28*$A8+Synergies!$B$29-(C$5*'Target Standalone'!$E$39+'Deal Terms'!$B$28+'Accretion-Dilution'!$B$7)</f>
        <v>515.422316085056</v>
      </c>
      <c r="D8" s="8" t="n">
        <f aca="false">'Valuation &amp; Verdict'!$B$34+Synergies!$B$28*$A8+Synergies!$B$29-(D$5*'Target Standalone'!$E$39+'Deal Terms'!$B$28+'Accretion-Dilution'!$B$7)</f>
        <v>360.822316085058</v>
      </c>
      <c r="E8" s="8" t="n">
        <f aca="false">'Valuation &amp; Verdict'!$B$34+Synergies!$B$28*$A8+Synergies!$B$29-(E$5*'Target Standalone'!$E$39+'Deal Terms'!$B$28+'Accretion-Dilution'!$B$7)</f>
        <v>-431.577683914944</v>
      </c>
      <c r="F8" s="8" t="n">
        <f aca="false">'Valuation &amp; Verdict'!$B$34+Synergies!$B$28*$A8+Synergies!$B$29-(F$5*'Target Standalone'!$E$39+'Deal Terms'!$B$28+'Accretion-Dilution'!$B$7)</f>
        <v>-1378.57768391494</v>
      </c>
      <c r="G8" s="8" t="n">
        <f aca="false">'Valuation &amp; Verdict'!$B$34+Synergies!$B$28*$A8+Synergies!$B$29-(G$5*'Target Standalone'!$E$39+'Deal Terms'!$B$28+'Accretion-Dilution'!$B$7)</f>
        <v>-2325.57768391494</v>
      </c>
    </row>
    <row r="9" customFormat="false" ht="15" hidden="false" customHeight="false" outlineLevel="0" collapsed="false">
      <c r="A9" s="48" t="n">
        <v>1.25</v>
      </c>
      <c r="B9" s="8" t="n">
        <f aca="false">'Valuation &amp; Verdict'!$B$34+Synergies!$B$28*$A9+Synergies!$B$29-(B$5*'Target Standalone'!$E$39+'Deal Terms'!$B$28+'Accretion-Dilution'!$B$7)</f>
        <v>1968.31490794046</v>
      </c>
      <c r="C9" s="8" t="n">
        <f aca="false">'Valuation &amp; Verdict'!$B$34+Synergies!$B$28*$A9+Synergies!$B$29-(C$5*'Target Standalone'!$E$39+'Deal Terms'!$B$28+'Accretion-Dilution'!$B$7)</f>
        <v>1021.31490794046</v>
      </c>
      <c r="D9" s="8" t="n">
        <f aca="false">'Valuation &amp; Verdict'!$B$34+Synergies!$B$28*$A9+Synergies!$B$29-(D$5*'Target Standalone'!$E$39+'Deal Terms'!$B$28+'Accretion-Dilution'!$B$7)</f>
        <v>866.714907940466</v>
      </c>
      <c r="E9" s="8" t="n">
        <f aca="false">'Valuation &amp; Verdict'!$B$34+Synergies!$B$28*$A9+Synergies!$B$29-(E$5*'Target Standalone'!$E$39+'Deal Terms'!$B$28+'Accretion-Dilution'!$B$7)</f>
        <v>74.3149079404648</v>
      </c>
      <c r="F9" s="8" t="n">
        <f aca="false">'Valuation &amp; Verdict'!$B$34+Synergies!$B$28*$A9+Synergies!$B$29-(F$5*'Target Standalone'!$E$39+'Deal Terms'!$B$28+'Accretion-Dilution'!$B$7)</f>
        <v>-872.685092059535</v>
      </c>
      <c r="G9" s="8" t="n">
        <f aca="false">'Valuation &amp; Verdict'!$B$34+Synergies!$B$28*$A9+Synergies!$B$29-(G$5*'Target Standalone'!$E$39+'Deal Terms'!$B$28+'Accretion-Dilution'!$B$7)</f>
        <v>-1819.68509205954</v>
      </c>
    </row>
    <row r="10" customFormat="false" ht="15" hidden="false" customHeight="false" outlineLevel="0" collapsed="false">
      <c r="A10" s="48" t="n">
        <v>2</v>
      </c>
      <c r="B10" s="8" t="n">
        <f aca="false">'Valuation &amp; Verdict'!$B$34+Synergies!$B$28*$A10+Synergies!$B$29-(B$5*'Target Standalone'!$E$39+'Deal Terms'!$B$28+'Accretion-Dilution'!$B$7)</f>
        <v>3485.99268350669</v>
      </c>
      <c r="C10" s="8" t="n">
        <f aca="false">'Valuation &amp; Verdict'!$B$34+Synergies!$B$28*$A10+Synergies!$B$29-(C$5*'Target Standalone'!$E$39+'Deal Terms'!$B$28+'Accretion-Dilution'!$B$7)</f>
        <v>2538.99268350669</v>
      </c>
      <c r="D10" s="8" t="n">
        <f aca="false">'Valuation &amp; Verdict'!$B$34+Synergies!$B$28*$A10+Synergies!$B$29-(D$5*'Target Standalone'!$E$39+'Deal Terms'!$B$28+'Accretion-Dilution'!$B$7)</f>
        <v>2384.39268350669</v>
      </c>
      <c r="E10" s="8" t="n">
        <f aca="false">'Valuation &amp; Verdict'!$B$34+Synergies!$B$28*$A10+Synergies!$B$29-(E$5*'Target Standalone'!$E$39+'Deal Terms'!$B$28+'Accretion-Dilution'!$B$7)</f>
        <v>1591.99268350669</v>
      </c>
      <c r="F10" s="8" t="n">
        <f aca="false">'Valuation &amp; Verdict'!$B$34+Synergies!$B$28*$A10+Synergies!$B$29-(F$5*'Target Standalone'!$E$39+'Deal Terms'!$B$28+'Accretion-Dilution'!$B$7)</f>
        <v>644.992683506691</v>
      </c>
      <c r="G10" s="8" t="n">
        <f aca="false">'Valuation &amp; Verdict'!$B$34+Synergies!$B$28*$A10+Synergies!$B$29-(G$5*'Target Standalone'!$E$39+'Deal Terms'!$B$28+'Accretion-Dilution'!$B$7)</f>
        <v>-302.007316493309</v>
      </c>
    </row>
    <row r="11" customFormat="false" ht="15" hidden="false" customHeight="false" outlineLevel="0" collapsed="false">
      <c r="A11" s="6" t="s">
        <v>428</v>
      </c>
      <c r="B11" s="8" t="n">
        <f aca="false">ROUND(INDEX(D6:D10,MATCH(Synergies!B11,A6:A10,0))-'Valuation &amp; Verdict'!B39,0)</f>
        <v>0</v>
      </c>
    </row>
    <row r="12" customFormat="false" ht="15" hidden="false" customHeight="false" outlineLevel="0" collapsed="false">
      <c r="A12" s="3" t="s">
        <v>429</v>
      </c>
    </row>
    <row r="14" customFormat="false" ht="15" hidden="false" customHeight="false" outlineLevel="0" collapsed="false">
      <c r="A14" s="4" t="s">
        <v>430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15" t="s">
        <v>431</v>
      </c>
      <c r="B15" s="49" t="n">
        <v>0</v>
      </c>
      <c r="C15" s="49" t="n">
        <v>0.5</v>
      </c>
      <c r="D15" s="49" t="n">
        <v>1</v>
      </c>
      <c r="E15" s="49" t="n">
        <v>1.25</v>
      </c>
      <c r="F15" s="49" t="n">
        <v>2</v>
      </c>
    </row>
    <row r="16" customFormat="false" ht="15" hidden="false" customHeight="false" outlineLevel="0" collapsed="false">
      <c r="A16" s="48" t="n">
        <v>0.08</v>
      </c>
      <c r="B16" s="8" t="n">
        <f aca="false">(SUMPRODUCT('Valuation &amp; Verdict'!$B$16:$F$16,1/(1+$A16)^'Valuation &amp; Verdict'!$B$17:$F$17)+'Valuation &amp; Verdict'!$B$13*(1+'Valuation &amp; Verdict'!$B$6)/($A16-'Valuation &amp; Verdict'!$B$6)/(1+$A16)^'Valuation &amp; Verdict'!$F$17)+(SUMPRODUCT(Synergies!$B$21:$F$21/Synergies!$B$11*B$15+Synergies!$B$22:$F$22,1/(1+$A16)^Synergies!$B$18:$F$18)+Synergies!$F$21/Synergies!$B$11*B$15*(1+Synergies!$B$15)/($A16-Synergies!$B$15)/(1+$A16)^Synergies!$F$18)-'Valuation &amp; Verdict'!$B$38</f>
        <v>1470.46601174713</v>
      </c>
      <c r="C16" s="8" t="n">
        <f aca="false">(SUMPRODUCT('Valuation &amp; Verdict'!$B$16:$F$16,1/(1+$A16)^'Valuation &amp; Verdict'!$B$17:$F$17)+'Valuation &amp; Verdict'!$B$13*(1+'Valuation &amp; Verdict'!$B$6)/($A16-'Valuation &amp; Verdict'!$B$6)/(1+$A16)^'Valuation &amp; Verdict'!$F$17)+(SUMPRODUCT(Synergies!$B$21:$F$21/Synergies!$B$11*C$15+Synergies!$B$22:$F$22,1/(1+$A16)^Synergies!$B$18:$F$18)+Synergies!$F$21/Synergies!$B$11*C$15*(1+Synergies!$B$15)/($A16-Synergies!$B$15)/(1+$A16)^Synergies!$F$18)-'Valuation &amp; Verdict'!$B$38</f>
        <v>2804.31383085231</v>
      </c>
      <c r="D16" s="8" t="n">
        <f aca="false">(SUMPRODUCT('Valuation &amp; Verdict'!$B$16:$F$16,1/(1+$A16)^'Valuation &amp; Verdict'!$B$17:$F$17)+'Valuation &amp; Verdict'!$B$13*(1+'Valuation &amp; Verdict'!$B$6)/($A16-'Valuation &amp; Verdict'!$B$6)/(1+$A16)^'Valuation &amp; Verdict'!$F$17)+(SUMPRODUCT(Synergies!$B$21:$F$21/Synergies!$B$11*D$15+Synergies!$B$22:$F$22,1/(1+$A16)^Synergies!$B$18:$F$18)+Synergies!$F$21/Synergies!$B$11*D$15*(1+Synergies!$B$15)/($A16-Synergies!$B$15)/(1+$A16)^Synergies!$F$18)-'Valuation &amp; Verdict'!$B$38</f>
        <v>4138.16164995748</v>
      </c>
      <c r="E16" s="8" t="n">
        <f aca="false">(SUMPRODUCT('Valuation &amp; Verdict'!$B$16:$F$16,1/(1+$A16)^'Valuation &amp; Verdict'!$B$17:$F$17)+'Valuation &amp; Verdict'!$B$13*(1+'Valuation &amp; Verdict'!$B$6)/($A16-'Valuation &amp; Verdict'!$B$6)/(1+$A16)^'Valuation &amp; Verdict'!$F$17)+(SUMPRODUCT(Synergies!$B$21:$F$21/Synergies!$B$11*E$15+Synergies!$B$22:$F$22,1/(1+$A16)^Synergies!$B$18:$F$18)+Synergies!$F$21/Synergies!$B$11*E$15*(1+Synergies!$B$15)/($A16-Synergies!$B$15)/(1+$A16)^Synergies!$F$18)-'Valuation &amp; Verdict'!$B$38</f>
        <v>4805.08555951007</v>
      </c>
      <c r="F16" s="8" t="n">
        <f aca="false">(SUMPRODUCT('Valuation &amp; Verdict'!$B$16:$F$16,1/(1+$A16)^'Valuation &amp; Verdict'!$B$17:$F$17)+'Valuation &amp; Verdict'!$B$13*(1+'Valuation &amp; Verdict'!$B$6)/($A16-'Valuation &amp; Verdict'!$B$6)/(1+$A16)^'Valuation &amp; Verdict'!$F$17)+(SUMPRODUCT(Synergies!$B$21:$F$21/Synergies!$B$11*F$15+Synergies!$B$22:$F$22,1/(1+$A16)^Synergies!$B$18:$F$18)+Synergies!$F$21/Synergies!$B$11*F$15*(1+Synergies!$B$15)/($A16-Synergies!$B$15)/(1+$A16)^Synergies!$F$18)-'Valuation &amp; Verdict'!$B$38</f>
        <v>6805.85728816783</v>
      </c>
    </row>
    <row r="17" customFormat="false" ht="15" hidden="false" customHeight="false" outlineLevel="0" collapsed="false">
      <c r="A17" s="48" t="n">
        <v>0.09</v>
      </c>
      <c r="B17" s="8" t="n">
        <f aca="false">(SUMPRODUCT('Valuation &amp; Verdict'!$B$16:$F$16,1/(1+$A17)^'Valuation &amp; Verdict'!$B$17:$F$17)+'Valuation &amp; Verdict'!$B$13*(1+'Valuation &amp; Verdict'!$B$6)/($A17-'Valuation &amp; Verdict'!$B$6)/(1+$A17)^'Valuation &amp; Verdict'!$F$17)+(SUMPRODUCT(Synergies!$B$21:$F$21/Synergies!$B$11*B$15+Synergies!$B$22:$F$22,1/(1+$A17)^Synergies!$B$18:$F$18)+Synergies!$F$21/Synergies!$B$11*B$15*(1+Synergies!$B$15)/($A17-Synergies!$B$15)/(1+$A17)^Synergies!$F$18)-'Valuation &amp; Verdict'!$B$38</f>
        <v>25.0177237041389</v>
      </c>
      <c r="C17" s="8" t="n">
        <f aca="false">(SUMPRODUCT('Valuation &amp; Verdict'!$B$16:$F$16,1/(1+$A17)^'Valuation &amp; Verdict'!$B$17:$F$17)+'Valuation &amp; Verdict'!$B$13*(1+'Valuation &amp; Verdict'!$B$6)/($A17-'Valuation &amp; Verdict'!$B$6)/(1+$A17)^'Valuation &amp; Verdict'!$F$17)+(SUMPRODUCT(Synergies!$B$21:$F$21/Synergies!$B$11*C$15+Synergies!$B$22:$F$22,1/(1+$A17)^Synergies!$B$18:$F$18)+Synergies!$F$21/Synergies!$B$11*C$15*(1+Synergies!$B$15)/($A17-Synergies!$B$15)/(1+$A17)^Synergies!$F$18)-'Valuation &amp; Verdict'!$B$38</f>
        <v>1210.42707428562</v>
      </c>
      <c r="D17" s="8" t="n">
        <f aca="false">(SUMPRODUCT('Valuation &amp; Verdict'!$B$16:$F$16,1/(1+$A17)^'Valuation &amp; Verdict'!$B$17:$F$17)+'Valuation &amp; Verdict'!$B$13*(1+'Valuation &amp; Verdict'!$B$6)/($A17-'Valuation &amp; Verdict'!$B$6)/(1+$A17)^'Valuation &amp; Verdict'!$F$17)+(SUMPRODUCT(Synergies!$B$21:$F$21/Synergies!$B$11*D$15+Synergies!$B$22:$F$22,1/(1+$A17)^Synergies!$B$18:$F$18)+Synergies!$F$21/Synergies!$B$11*D$15*(1+Synergies!$B$15)/($A17-Synergies!$B$15)/(1+$A17)^Synergies!$F$18)-'Valuation &amp; Verdict'!$B$38</f>
        <v>2395.83642486709</v>
      </c>
      <c r="E17" s="8" t="n">
        <f aca="false">(SUMPRODUCT('Valuation &amp; Verdict'!$B$16:$F$16,1/(1+$A17)^'Valuation &amp; Verdict'!$B$17:$F$17)+'Valuation &amp; Verdict'!$B$13*(1+'Valuation &amp; Verdict'!$B$6)/($A17-'Valuation &amp; Verdict'!$B$6)/(1+$A17)^'Valuation &amp; Verdict'!$F$17)+(SUMPRODUCT(Synergies!$B$21:$F$21/Synergies!$B$11*E$15+Synergies!$B$22:$F$22,1/(1+$A17)^Synergies!$B$18:$F$18)+Synergies!$F$21/Synergies!$B$11*E$15*(1+Synergies!$B$15)/($A17-Synergies!$B$15)/(1+$A17)^Synergies!$F$18)-'Valuation &amp; Verdict'!$B$38</f>
        <v>2988.54110015783</v>
      </c>
      <c r="F17" s="8" t="n">
        <f aca="false">(SUMPRODUCT('Valuation &amp; Verdict'!$B$16:$F$16,1/(1+$A17)^'Valuation &amp; Verdict'!$B$17:$F$17)+'Valuation &amp; Verdict'!$B$13*(1+'Valuation &amp; Verdict'!$B$6)/($A17-'Valuation &amp; Verdict'!$B$6)/(1+$A17)^'Valuation &amp; Verdict'!$F$17)+(SUMPRODUCT(Synergies!$B$21:$F$21/Synergies!$B$11*F$15+Synergies!$B$22:$F$22,1/(1+$A17)^Synergies!$B$18:$F$18)+Synergies!$F$21/Synergies!$B$11*F$15*(1+Synergies!$B$15)/($A17-Synergies!$B$15)/(1+$A17)^Synergies!$F$18)-'Valuation &amp; Verdict'!$B$38</f>
        <v>4766.65512603005</v>
      </c>
    </row>
    <row r="18" customFormat="false" ht="15" hidden="false" customHeight="false" outlineLevel="0" collapsed="false">
      <c r="A18" s="48" t="n">
        <v>0.1</v>
      </c>
      <c r="B18" s="8" t="n">
        <f aca="false">(SUMPRODUCT('Valuation &amp; Verdict'!$B$16:$F$16,1/(1+$A18)^'Valuation &amp; Verdict'!$B$17:$F$17)+'Valuation &amp; Verdict'!$B$13*(1+'Valuation &amp; Verdict'!$B$6)/($A18-'Valuation &amp; Verdict'!$B$6)/(1+$A18)^'Valuation &amp; Verdict'!$F$17)+(SUMPRODUCT(Synergies!$B$21:$F$21/Synergies!$B$11*B$15+Synergies!$B$22:$F$22,1/(1+$A18)^Synergies!$B$18:$F$18)+Synergies!$F$21/Synergies!$B$11*B$15*(1+Synergies!$B$15)/($A18-Synergies!$B$15)/(1+$A18)^Synergies!$F$18)-'Valuation &amp; Verdict'!$B$38</f>
        <v>-1152.52122588498</v>
      </c>
      <c r="C18" s="8" t="n">
        <f aca="false">(SUMPRODUCT('Valuation &amp; Verdict'!$B$16:$F$16,1/(1+$A18)^'Valuation &amp; Verdict'!$B$17:$F$17)+'Valuation &amp; Verdict'!$B$13*(1+'Valuation &amp; Verdict'!$B$6)/($A18-'Valuation &amp; Verdict'!$B$6)/(1+$A18)^'Valuation &amp; Verdict'!$F$17)+(SUMPRODUCT(Synergies!$B$21:$F$21/Synergies!$B$11*C$15+Synergies!$B$22:$F$22,1/(1+$A18)^Synergies!$B$18:$F$18)+Synergies!$F$21/Synergies!$B$11*C$15*(1+Synergies!$B$15)/($A18-Synergies!$B$15)/(1+$A18)^Synergies!$F$18)-'Valuation &amp; Verdict'!$B$38</f>
        <v>-88.2083185533102</v>
      </c>
      <c r="D18" s="8" t="n">
        <f aca="false">(SUMPRODUCT('Valuation &amp; Verdict'!$B$16:$F$16,1/(1+$A18)^'Valuation &amp; Verdict'!$B$17:$F$17)+'Valuation &amp; Verdict'!$B$13*(1+'Valuation &amp; Verdict'!$B$6)/($A18-'Valuation &amp; Verdict'!$B$6)/(1+$A18)^'Valuation &amp; Verdict'!$F$17)+(SUMPRODUCT(Synergies!$B$21:$F$21/Synergies!$B$11*D$15+Synergies!$B$22:$F$22,1/(1+$A18)^Synergies!$B$18:$F$18)+Synergies!$F$21/Synergies!$B$11*D$15*(1+Synergies!$B$15)/($A18-Synergies!$B$15)/(1+$A18)^Synergies!$F$18)-'Valuation &amp; Verdict'!$B$38</f>
        <v>976.104588778362</v>
      </c>
      <c r="E18" s="8" t="n">
        <f aca="false">(SUMPRODUCT('Valuation &amp; Verdict'!$B$16:$F$16,1/(1+$A18)^'Valuation &amp; Verdict'!$B$17:$F$17)+'Valuation &amp; Verdict'!$B$13*(1+'Valuation &amp; Verdict'!$B$6)/($A18-'Valuation &amp; Verdict'!$B$6)/(1+$A18)^'Valuation &amp; Verdict'!$F$17)+(SUMPRODUCT(Synergies!$B$21:$F$21/Synergies!$B$11*E$15+Synergies!$B$22:$F$22,1/(1+$A18)^Synergies!$B$18:$F$18)+Synergies!$F$21/Synergies!$B$11*E$15*(1+Synergies!$B$15)/($A18-Synergies!$B$15)/(1+$A18)^Synergies!$F$18)-'Valuation &amp; Verdict'!$B$38</f>
        <v>1508.2610424442</v>
      </c>
      <c r="F18" s="8" t="n">
        <f aca="false">(SUMPRODUCT('Valuation &amp; Verdict'!$B$16:$F$16,1/(1+$A18)^'Valuation &amp; Verdict'!$B$17:$F$17)+'Valuation &amp; Verdict'!$B$13*(1+'Valuation &amp; Verdict'!$B$6)/($A18-'Valuation &amp; Verdict'!$B$6)/(1+$A18)^'Valuation &amp; Verdict'!$F$17)+(SUMPRODUCT(Synergies!$B$21:$F$21/Synergies!$B$11*F$15+Synergies!$B$22:$F$22,1/(1+$A18)^Synergies!$B$18:$F$18)+Synergies!$F$21/Synergies!$B$11*F$15*(1+Synergies!$B$15)/($A18-Synergies!$B$15)/(1+$A18)^Synergies!$F$18)-'Valuation &amp; Verdict'!$B$38</f>
        <v>3104.73040344171</v>
      </c>
    </row>
    <row r="19" customFormat="false" ht="15" hidden="false" customHeight="false" outlineLevel="0" collapsed="false">
      <c r="A19" s="48" t="n">
        <v>0.105</v>
      </c>
      <c r="B19" s="8" t="n">
        <f aca="false">(SUMPRODUCT('Valuation &amp; Verdict'!$B$16:$F$16,1/(1+$A19)^'Valuation &amp; Verdict'!$B$17:$F$17)+'Valuation &amp; Verdict'!$B$13*(1+'Valuation &amp; Verdict'!$B$6)/($A19-'Valuation &amp; Verdict'!$B$6)/(1+$A19)^'Valuation &amp; Verdict'!$F$17)+(SUMPRODUCT(Synergies!$B$21:$F$21/Synergies!$B$11*B$15+Synergies!$B$22:$F$22,1/(1+$A19)^Synergies!$B$18:$F$18)+Synergies!$F$21/Synergies!$B$11*B$15*(1+Synergies!$B$15)/($A19-Synergies!$B$15)/(1+$A19)^Synergies!$F$18)-'Valuation &amp; Verdict'!$B$38</f>
        <v>-1662.74805133658</v>
      </c>
      <c r="C19" s="8" t="n">
        <f aca="false">(SUMPRODUCT('Valuation &amp; Verdict'!$B$16:$F$16,1/(1+$A19)^'Valuation &amp; Verdict'!$B$17:$F$17)+'Valuation &amp; Verdict'!$B$13*(1+'Valuation &amp; Verdict'!$B$6)/($A19-'Valuation &amp; Verdict'!$B$6)/(1+$A19)^'Valuation &amp; Verdict'!$F$17)+(SUMPRODUCT(Synergies!$B$21:$F$21/Synergies!$B$11*C$15+Synergies!$B$22:$F$22,1/(1+$A19)^Synergies!$B$18:$F$18)+Synergies!$F$21/Synergies!$B$11*C$15*(1+Synergies!$B$15)/($A19-Synergies!$B$15)/(1+$A19)^Synergies!$F$18)-'Valuation &amp; Verdict'!$B$38</f>
        <v>-650.96286762576</v>
      </c>
      <c r="D19" s="8" t="n">
        <f aca="false">(SUMPRODUCT('Valuation &amp; Verdict'!$B$16:$F$16,1/(1+$A19)^'Valuation &amp; Verdict'!$B$17:$F$17)+'Valuation &amp; Verdict'!$B$13*(1+'Valuation &amp; Verdict'!$B$6)/($A19-'Valuation &amp; Verdict'!$B$6)/(1+$A19)^'Valuation &amp; Verdict'!$F$17)+(SUMPRODUCT(Synergies!$B$21:$F$21/Synergies!$B$11*D$15+Synergies!$B$22:$F$22,1/(1+$A19)^Synergies!$B$18:$F$18)+Synergies!$F$21/Synergies!$B$11*D$15*(1+Synergies!$B$15)/($A19-Synergies!$B$15)/(1+$A19)^Synergies!$F$18)-'Valuation &amp; Verdict'!$B$38</f>
        <v>360.822316085058</v>
      </c>
      <c r="E19" s="8" t="n">
        <f aca="false">(SUMPRODUCT('Valuation &amp; Verdict'!$B$16:$F$16,1/(1+$A19)^'Valuation &amp; Verdict'!$B$17:$F$17)+'Valuation &amp; Verdict'!$B$13*(1+'Valuation &amp; Verdict'!$B$6)/($A19-'Valuation &amp; Verdict'!$B$6)/(1+$A19)^'Valuation &amp; Verdict'!$F$17)+(SUMPRODUCT(Synergies!$B$21:$F$21/Synergies!$B$11*E$15+Synergies!$B$22:$F$22,1/(1+$A19)^Synergies!$B$18:$F$18)+Synergies!$F$21/Synergies!$B$11*E$15*(1+Synergies!$B$15)/($A19-Synergies!$B$15)/(1+$A19)^Synergies!$F$18)-'Valuation &amp; Verdict'!$B$38</f>
        <v>866.714907940466</v>
      </c>
      <c r="F19" s="8" t="n">
        <f aca="false">(SUMPRODUCT('Valuation &amp; Verdict'!$B$16:$F$16,1/(1+$A19)^'Valuation &amp; Verdict'!$B$17:$F$17)+'Valuation &amp; Verdict'!$B$13*(1+'Valuation &amp; Verdict'!$B$6)/($A19-'Valuation &amp; Verdict'!$B$6)/(1+$A19)^'Valuation &amp; Verdict'!$F$17)+(SUMPRODUCT(Synergies!$B$21:$F$21/Synergies!$B$11*F$15+Synergies!$B$22:$F$22,1/(1+$A19)^Synergies!$B$18:$F$18)+Synergies!$F$21/Synergies!$B$11*F$15*(1+Synergies!$B$15)/($A19-Synergies!$B$15)/(1+$A19)^Synergies!$F$18)-'Valuation &amp; Verdict'!$B$38</f>
        <v>2384.39268350669</v>
      </c>
    </row>
    <row r="20" customFormat="false" ht="15" hidden="false" customHeight="false" outlineLevel="0" collapsed="false">
      <c r="A20" s="48" t="n">
        <v>0.11</v>
      </c>
      <c r="B20" s="8" t="n">
        <f aca="false">(SUMPRODUCT('Valuation &amp; Verdict'!$B$16:$F$16,1/(1+$A20)^'Valuation &amp; Verdict'!$B$17:$F$17)+'Valuation &amp; Verdict'!$B$13*(1+'Valuation &amp; Verdict'!$B$6)/($A20-'Valuation &amp; Verdict'!$B$6)/(1+$A20)^'Valuation &amp; Verdict'!$F$17)+(SUMPRODUCT(Synergies!$B$21:$F$21/Synergies!$B$11*B$15+Synergies!$B$22:$F$22,1/(1+$A20)^Synergies!$B$18:$F$18)+Synergies!$F$21/Synergies!$B$11*B$15*(1+Synergies!$B$15)/($A20-Synergies!$B$15)/(1+$A20)^Synergies!$F$18)-'Valuation &amp; Verdict'!$B$38</f>
        <v>-2129.38040818175</v>
      </c>
      <c r="C20" s="8" t="n">
        <f aca="false">(SUMPRODUCT('Valuation &amp; Verdict'!$B$16:$F$16,1/(1+$A20)^'Valuation &amp; Verdict'!$B$17:$F$17)+'Valuation &amp; Verdict'!$B$13*(1+'Valuation &amp; Verdict'!$B$6)/($A20-'Valuation &amp; Verdict'!$B$6)/(1+$A20)^'Valuation &amp; Verdict'!$F$17)+(SUMPRODUCT(Synergies!$B$21:$F$21/Synergies!$B$11*C$15+Synergies!$B$22:$F$22,1/(1+$A20)^Synergies!$B$18:$F$18)+Synergies!$F$21/Synergies!$B$11*C$15*(1+Synergies!$B$15)/($A20-Synergies!$B$15)/(1+$A20)^Synergies!$F$18)-'Valuation &amp; Verdict'!$B$38</f>
        <v>-1165.66898800151</v>
      </c>
      <c r="D20" s="8" t="n">
        <f aca="false">(SUMPRODUCT('Valuation &amp; Verdict'!$B$16:$F$16,1/(1+$A20)^'Valuation &amp; Verdict'!$B$17:$F$17)+'Valuation &amp; Verdict'!$B$13*(1+'Valuation &amp; Verdict'!$B$6)/($A20-'Valuation &amp; Verdict'!$B$6)/(1+$A20)^'Valuation &amp; Verdict'!$F$17)+(SUMPRODUCT(Synergies!$B$21:$F$21/Synergies!$B$11*D$15+Synergies!$B$22:$F$22,1/(1+$A20)^Synergies!$B$18:$F$18)+Synergies!$F$21/Synergies!$B$11*D$15*(1+Synergies!$B$15)/($A20-Synergies!$B$15)/(1+$A20)^Synergies!$F$18)-'Valuation &amp; Verdict'!$B$38</f>
        <v>-201.957567821264</v>
      </c>
      <c r="E20" s="8" t="n">
        <f aca="false">(SUMPRODUCT('Valuation &amp; Verdict'!$B$16:$F$16,1/(1+$A20)^'Valuation &amp; Verdict'!$B$17:$F$17)+'Valuation &amp; Verdict'!$B$13*(1+'Valuation &amp; Verdict'!$B$6)/($A20-'Valuation &amp; Verdict'!$B$6)/(1+$A20)^'Valuation &amp; Verdict'!$F$17)+(SUMPRODUCT(Synergies!$B$21:$F$21/Synergies!$B$11*E$15+Synergies!$B$22:$F$22,1/(1+$A20)^Synergies!$B$18:$F$18)+Synergies!$F$21/Synergies!$B$11*E$15*(1+Synergies!$B$15)/($A20-Synergies!$B$15)/(1+$A20)^Synergies!$F$18)-'Valuation &amp; Verdict'!$B$38</f>
        <v>279.898142268856</v>
      </c>
      <c r="F20" s="8" t="n">
        <f aca="false">(SUMPRODUCT('Valuation &amp; Verdict'!$B$16:$F$16,1/(1+$A20)^'Valuation &amp; Verdict'!$B$17:$F$17)+'Valuation &amp; Verdict'!$B$13*(1+'Valuation &amp; Verdict'!$B$6)/($A20-'Valuation &amp; Verdict'!$B$6)/(1+$A20)^'Valuation &amp; Verdict'!$F$17)+(SUMPRODUCT(Synergies!$B$21:$F$21/Synergies!$B$11*F$15+Synergies!$B$22:$F$22,1/(1+$A20)^Synergies!$B$18:$F$18)+Synergies!$F$21/Synergies!$B$11*F$15*(1+Synergies!$B$15)/($A20-Synergies!$B$15)/(1+$A20)^Synergies!$F$18)-'Valuation &amp; Verdict'!$B$38</f>
        <v>1725.46527253922</v>
      </c>
    </row>
    <row r="21" customFormat="false" ht="15" hidden="false" customHeight="false" outlineLevel="0" collapsed="false">
      <c r="A21" s="6" t="s">
        <v>432</v>
      </c>
      <c r="B21" s="8" t="n">
        <f aca="false">ROUND(INDEX(B16:F20,MATCH(Synergies!B14,A16:A20,0),MATCH(Synergies!B11,B15:F15,0))-'Valuation &amp; Verdict'!B39,0)</f>
        <v>0</v>
      </c>
    </row>
    <row r="23" customFormat="false" ht="15" hidden="false" customHeight="false" outlineLevel="0" collapsed="false">
      <c r="A23" s="4" t="s">
        <v>433</v>
      </c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15" t="s">
        <v>434</v>
      </c>
      <c r="B24" s="48" t="n">
        <v>0.09</v>
      </c>
      <c r="C24" s="48" t="n">
        <v>0.1</v>
      </c>
      <c r="D24" s="48" t="n">
        <v>0.105</v>
      </c>
      <c r="E24" s="48" t="n">
        <v>0.11</v>
      </c>
    </row>
    <row r="25" customFormat="false" ht="15" hidden="false" customHeight="false" outlineLevel="0" collapsed="false">
      <c r="A25" s="50" t="n">
        <v>774</v>
      </c>
      <c r="B25" s="8" t="n">
        <f aca="false">(SUMPRODUCT('Valuation &amp; Verdict'!$B$16:$F$16,1/(1+B$24)^'Valuation &amp; Verdict'!$B$17:$F$17)+$A25*(1+'Valuation &amp; Verdict'!$B$6)/(B$24-'Valuation &amp; Verdict'!$B$6)/(1+B$24)^'Valuation &amp; Verdict'!$F$17)+(SUMPRODUCT(Synergies!$B$21:$F$21+Synergies!$B$22:$F$22,1/(1+B$24)^Synergies!$B$18:$F$18)+Synergies!$F$21*(1+Synergies!$B$15)/(B$24-Synergies!$B$15)/(1+B$24)^Synergies!$F$18)-'Valuation &amp; Verdict'!$B$38</f>
        <v>-1142.51731092248</v>
      </c>
      <c r="C25" s="8" t="n">
        <f aca="false">(SUMPRODUCT('Valuation &amp; Verdict'!$B$16:$F$16,1/(1+C$24)^'Valuation &amp; Verdict'!$B$17:$F$17)+$A25*(1+'Valuation &amp; Verdict'!$B$6)/(C$24-'Valuation &amp; Verdict'!$B$6)/(1+C$24)^'Valuation &amp; Verdict'!$F$17)+(SUMPRODUCT(Synergies!$B$21:$F$21+Synergies!$B$22:$F$22,1/(1+C$24)^Synergies!$B$18:$F$18)+Synergies!$F$21*(1+Synergies!$B$15)/(C$24-Synergies!$B$15)/(1+C$24)^Synergies!$F$18)-'Valuation &amp; Verdict'!$B$38</f>
        <v>-2118.12309311033</v>
      </c>
      <c r="D25" s="8" t="n">
        <f aca="false">(SUMPRODUCT('Valuation &amp; Verdict'!$B$16:$F$16,1/(1+D$24)^'Valuation &amp; Verdict'!$B$17:$F$17)+$A25*(1+'Valuation &amp; Verdict'!$B$6)/(D$24-'Valuation &amp; Verdict'!$B$6)/(1+D$24)^'Valuation &amp; Verdict'!$F$17)+(SUMPRODUCT(Synergies!$B$21:$F$21+Synergies!$B$22:$F$22,1/(1+D$24)^Synergies!$B$18:$F$18)+Synergies!$F$21*(1+Synergies!$B$15)/(D$24-Synergies!$B$15)/(1+D$24)^Synergies!$F$18)-'Valuation &amp; Verdict'!$B$38</f>
        <v>-2542.37358663819</v>
      </c>
      <c r="E25" s="8" t="n">
        <f aca="false">(SUMPRODUCT('Valuation &amp; Verdict'!$B$16:$F$16,1/(1+E$24)^'Valuation &amp; Verdict'!$B$17:$F$17)+$A25*(1+'Valuation &amp; Verdict'!$B$6)/(E$24-'Valuation &amp; Verdict'!$B$6)/(1+E$24)^'Valuation &amp; Verdict'!$F$17)+(SUMPRODUCT(Synergies!$B$21:$F$21+Synergies!$B$22:$F$22,1/(1+E$24)^Synergies!$B$18:$F$18)+Synergies!$F$21*(1+Synergies!$B$15)/(E$24-Synergies!$B$15)/(1+E$24)^Synergies!$F$18)-'Valuation &amp; Verdict'!$B$38</f>
        <v>-2931.3121369858</v>
      </c>
    </row>
    <row r="26" customFormat="false" ht="15" hidden="false" customHeight="false" outlineLevel="0" collapsed="false">
      <c r="A26" s="50" t="n">
        <v>930</v>
      </c>
      <c r="B26" s="8" t="n">
        <f aca="false">(SUMPRODUCT('Valuation &amp; Verdict'!$B$16:$F$16,1/(1+B$24)^'Valuation &amp; Verdict'!$B$17:$F$17)+$A26*(1+'Valuation &amp; Verdict'!$B$6)/(B$24-'Valuation &amp; Verdict'!$B$6)/(1+B$24)^'Valuation &amp; Verdict'!$F$17)+(SUMPRODUCT(Synergies!$B$21:$F$21+Synergies!$B$22:$F$22,1/(1+B$24)^Synergies!$B$18:$F$18)+Synergies!$F$21*(1+Synergies!$B$15)/(B$24-Synergies!$B$15)/(1+B$24)^Synergies!$F$18)-'Valuation &amp; Verdict'!$B$38</f>
        <v>-71.7448903925597</v>
      </c>
      <c r="C26" s="8" t="n">
        <f aca="false">(SUMPRODUCT('Valuation &amp; Verdict'!$B$16:$F$16,1/(1+C$24)^'Valuation &amp; Verdict'!$B$17:$F$17)+$A26*(1+'Valuation &amp; Verdict'!$B$6)/(C$24-'Valuation &amp; Verdict'!$B$6)/(1+C$24)^'Valuation &amp; Verdict'!$F$17)+(SUMPRODUCT(Synergies!$B$21:$F$21+Synergies!$B$22:$F$22,1/(1+C$24)^Synergies!$B$18:$F$18)+Synergies!$F$21*(1+Synergies!$B$15)/(C$24-Synergies!$B$15)/(1+C$24)^Synergies!$F$18)-'Valuation &amp; Verdict'!$B$38</f>
        <v>-1181.75157346992</v>
      </c>
      <c r="D26" s="8" t="n">
        <f aca="false">(SUMPRODUCT('Valuation &amp; Verdict'!$B$16:$F$16,1/(1+D$24)^'Valuation &amp; Verdict'!$B$17:$F$17)+$A26*(1+'Valuation &amp; Verdict'!$B$6)/(D$24-'Valuation &amp; Verdict'!$B$6)/(1+D$24)^'Valuation &amp; Verdict'!$F$17)+(SUMPRODUCT(Synergies!$B$21:$F$21+Synergies!$B$22:$F$22,1/(1+D$24)^Synergies!$B$18:$F$18)+Synergies!$F$21*(1+Synergies!$B$15)/(D$24-Synergies!$B$15)/(1+D$24)^Synergies!$F$18)-'Valuation &amp; Verdict'!$B$38</f>
        <v>-1663.81187795764</v>
      </c>
      <c r="E26" s="8" t="n">
        <f aca="false">(SUMPRODUCT('Valuation &amp; Verdict'!$B$16:$F$16,1/(1+E$24)^'Valuation &amp; Verdict'!$B$17:$F$17)+$A26*(1+'Valuation &amp; Verdict'!$B$6)/(E$24-'Valuation &amp; Verdict'!$B$6)/(1+E$24)^'Valuation &amp; Verdict'!$F$17)+(SUMPRODUCT(Synergies!$B$21:$F$21+Synergies!$B$22:$F$22,1/(1+E$24)^Synergies!$B$18:$F$18)+Synergies!$F$21*(1+Synergies!$B$15)/(E$24-Synergies!$B$15)/(1+E$24)^Synergies!$F$18)-'Valuation &amp; Verdict'!$B$38</f>
        <v>-2105.35808695735</v>
      </c>
    </row>
    <row r="27" customFormat="false" ht="15" hidden="false" customHeight="false" outlineLevel="0" collapsed="false">
      <c r="A27" s="50" t="n">
        <v>1100</v>
      </c>
      <c r="B27" s="8" t="n">
        <f aca="false">(SUMPRODUCT('Valuation &amp; Verdict'!$B$16:$F$16,1/(1+B$24)^'Valuation &amp; Verdict'!$B$17:$F$17)+$A27*(1+'Valuation &amp; Verdict'!$B$6)/(B$24-'Valuation &amp; Verdict'!$B$6)/(1+B$24)^'Valuation &amp; Verdict'!$F$17)+(SUMPRODUCT(Synergies!$B$21:$F$21+Synergies!$B$22:$F$22,1/(1+B$24)^Synergies!$B$18:$F$18)+Synergies!$F$21*(1+Synergies!$B$15)/(B$24-Synergies!$B$15)/(1+B$24)^Synergies!$F$18)-'Valuation &amp; Verdict'!$B$38</f>
        <v>1095.12249095415</v>
      </c>
      <c r="C27" s="8" t="n">
        <f aca="false">(SUMPRODUCT('Valuation &amp; Verdict'!$B$16:$F$16,1/(1+C$24)^'Valuation &amp; Verdict'!$B$17:$F$17)+$A27*(1+'Valuation &amp; Verdict'!$B$6)/(C$24-'Valuation &amp; Verdict'!$B$6)/(1+C$24)^'Valuation &amp; Verdict'!$F$17)+(SUMPRODUCT(Synergies!$B$21:$F$21+Synergies!$B$22:$F$22,1/(1+C$24)^Synergies!$B$18:$F$18)+Synergies!$F$21*(1+Synergies!$B$15)/(C$24-Synergies!$B$15)/(1+C$24)^Synergies!$F$18)-'Valuation &amp; Verdict'!$B$38</f>
        <v>-161.346712323302</v>
      </c>
      <c r="D27" s="8" t="n">
        <f aca="false">(SUMPRODUCT('Valuation &amp; Verdict'!$B$16:$F$16,1/(1+D$24)^'Valuation &amp; Verdict'!$B$17:$F$17)+$A27*(1+'Valuation &amp; Verdict'!$B$6)/(D$24-'Valuation &amp; Verdict'!$B$6)/(1+D$24)^'Valuation &amp; Verdict'!$F$17)+(SUMPRODUCT(Synergies!$B$21:$F$21+Synergies!$B$22:$F$22,1/(1+D$24)^Synergies!$B$18:$F$18)+Synergies!$F$21*(1+Synergies!$B$15)/(D$24-Synergies!$B$15)/(1+D$24)^Synergies!$F$18)-'Valuation &amp; Verdict'!$B$38</f>
        <v>-706.404887728824</v>
      </c>
      <c r="E27" s="8" t="n">
        <f aca="false">(SUMPRODUCT('Valuation &amp; Verdict'!$B$16:$F$16,1/(1+E$24)^'Valuation &amp; Verdict'!$B$17:$F$17)+$A27*(1+'Valuation &amp; Verdict'!$B$6)/(E$24-'Valuation &amp; Verdict'!$B$6)/(1+E$24)^'Valuation &amp; Verdict'!$F$17)+(SUMPRODUCT(Synergies!$B$21:$F$21+Synergies!$B$22:$F$22,1/(1+E$24)^Synergies!$B$18:$F$18)+Synergies!$F$21*(1+Synergies!$B$15)/(E$24-Synergies!$B$15)/(1+E$24)^Synergies!$F$18)-'Valuation &amp; Verdict'!$B$38</f>
        <v>-1205.27995551608</v>
      </c>
    </row>
    <row r="28" customFormat="false" ht="15" hidden="false" customHeight="false" outlineLevel="0" collapsed="false">
      <c r="A28" s="8" t="n">
        <f aca="false">'Valuation &amp; Verdict'!B13</f>
        <v>1289.5</v>
      </c>
      <c r="B28" s="8" t="n">
        <f aca="false">(SUMPRODUCT('Valuation &amp; Verdict'!$B$16:$F$16,1/(1+B$24)^'Valuation &amp; Verdict'!$B$17:$F$17)+$A28*(1+'Valuation &amp; Verdict'!$B$6)/(B$24-'Valuation &amp; Verdict'!$B$6)/(1+B$24)^'Valuation &amp; Verdict'!$F$17)+(SUMPRODUCT(Synergies!$B$21:$F$21+Synergies!$B$22:$F$22,1/(1+B$24)^Synergies!$B$18:$F$18)+Synergies!$F$21*(1+Synergies!$B$15)/(B$24-Synergies!$B$15)/(1+B$24)^Synergies!$F$18)-'Valuation &amp; Verdict'!$B$38</f>
        <v>2395.83642486709</v>
      </c>
      <c r="C28" s="8" t="n">
        <f aca="false">(SUMPRODUCT('Valuation &amp; Verdict'!$B$16:$F$16,1/(1+C$24)^'Valuation &amp; Verdict'!$B$17:$F$17)+$A28*(1+'Valuation &amp; Verdict'!$B$6)/(C$24-'Valuation &amp; Verdict'!$B$6)/(1+C$24)^'Valuation &amp; Verdict'!$F$17)+(SUMPRODUCT(Synergies!$B$21:$F$21+Synergies!$B$22:$F$22,1/(1+C$24)^Synergies!$B$18:$F$18)+Synergies!$F$21*(1+Synergies!$B$15)/(C$24-Synergies!$B$15)/(1+C$24)^Synergies!$F$18)-'Valuation &amp; Verdict'!$B$38</f>
        <v>976.104588778362</v>
      </c>
      <c r="D28" s="8" t="n">
        <f aca="false">(SUMPRODUCT('Valuation &amp; Verdict'!$B$16:$F$16,1/(1+D$24)^'Valuation &amp; Verdict'!$B$17:$F$17)+$A28*(1+'Valuation &amp; Verdict'!$B$6)/(D$24-'Valuation &amp; Verdict'!$B$6)/(1+D$24)^'Valuation &amp; Verdict'!$F$17)+(SUMPRODUCT(Synergies!$B$21:$F$21+Synergies!$B$22:$F$22,1/(1+D$24)^Synergies!$B$18:$F$18)+Synergies!$F$21*(1+Synergies!$B$15)/(D$24-Synergies!$B$15)/(1+D$24)^Synergies!$F$18)-'Valuation &amp; Verdict'!$B$38</f>
        <v>360.822316085058</v>
      </c>
      <c r="E28" s="8" t="n">
        <f aca="false">(SUMPRODUCT('Valuation &amp; Verdict'!$B$16:$F$16,1/(1+E$24)^'Valuation &amp; Verdict'!$B$17:$F$17)+$A28*(1+'Valuation &amp; Verdict'!$B$6)/(E$24-'Valuation &amp; Verdict'!$B$6)/(1+E$24)^'Valuation &amp; Verdict'!$F$17)+(SUMPRODUCT(Synergies!$B$21:$F$21+Synergies!$B$22:$F$22,1/(1+E$24)^Synergies!$B$18:$F$18)+Synergies!$F$21*(1+Synergies!$B$15)/(E$24-Synergies!$B$15)/(1+E$24)^Synergies!$F$18)-'Valuation &amp; Verdict'!$B$38</f>
        <v>-201.957567821264</v>
      </c>
    </row>
    <row r="29" customFormat="false" ht="15" hidden="false" customHeight="false" outlineLevel="0" collapsed="false">
      <c r="A29" s="50" t="n">
        <v>1400</v>
      </c>
      <c r="B29" s="8" t="n">
        <f aca="false">(SUMPRODUCT('Valuation &amp; Verdict'!$B$16:$F$16,1/(1+B$24)^'Valuation &amp; Verdict'!$B$17:$F$17)+$A29*(1+'Valuation &amp; Verdict'!$B$6)/(B$24-'Valuation &amp; Verdict'!$B$6)/(1+B$24)^'Valuation &amp; Verdict'!$F$17)+(SUMPRODUCT(Synergies!$B$21:$F$21+Synergies!$B$22:$F$22,1/(1+B$24)^Synergies!$B$18:$F$18)+Synergies!$F$21*(1+Synergies!$B$15)/(B$24-Synergies!$B$15)/(1+B$24)^Synergies!$F$18)-'Valuation &amp; Verdict'!$B$38</f>
        <v>3154.30022274245</v>
      </c>
      <c r="C29" s="8" t="n">
        <f aca="false">(SUMPRODUCT('Valuation &amp; Verdict'!$B$16:$F$16,1/(1+C$24)^'Valuation &amp; Verdict'!$B$17:$F$17)+$A29*(1+'Valuation &amp; Verdict'!$B$6)/(C$24-'Valuation &amp; Verdict'!$B$6)/(1+C$24)^'Valuation &amp; Verdict'!$F$17)+(SUMPRODUCT(Synergies!$B$21:$F$21+Synergies!$B$22:$F$22,1/(1+C$24)^Synergies!$B$18:$F$18)+Synergies!$F$21*(1+Synergies!$B$15)/(C$24-Synergies!$B$15)/(1+C$24)^Synergies!$F$18)-'Valuation &amp; Verdict'!$B$38</f>
        <v>1639.36774852366</v>
      </c>
      <c r="D29" s="8" t="n">
        <f aca="false">(SUMPRODUCT('Valuation &amp; Verdict'!$B$16:$F$16,1/(1+D$24)^'Valuation &amp; Verdict'!$B$17:$F$17)+$A29*(1+'Valuation &amp; Verdict'!$B$6)/(D$24-'Valuation &amp; Verdict'!$B$6)/(1+D$24)^'Valuation &amp; Verdict'!$F$17)+(SUMPRODUCT(Synergies!$B$21:$F$21+Synergies!$B$22:$F$22,1/(1+D$24)^Synergies!$B$18:$F$18)+Synergies!$F$21*(1+Synergies!$B$15)/(D$24-Synergies!$B$15)/(1+D$24)^Synergies!$F$18)-'Valuation &amp; Verdict'!$B$38</f>
        <v>983.136859733786</v>
      </c>
      <c r="E29" s="8" t="n">
        <f aca="false">(SUMPRODUCT('Valuation &amp; Verdict'!$B$16:$F$16,1/(1+E$24)^'Valuation &amp; Verdict'!$B$17:$F$17)+$A29*(1+'Valuation &amp; Verdict'!$B$6)/(E$24-'Valuation &amp; Verdict'!$B$6)/(1+E$24)^'Valuation &amp; Verdict'!$F$17)+(SUMPRODUCT(Synergies!$B$21:$F$21+Synergies!$B$22:$F$22,1/(1+E$24)^Synergies!$B$18:$F$18)+Synergies!$F$21*(1+Synergies!$B$15)/(E$24-Synergies!$B$15)/(1+E$24)^Synergies!$F$18)-'Valuation &amp; Verdict'!$B$38</f>
        <v>383.093217615555</v>
      </c>
    </row>
    <row r="30" customFormat="false" ht="15" hidden="false" customHeight="false" outlineLevel="0" collapsed="false">
      <c r="A30" s="6" t="s">
        <v>435</v>
      </c>
      <c r="B30" s="8" t="n">
        <f aca="false">ROUND(INDEX(B28:E28,MATCH(Synergies!B14,B24:E24,0))-'Valuation &amp; Verdict'!B39,0)</f>
        <v>0</v>
      </c>
    </row>
    <row r="31" customFormat="false" ht="15" hidden="false" customHeight="false" outlineLevel="0" collapsed="false">
      <c r="A31" s="3" t="s">
        <v>436</v>
      </c>
    </row>
    <row r="33" customFormat="false" ht="15" hidden="false" customHeight="false" outlineLevel="0" collapsed="false">
      <c r="A33" s="4" t="s">
        <v>437</v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15" t="s">
        <v>438</v>
      </c>
      <c r="B34" s="48" t="n">
        <v>0.055</v>
      </c>
      <c r="C34" s="48" t="n">
        <v>0.06</v>
      </c>
      <c r="D34" s="48" t="n">
        <v>0.065</v>
      </c>
      <c r="E34" s="48" t="n">
        <v>0.07</v>
      </c>
      <c r="F34" s="48" t="n">
        <v>0.08</v>
      </c>
    </row>
    <row r="35" customFormat="false" ht="15" hidden="false" customHeight="false" outlineLevel="0" collapsed="false">
      <c r="A35" s="48" t="n">
        <v>0</v>
      </c>
      <c r="B35" s="9" t="n">
        <f aca="false">(('Accretion-Dilution'!$B$20+Synergies!$B$10*$A35*Synergies!$C$19+'Accretion-Dilution'!$B$22+'Accretion-Dilution'!$B$23-'Accretion-Dilution'!$B$10*B$34+'Accretion-Dilution'!$B$25+'Accretion-Dilution'!$B$26)*(1-'Accretion-Dilution'!$B$14)*'Accretion-Dilution'!$B$17/10/'Acquirer Standalone'!$B$6)/'Accretion-Dilution'!$B$30</f>
        <v>0.124578581564708</v>
      </c>
      <c r="C35" s="9" t="n">
        <f aca="false">(('Accretion-Dilution'!$B$20+Synergies!$B$10*$A35*Synergies!$C$19+'Accretion-Dilution'!$B$22+'Accretion-Dilution'!$B$23-'Accretion-Dilution'!$B$10*C$34+'Accretion-Dilution'!$B$25+'Accretion-Dilution'!$B$26)*(1-'Accretion-Dilution'!$B$14)*'Accretion-Dilution'!$B$17/10/'Acquirer Standalone'!$B$6)/'Accretion-Dilution'!$B$30</f>
        <v>0.0973608708561842</v>
      </c>
      <c r="D35" s="9" t="n">
        <f aca="false">(('Accretion-Dilution'!$B$20+Synergies!$B$10*$A35*Synergies!$C$19+'Accretion-Dilution'!$B$22+'Accretion-Dilution'!$B$23-'Accretion-Dilution'!$B$10*D$34+'Accretion-Dilution'!$B$25+'Accretion-Dilution'!$B$26)*(1-'Accretion-Dilution'!$B$14)*'Accretion-Dilution'!$B$17/10/'Acquirer Standalone'!$B$6)/'Accretion-Dilution'!$B$30</f>
        <v>0.0701431601476604</v>
      </c>
      <c r="E35" s="9" t="n">
        <f aca="false">(('Accretion-Dilution'!$B$20+Synergies!$B$10*$A35*Synergies!$C$19+'Accretion-Dilution'!$B$22+'Accretion-Dilution'!$B$23-'Accretion-Dilution'!$B$10*E$34+'Accretion-Dilution'!$B$25+'Accretion-Dilution'!$B$26)*(1-'Accretion-Dilution'!$B$14)*'Accretion-Dilution'!$B$17/10/'Acquirer Standalone'!$B$6)/'Accretion-Dilution'!$B$30</f>
        <v>0.0429254494391365</v>
      </c>
      <c r="F35" s="9" t="n">
        <f aca="false">(('Accretion-Dilution'!$B$20+Synergies!$B$10*$A35*Synergies!$C$19+'Accretion-Dilution'!$B$22+'Accretion-Dilution'!$B$23-'Accretion-Dilution'!$B$10*F$34+'Accretion-Dilution'!$B$25+'Accretion-Dilution'!$B$26)*(1-'Accretion-Dilution'!$B$14)*'Accretion-Dilution'!$B$17/10/'Acquirer Standalone'!$B$6)/'Accretion-Dilution'!$B$30</f>
        <v>-0.0115099719779112</v>
      </c>
    </row>
    <row r="36" customFormat="false" ht="15" hidden="false" customHeight="false" outlineLevel="0" collapsed="false">
      <c r="A36" s="48" t="n">
        <v>0.5</v>
      </c>
      <c r="B36" s="9" t="n">
        <f aca="false">(('Accretion-Dilution'!$B$20+Synergies!$B$10*$A36*Synergies!$C$19+'Accretion-Dilution'!$B$22+'Accretion-Dilution'!$B$23-'Accretion-Dilution'!$B$10*B$34+'Accretion-Dilution'!$B$25+'Accretion-Dilution'!$B$26)*(1-'Accretion-Dilution'!$B$14)*'Accretion-Dilution'!$B$17/10/'Acquirer Standalone'!$B$6)/'Accretion-Dilution'!$B$30</f>
        <v>0.147386864653467</v>
      </c>
      <c r="C36" s="9" t="n">
        <f aca="false">(('Accretion-Dilution'!$B$20+Synergies!$B$10*$A36*Synergies!$C$19+'Accretion-Dilution'!$B$22+'Accretion-Dilution'!$B$23-'Accretion-Dilution'!$B$10*C$34+'Accretion-Dilution'!$B$25+'Accretion-Dilution'!$B$26)*(1-'Accretion-Dilution'!$B$14)*'Accretion-Dilution'!$B$17/10/'Acquirer Standalone'!$B$6)/'Accretion-Dilution'!$B$30</f>
        <v>0.120169153944943</v>
      </c>
      <c r="D36" s="9" t="n">
        <f aca="false">(('Accretion-Dilution'!$B$20+Synergies!$B$10*$A36*Synergies!$C$19+'Accretion-Dilution'!$B$22+'Accretion-Dilution'!$B$23-'Accretion-Dilution'!$B$10*D$34+'Accretion-Dilution'!$B$25+'Accretion-Dilution'!$B$26)*(1-'Accretion-Dilution'!$B$14)*'Accretion-Dilution'!$B$17/10/'Acquirer Standalone'!$B$6)/'Accretion-Dilution'!$B$30</f>
        <v>0.0929514432364191</v>
      </c>
      <c r="E36" s="9" t="n">
        <f aca="false">(('Accretion-Dilution'!$B$20+Synergies!$B$10*$A36*Synergies!$C$19+'Accretion-Dilution'!$B$22+'Accretion-Dilution'!$B$23-'Accretion-Dilution'!$B$10*E$34+'Accretion-Dilution'!$B$25+'Accretion-Dilution'!$B$26)*(1-'Accretion-Dilution'!$B$14)*'Accretion-Dilution'!$B$17/10/'Acquirer Standalone'!$B$6)/'Accretion-Dilution'!$B$30</f>
        <v>0.0657337325278953</v>
      </c>
      <c r="F36" s="9" t="n">
        <f aca="false">(('Accretion-Dilution'!$B$20+Synergies!$B$10*$A36*Synergies!$C$19+'Accretion-Dilution'!$B$22+'Accretion-Dilution'!$B$23-'Accretion-Dilution'!$B$10*F$34+'Accretion-Dilution'!$B$25+'Accretion-Dilution'!$B$26)*(1-'Accretion-Dilution'!$B$14)*'Accretion-Dilution'!$B$17/10/'Acquirer Standalone'!$B$6)/'Accretion-Dilution'!$B$30</f>
        <v>0.0112983111108476</v>
      </c>
    </row>
    <row r="37" customFormat="false" ht="15" hidden="false" customHeight="false" outlineLevel="0" collapsed="false">
      <c r="A37" s="48" t="n">
        <v>1</v>
      </c>
      <c r="B37" s="9" t="n">
        <f aca="false">(('Accretion-Dilution'!$B$20+Synergies!$B$10*$A37*Synergies!$C$19+'Accretion-Dilution'!$B$22+'Accretion-Dilution'!$B$23-'Accretion-Dilution'!$B$10*B$34+'Accretion-Dilution'!$B$25+'Accretion-Dilution'!$B$26)*(1-'Accretion-Dilution'!$B$14)*'Accretion-Dilution'!$B$17/10/'Acquirer Standalone'!$B$6)/'Accretion-Dilution'!$B$30</f>
        <v>0.170195147742226</v>
      </c>
      <c r="C37" s="9" t="n">
        <f aca="false">(('Accretion-Dilution'!$B$20+Synergies!$B$10*$A37*Synergies!$C$19+'Accretion-Dilution'!$B$22+'Accretion-Dilution'!$B$23-'Accretion-Dilution'!$B$10*C$34+'Accretion-Dilution'!$B$25+'Accretion-Dilution'!$B$26)*(1-'Accretion-Dilution'!$B$14)*'Accretion-Dilution'!$B$17/10/'Acquirer Standalone'!$B$6)/'Accretion-Dilution'!$B$30</f>
        <v>0.142977437033702</v>
      </c>
      <c r="D37" s="9" t="n">
        <f aca="false">(('Accretion-Dilution'!$B$20+Synergies!$B$10*$A37*Synergies!$C$19+'Accretion-Dilution'!$B$22+'Accretion-Dilution'!$B$23-'Accretion-Dilution'!$B$10*D$34+'Accretion-Dilution'!$B$25+'Accretion-Dilution'!$B$26)*(1-'Accretion-Dilution'!$B$14)*'Accretion-Dilution'!$B$17/10/'Acquirer Standalone'!$B$6)/'Accretion-Dilution'!$B$30</f>
        <v>0.115759726325178</v>
      </c>
      <c r="E37" s="9" t="n">
        <f aca="false">(('Accretion-Dilution'!$B$20+Synergies!$B$10*$A37*Synergies!$C$19+'Accretion-Dilution'!$B$22+'Accretion-Dilution'!$B$23-'Accretion-Dilution'!$B$10*E$34+'Accretion-Dilution'!$B$25+'Accretion-Dilution'!$B$26)*(1-'Accretion-Dilution'!$B$14)*'Accretion-Dilution'!$B$17/10/'Acquirer Standalone'!$B$6)/'Accretion-Dilution'!$B$30</f>
        <v>0.0885420156166541</v>
      </c>
      <c r="F37" s="9" t="n">
        <f aca="false">(('Accretion-Dilution'!$B$20+Synergies!$B$10*$A37*Synergies!$C$19+'Accretion-Dilution'!$B$22+'Accretion-Dilution'!$B$23-'Accretion-Dilution'!$B$10*F$34+'Accretion-Dilution'!$B$25+'Accretion-Dilution'!$B$26)*(1-'Accretion-Dilution'!$B$14)*'Accretion-Dilution'!$B$17/10/'Acquirer Standalone'!$B$6)/'Accretion-Dilution'!$B$30</f>
        <v>0.0341065941996064</v>
      </c>
    </row>
    <row r="38" customFormat="false" ht="15" hidden="false" customHeight="false" outlineLevel="0" collapsed="false">
      <c r="A38" s="48" t="n">
        <v>1.25</v>
      </c>
      <c r="B38" s="9" t="n">
        <f aca="false">(('Accretion-Dilution'!$B$20+Synergies!$B$10*$A38*Synergies!$C$19+'Accretion-Dilution'!$B$22+'Accretion-Dilution'!$B$23-'Accretion-Dilution'!$B$10*B$34+'Accretion-Dilution'!$B$25+'Accretion-Dilution'!$B$26)*(1-'Accretion-Dilution'!$B$14)*'Accretion-Dilution'!$B$17/10/'Acquirer Standalone'!$B$6)/'Accretion-Dilution'!$B$30</f>
        <v>0.181599289286605</v>
      </c>
      <c r="C38" s="9" t="n">
        <f aca="false">(('Accretion-Dilution'!$B$20+Synergies!$B$10*$A38*Synergies!$C$19+'Accretion-Dilution'!$B$22+'Accretion-Dilution'!$B$23-'Accretion-Dilution'!$B$10*C$34+'Accretion-Dilution'!$B$25+'Accretion-Dilution'!$B$26)*(1-'Accretion-Dilution'!$B$14)*'Accretion-Dilution'!$B$17/10/'Acquirer Standalone'!$B$6)/'Accretion-Dilution'!$B$30</f>
        <v>0.154381578578081</v>
      </c>
      <c r="D38" s="9" t="n">
        <f aca="false">(('Accretion-Dilution'!$B$20+Synergies!$B$10*$A38*Synergies!$C$19+'Accretion-Dilution'!$B$22+'Accretion-Dilution'!$B$23-'Accretion-Dilution'!$B$10*D$34+'Accretion-Dilution'!$B$25+'Accretion-Dilution'!$B$26)*(1-'Accretion-Dilution'!$B$14)*'Accretion-Dilution'!$B$17/10/'Acquirer Standalone'!$B$6)/'Accretion-Dilution'!$B$30</f>
        <v>0.127163867869557</v>
      </c>
      <c r="E38" s="9" t="n">
        <f aca="false">(('Accretion-Dilution'!$B$20+Synergies!$B$10*$A38*Synergies!$C$19+'Accretion-Dilution'!$B$22+'Accretion-Dilution'!$B$23-'Accretion-Dilution'!$B$10*E$34+'Accretion-Dilution'!$B$25+'Accretion-Dilution'!$B$26)*(1-'Accretion-Dilution'!$B$14)*'Accretion-Dilution'!$B$17/10/'Acquirer Standalone'!$B$6)/'Accretion-Dilution'!$B$30</f>
        <v>0.0999461571610335</v>
      </c>
      <c r="F38" s="9" t="n">
        <f aca="false">(('Accretion-Dilution'!$B$20+Synergies!$B$10*$A38*Synergies!$C$19+'Accretion-Dilution'!$B$22+'Accretion-Dilution'!$B$23-'Accretion-Dilution'!$B$10*F$34+'Accretion-Dilution'!$B$25+'Accretion-Dilution'!$B$26)*(1-'Accretion-Dilution'!$B$14)*'Accretion-Dilution'!$B$17/10/'Acquirer Standalone'!$B$6)/'Accretion-Dilution'!$B$30</f>
        <v>0.0455107357439858</v>
      </c>
    </row>
    <row r="39" customFormat="false" ht="15" hidden="false" customHeight="false" outlineLevel="0" collapsed="false">
      <c r="A39" s="6" t="s">
        <v>439</v>
      </c>
      <c r="B39" s="51" t="n">
        <f aca="false">ROUND(INDEX(D35:D38,MATCH(Synergies!B11,A35:A38,0))-'Accretion-Dilution'!B32,6)</f>
        <v>0</v>
      </c>
    </row>
    <row r="41" customFormat="false" ht="15" hidden="false" customHeight="false" outlineLevel="0" collapsed="false">
      <c r="A41" s="4" t="s">
        <v>440</v>
      </c>
      <c r="B41" s="5"/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15" t="s">
        <v>441</v>
      </c>
      <c r="B42" s="52" t="n">
        <v>13.25</v>
      </c>
      <c r="C42" s="52" t="n">
        <v>13.5</v>
      </c>
      <c r="D42" s="53" t="n">
        <f aca="false">'Spread &amp; Odds'!B5</f>
        <v>13.78</v>
      </c>
      <c r="E42" s="52" t="n">
        <v>13.95</v>
      </c>
    </row>
    <row r="43" customFormat="false" ht="15" hidden="false" customHeight="false" outlineLevel="0" collapsed="false">
      <c r="A43" s="7" t="n">
        <f aca="false">'Premium &amp; Precedents'!B6</f>
        <v>6.91</v>
      </c>
      <c r="B43" s="9" t="n">
        <f aca="false">(B$42*(1+'Spread &amp; Odds'!$B$13*'Spread &amp; Odds'!$B$11/365)-$A43)/('Spread &amp; Odds'!$B$4+'Spread &amp; Odds'!$B$6-$A43)</f>
        <v>0.910059293297112</v>
      </c>
      <c r="C43" s="9" t="n">
        <f aca="false">(C$42*(1+'Spread &amp; Odds'!$B$13*'Spread &amp; Odds'!$B$11/365)-$A43)/('Spread &amp; Odds'!$B$4+'Spread &amp; Odds'!$B$6-$A43)</f>
        <v>0.945567404581623</v>
      </c>
      <c r="D43" s="9" t="n">
        <f aca="false">(D$42*(1+'Spread &amp; Odds'!$B$13*'Spread &amp; Odds'!$B$11/365)-$A43)/('Spread &amp; Odds'!$B$4+'Spread &amp; Odds'!$B$6-$A43)</f>
        <v>0.985336489220276</v>
      </c>
      <c r="E43" s="9" t="n">
        <f aca="false">(E$42*(1+'Spread &amp; Odds'!$B$13*'Spread &amp; Odds'!$B$11/365)-$A43)/('Spread &amp; Odds'!$B$4+'Spread &amp; Odds'!$B$6-$A43)</f>
        <v>1.00948200489374</v>
      </c>
    </row>
    <row r="44" customFormat="false" ht="15" hidden="false" customHeight="false" outlineLevel="0" collapsed="false">
      <c r="A44" s="52" t="n">
        <v>7</v>
      </c>
      <c r="B44" s="9" t="n">
        <f aca="false">(B$42*(1+'Spread &amp; Odds'!$B$13*'Spread &amp; Odds'!$B$11/365)-$A44)/('Spread &amp; Odds'!$B$4+'Spread &amp; Odds'!$B$6-$A44)</f>
        <v>0.908906207313742</v>
      </c>
      <c r="C44" s="9" t="n">
        <f aca="false">(C$42*(1+'Spread &amp; Odds'!$B$13*'Spread &amp; Odds'!$B$11/365)-$A44)/('Spread &amp; Odds'!$B$4+'Spread &amp; Odds'!$B$6-$A44)</f>
        <v>0.944869550794208</v>
      </c>
      <c r="D44" s="9" t="n">
        <f aca="false">(D$42*(1+'Spread &amp; Odds'!$B$13*'Spread &amp; Odds'!$B$11/365)-$A44)/('Spread &amp; Odds'!$B$4+'Spread &amp; Odds'!$B$6-$A44)</f>
        <v>0.985148495492331</v>
      </c>
      <c r="E44" s="9" t="n">
        <f aca="false">(E$42*(1+'Spread &amp; Odds'!$B$13*'Spread &amp; Odds'!$B$11/365)-$A44)/('Spread &amp; Odds'!$B$4+'Spread &amp; Odds'!$B$6-$A44)</f>
        <v>1.00960356905905</v>
      </c>
    </row>
    <row r="45" customFormat="false" ht="15" hidden="false" customHeight="false" outlineLevel="0" collapsed="false">
      <c r="A45" s="7" t="n">
        <f aca="false">'Spread &amp; Odds'!B17</f>
        <v>7.84081577690317</v>
      </c>
      <c r="B45" s="9" t="n">
        <f aca="false">(B$42*(1+'Spread &amp; Odds'!$B$13*'Spread &amp; Odds'!$B$11/365)-$A45)/('Spread &amp; Odds'!$B$4+'Spread &amp; Odds'!$B$6-$A45)</f>
        <v>0.896510865905686</v>
      </c>
      <c r="C45" s="9" t="n">
        <f aca="false">(C$42*(1+'Spread &amp; Odds'!$B$13*'Spread &amp; Odds'!$B$11/365)-$A45)/('Spread &amp; Odds'!$B$4+'Spread &amp; Odds'!$B$6-$A45)</f>
        <v>0.937367824060326</v>
      </c>
      <c r="D45" s="9" t="n">
        <f aca="false">(D$42*(1+'Spread &amp; Odds'!$B$13*'Spread &amp; Odds'!$B$11/365)-$A45)/('Spread &amp; Odds'!$B$4+'Spread &amp; Odds'!$B$6-$A45)</f>
        <v>0.983127617193522</v>
      </c>
      <c r="E45" s="9" t="n">
        <f aca="false">(E$42*(1+'Spread &amp; Odds'!$B$13*'Spread &amp; Odds'!$B$11/365)-$A45)/('Spread &amp; Odds'!$B$4+'Spread &amp; Odds'!$B$6-$A45)</f>
        <v>1.01091034873868</v>
      </c>
    </row>
    <row r="46" customFormat="false" ht="15" hidden="false" customHeight="false" outlineLevel="0" collapsed="false">
      <c r="A46" s="52" t="n">
        <v>8.5</v>
      </c>
      <c r="B46" s="9" t="n">
        <f aca="false">(B$42*(1+'Spread &amp; Odds'!$B$13*'Spread &amp; Odds'!$B$11/365)-$A46)/('Spread &amp; Odds'!$B$4+'Spread &amp; Odds'!$B$6-$A46)</f>
        <v>0.884152459301171</v>
      </c>
      <c r="C46" s="9" t="n">
        <f aca="false">(C$42*(1+'Spread &amp; Odds'!$B$13*'Spread &amp; Odds'!$B$11/365)-$A46)/('Spread &amp; Odds'!$B$4+'Spread &amp; Odds'!$B$6-$A46)</f>
        <v>0.929888450466548</v>
      </c>
      <c r="D46" s="9" t="n">
        <f aca="false">(D$42*(1+'Spread &amp; Odds'!$B$13*'Spread &amp; Odds'!$B$11/365)-$A46)/('Spread &amp; Odds'!$B$4+'Spread &amp; Odds'!$B$6-$A46)</f>
        <v>0.981112760571769</v>
      </c>
      <c r="E46" s="9" t="n">
        <f aca="false">(E$42*(1+'Spread &amp; Odds'!$B$13*'Spread &amp; Odds'!$B$11/365)-$A46)/('Spread &amp; Odds'!$B$4+'Spread &amp; Odds'!$B$6-$A46)</f>
        <v>1.01221323456422</v>
      </c>
    </row>
    <row r="47" customFormat="false" ht="15" hidden="false" customHeight="false" outlineLevel="0" collapsed="false">
      <c r="A47" s="52" t="n">
        <v>9.5</v>
      </c>
      <c r="B47" s="9" t="n">
        <f aca="false">(B$42*(1+'Spread &amp; Odds'!$B$13*'Spread &amp; Odds'!$B$11/365)-$A47)/('Spread &amp; Odds'!$B$4+'Spread &amp; Odds'!$B$6-$A47)</f>
        <v>0.858522472420899</v>
      </c>
      <c r="C47" s="9" t="n">
        <f aca="false">(C$42*(1+'Spread &amp; Odds'!$B$13*'Spread &amp; Odds'!$B$11/365)-$A47)/('Spread &amp; Odds'!$B$4+'Spread &amp; Odds'!$B$6-$A47)</f>
        <v>0.914377045702509</v>
      </c>
      <c r="D47" s="9" t="n">
        <f aca="false">(D$42*(1+'Spread &amp; Odds'!$B$13*'Spread &amp; Odds'!$B$11/365)-$A47)/('Spread &amp; Odds'!$B$4+'Spread &amp; Odds'!$B$6-$A47)</f>
        <v>0.976934167777912</v>
      </c>
      <c r="E47" s="9" t="n">
        <f aca="false">(E$42*(1+'Spread &amp; Odds'!$B$13*'Spread &amp; Odds'!$B$11/365)-$A47)/('Spread &amp; Odds'!$B$4+'Spread &amp; Odds'!$B$6-$A47)</f>
        <v>1.01491527760941</v>
      </c>
    </row>
    <row r="48" customFormat="false" ht="15" hidden="false" customHeight="false" outlineLevel="0" collapsed="false">
      <c r="A48" s="6" t="s">
        <v>442</v>
      </c>
      <c r="B48" s="51" t="n">
        <f aca="false">ROUND(D45-'Spread &amp; Odds'!B18,6)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56"/>
    <col collapsed="false" customWidth="true" hidden="false" outlineLevel="0" max="4" min="4" style="0" width="24"/>
    <col collapsed="false" customWidth="true" hidden="false" outlineLevel="0" max="15" min="5" style="0" width="14"/>
  </cols>
  <sheetData>
    <row r="1" customFormat="false" ht="17.35" hidden="false" customHeight="false" outlineLevel="0" collapsed="false">
      <c r="A1" s="1" t="s">
        <v>443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444</v>
      </c>
    </row>
    <row r="4" customFormat="false" ht="15" hidden="false" customHeight="false" outlineLevel="0" collapsed="false">
      <c r="A4" s="21" t="s">
        <v>445</v>
      </c>
      <c r="B4" s="21" t="s">
        <v>446</v>
      </c>
      <c r="C4" s="21" t="s">
        <v>447</v>
      </c>
      <c r="D4" s="21" t="s">
        <v>82</v>
      </c>
    </row>
    <row r="5" customFormat="false" ht="25.5" hidden="false" customHeight="true" outlineLevel="0" collapsed="false">
      <c r="A5" s="54" t="s">
        <v>448</v>
      </c>
      <c r="B5" s="54" t="s">
        <v>449</v>
      </c>
      <c r="C5" s="54" t="s">
        <v>450</v>
      </c>
      <c r="D5" s="54" t="s">
        <v>451</v>
      </c>
      <c r="E5" s="55"/>
      <c r="F5" s="55"/>
      <c r="G5" s="55"/>
      <c r="H5" s="55"/>
      <c r="I5" s="55"/>
    </row>
    <row r="6" customFormat="false" ht="25.5" hidden="false" customHeight="true" outlineLevel="0" collapsed="false">
      <c r="A6" s="54" t="s">
        <v>452</v>
      </c>
      <c r="B6" s="54" t="s">
        <v>453</v>
      </c>
      <c r="C6" s="54" t="s">
        <v>454</v>
      </c>
      <c r="D6" s="54" t="s">
        <v>451</v>
      </c>
      <c r="E6" s="55"/>
      <c r="F6" s="55"/>
      <c r="G6" s="55"/>
      <c r="H6" s="55"/>
      <c r="I6" s="55"/>
    </row>
    <row r="7" customFormat="false" ht="25.5" hidden="false" customHeight="true" outlineLevel="0" collapsed="false">
      <c r="A7" s="54" t="s">
        <v>455</v>
      </c>
      <c r="B7" s="54" t="s">
        <v>456</v>
      </c>
      <c r="C7" s="54" t="s">
        <v>457</v>
      </c>
      <c r="D7" s="54" t="s">
        <v>451</v>
      </c>
      <c r="E7" s="55"/>
      <c r="F7" s="55"/>
      <c r="G7" s="55"/>
      <c r="H7" s="55"/>
      <c r="I7" s="55"/>
    </row>
    <row r="8" customFormat="false" ht="25.5" hidden="false" customHeight="true" outlineLevel="0" collapsed="false">
      <c r="A8" s="54" t="s">
        <v>458</v>
      </c>
      <c r="B8" s="54" t="s">
        <v>459</v>
      </c>
      <c r="C8" s="54" t="s">
        <v>460</v>
      </c>
      <c r="D8" s="54" t="s">
        <v>451</v>
      </c>
      <c r="E8" s="55"/>
      <c r="F8" s="55"/>
      <c r="G8" s="55"/>
      <c r="H8" s="55"/>
      <c r="I8" s="55"/>
    </row>
    <row r="9" customFormat="false" ht="12.75" hidden="false" customHeight="true" outlineLevel="0" collapsed="false">
      <c r="A9" s="54" t="s">
        <v>461</v>
      </c>
      <c r="B9" s="54" t="s">
        <v>462</v>
      </c>
      <c r="C9" s="54" t="s">
        <v>463</v>
      </c>
      <c r="D9" s="54" t="s">
        <v>451</v>
      </c>
      <c r="E9" s="55"/>
      <c r="F9" s="55"/>
      <c r="G9" s="55"/>
      <c r="H9" s="55"/>
      <c r="I9" s="55"/>
    </row>
    <row r="10" customFormat="false" ht="12.75" hidden="false" customHeight="true" outlineLevel="0" collapsed="false">
      <c r="A10" s="54" t="s">
        <v>464</v>
      </c>
      <c r="B10" s="54" t="s">
        <v>462</v>
      </c>
      <c r="C10" s="54" t="s">
        <v>465</v>
      </c>
      <c r="D10" s="54" t="s">
        <v>466</v>
      </c>
      <c r="E10" s="55"/>
      <c r="F10" s="55"/>
      <c r="G10" s="55"/>
      <c r="H10" s="55"/>
      <c r="I10" s="55"/>
    </row>
    <row r="11" customFormat="false" ht="25.5" hidden="false" customHeight="true" outlineLevel="0" collapsed="false">
      <c r="A11" s="54" t="s">
        <v>467</v>
      </c>
      <c r="B11" s="54" t="s">
        <v>468</v>
      </c>
      <c r="C11" s="54" t="s">
        <v>469</v>
      </c>
      <c r="D11" s="54" t="s">
        <v>470</v>
      </c>
      <c r="E11" s="55"/>
      <c r="F11" s="55"/>
      <c r="G11" s="55"/>
      <c r="H11" s="55"/>
      <c r="I11" s="55"/>
    </row>
    <row r="12" customFormat="false" ht="25.5" hidden="false" customHeight="true" outlineLevel="0" collapsed="false">
      <c r="A12" s="54" t="s">
        <v>471</v>
      </c>
      <c r="B12" s="54" t="s">
        <v>472</v>
      </c>
      <c r="C12" s="54" t="s">
        <v>473</v>
      </c>
      <c r="D12" s="54" t="s">
        <v>474</v>
      </c>
      <c r="E12" s="55"/>
      <c r="F12" s="55"/>
      <c r="G12" s="55"/>
      <c r="H12" s="55"/>
      <c r="I12" s="55"/>
    </row>
    <row r="13" customFormat="false" ht="12.75" hidden="false" customHeight="true" outlineLevel="0" collapsed="false">
      <c r="A13" s="54" t="s">
        <v>475</v>
      </c>
      <c r="B13" s="54" t="s">
        <v>476</v>
      </c>
      <c r="C13" s="54" t="s">
        <v>477</v>
      </c>
      <c r="D13" s="54" t="s">
        <v>478</v>
      </c>
      <c r="E13" s="55"/>
      <c r="F13" s="55"/>
      <c r="G13" s="55"/>
      <c r="H13" s="55"/>
      <c r="I13" s="55"/>
    </row>
    <row r="14" customFormat="false" ht="25.5" hidden="false" customHeight="true" outlineLevel="0" collapsed="false">
      <c r="A14" s="54" t="s">
        <v>479</v>
      </c>
      <c r="B14" s="54" t="s">
        <v>480</v>
      </c>
      <c r="C14" s="54" t="s">
        <v>481</v>
      </c>
      <c r="D14" s="54" t="s">
        <v>482</v>
      </c>
      <c r="E14" s="55"/>
      <c r="F14" s="55"/>
      <c r="G14" s="55"/>
      <c r="H14" s="55"/>
      <c r="I14" s="55"/>
    </row>
    <row r="15" customFormat="false" ht="12.75" hidden="false" customHeight="true" outlineLevel="0" collapsed="false">
      <c r="A15" s="54" t="s">
        <v>483</v>
      </c>
      <c r="B15" s="54" t="s">
        <v>480</v>
      </c>
      <c r="C15" s="54" t="s">
        <v>484</v>
      </c>
      <c r="D15" s="54" t="s">
        <v>485</v>
      </c>
      <c r="E15" s="55"/>
      <c r="F15" s="55"/>
      <c r="G15" s="55"/>
      <c r="H15" s="55"/>
      <c r="I15" s="55"/>
    </row>
    <row r="16" customFormat="false" ht="12.75" hidden="false" customHeight="true" outlineLevel="0" collapsed="false">
      <c r="A16" s="54" t="s">
        <v>486</v>
      </c>
      <c r="B16" s="54" t="s">
        <v>487</v>
      </c>
      <c r="C16" s="54" t="s">
        <v>488</v>
      </c>
      <c r="D16" s="54" t="s">
        <v>489</v>
      </c>
      <c r="E16" s="55"/>
      <c r="F16" s="55"/>
      <c r="G16" s="55"/>
      <c r="H16" s="55"/>
      <c r="I16" s="55"/>
    </row>
    <row r="17" customFormat="false" ht="25.5" hidden="false" customHeight="true" outlineLevel="0" collapsed="false">
      <c r="A17" s="54" t="s">
        <v>490</v>
      </c>
      <c r="B17" s="54" t="s">
        <v>491</v>
      </c>
      <c r="C17" s="54" t="s">
        <v>492</v>
      </c>
      <c r="D17" s="54" t="s">
        <v>474</v>
      </c>
      <c r="E17" s="55"/>
      <c r="F17" s="55"/>
      <c r="G17" s="55"/>
      <c r="H17" s="55"/>
      <c r="I17" s="55"/>
    </row>
    <row r="18" customFormat="false" ht="51.75" hidden="false" customHeight="true" outlineLevel="0" collapsed="false">
      <c r="A18" s="54" t="s">
        <v>493</v>
      </c>
      <c r="B18" s="54" t="s">
        <v>494</v>
      </c>
      <c r="C18" s="54" t="s">
        <v>495</v>
      </c>
      <c r="D18" s="54" t="s">
        <v>496</v>
      </c>
      <c r="E18" s="55"/>
      <c r="F18" s="55"/>
      <c r="G18" s="55"/>
      <c r="H18" s="55"/>
      <c r="I18" s="5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2026-10-29T04:00:16Z</dcterms:created>
  <dc:creator>Debjit Mukherjee</dc:creator>
  <dc:description/>
  <dc:language>en-US</dc:language>
  <cp:lastModifiedBy>Debjit Mukherjee</cp:lastModifiedBy>
  <dcterms:modified xsi:type="dcterms:W3CDTF">2026-10-29T04:00:16Z</dcterms:modified>
  <cp:revision>0</cp:revision>
  <dc:subject/>
  <dc:title>Sun Pharma / Organon — Deal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