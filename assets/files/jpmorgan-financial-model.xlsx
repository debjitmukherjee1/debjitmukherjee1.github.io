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Valuation Summary" sheetId="2" state="visible" r:id="rId2"/>
    <sheet xmlns:r="http://schemas.openxmlformats.org/officeDocument/2006/relationships" name="Income Statement" sheetId="3" state="visible" r:id="rId3"/>
    <sheet xmlns:r="http://schemas.openxmlformats.org/officeDocument/2006/relationships" name="Balance Sheet &amp; Capital" sheetId="4" state="visible" r:id="rId4"/>
    <sheet xmlns:r="http://schemas.openxmlformats.org/officeDocument/2006/relationships" name="Segments &amp; Returns" sheetId="5" state="visible" r:id="rId5"/>
    <sheet xmlns:r="http://schemas.openxmlformats.org/officeDocument/2006/relationships" name="Peer Comps" sheetId="6" state="visible" r:id="rId6"/>
  </sheets>
  <definedNames>
    <definedName name="_xlnm.Print_Area" localSheetId="0">'Overview'!$A$1:$H$51</definedName>
    <definedName name="_xlnm.Print_Area" localSheetId="1">'Valuation Summary'!$A$1:$H$112</definedName>
    <definedName name="_xlnm.Print_Area" localSheetId="2">'Income Statement'!$A$1:$I$29</definedName>
    <definedName name="_xlnm.Print_Area" localSheetId="3">'Balance Sheet &amp; Capital'!$A$1:$D$45</definedName>
    <definedName name="_xlnm.Print_Area" localSheetId="4">'Segments &amp; Returns'!$A$1:$G$37</definedName>
    <definedName name="_xlnm.Print_Area" localSheetId="5">'Peer Comps'!$A$1:$G$70</definedName>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
    <numFmt numFmtId="167" formatCode="$#,##0.00"/>
    <numFmt numFmtId="168" formatCode="+0.0%;-0.0%"/>
    <numFmt numFmtId="169" formatCode="0.00&quot;x&quot;"/>
  </numFmts>
  <fonts count="18">
    <font>
      <name val="Calibri"/>
      <family val="2"/>
      <color theme="1"/>
      <sz val="11"/>
      <scheme val="minor"/>
    </font>
    <font>
      <name val="Calibri"/>
      <b val="1"/>
      <color rgb="00FFFFFF"/>
      <sz val="16"/>
    </font>
    <font>
      <name val="Calibri"/>
      <i val="1"/>
      <color rgb="00FFFFFF"/>
      <sz val="10"/>
    </font>
    <font>
      <b val="1"/>
      <color rgb="00FFFFFF"/>
      <sz val="11"/>
    </font>
    <font>
      <sz val="10"/>
    </font>
    <font>
      <i val="1"/>
      <color rgb="00404040"/>
      <sz val="9"/>
    </font>
    <font>
      <b val="1"/>
      <color rgb="00FFFFFF"/>
      <sz val="16"/>
    </font>
    <font>
      <i val="1"/>
      <color rgb="00FFFFFF"/>
      <sz val="10"/>
    </font>
    <font>
      <i val="1"/>
      <sz val="9"/>
    </font>
    <font>
      <b val="1"/>
      <sz val="10"/>
    </font>
    <font>
      <b val="1"/>
      <sz val="11"/>
    </font>
    <font>
      <b val="1"/>
      <sz val="13"/>
    </font>
    <font>
      <name val="Calibri"/>
      <b val="1"/>
      <color rgb="00FFFFFF"/>
      <sz val="9"/>
    </font>
    <font>
      <name val="Calibri"/>
      <b val="1"/>
      <sz val="10"/>
    </font>
    <font>
      <name val="Calibri"/>
      <sz val="10"/>
    </font>
    <font>
      <name val="Calibri"/>
      <i val="1"/>
      <color rgb="00606060"/>
      <sz val="8.5"/>
    </font>
    <font>
      <name val="Calibri"/>
      <b val="1"/>
      <color rgb="001F3864"/>
      <sz val="11"/>
    </font>
    <font>
      <name val="Calibri"/>
      <b val="1"/>
      <color rgb="00FFFFFF"/>
      <sz val="10"/>
    </font>
  </fonts>
  <fills count="8">
    <fill>
      <patternFill/>
    </fill>
    <fill>
      <patternFill patternType="gray125"/>
    </fill>
    <fill>
      <patternFill patternType="solid">
        <fgColor rgb="00003087"/>
      </patternFill>
    </fill>
    <fill>
      <patternFill patternType="solid">
        <fgColor rgb="002E5496"/>
      </patternFill>
    </fill>
    <fill>
      <patternFill patternType="solid">
        <fgColor rgb="00D9E2F3"/>
      </patternFill>
    </fill>
    <fill>
      <patternFill patternType="solid">
        <fgColor rgb="001F3864"/>
      </patternFill>
    </fill>
    <fill>
      <patternFill patternType="solid">
        <fgColor rgb="00C0392B"/>
      </patternFill>
    </fill>
    <fill>
      <patternFill patternType="solid">
        <fgColor rgb="001E7B34"/>
      </patternFill>
    </fill>
  </fills>
  <borders count="1">
    <border>
      <left/>
      <right/>
      <top/>
      <bottom/>
      <diagonal/>
    </border>
  </borders>
  <cellStyleXfs count="1">
    <xf numFmtId="0" fontId="0" fillId="0" borderId="0"/>
  </cellStyleXfs>
  <cellXfs count="76">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3" borderId="0" pivotButton="0" quotePrefix="0" xfId="0"/>
    <xf numFmtId="0" fontId="0" fillId="3" borderId="0" pivotButton="0" quotePrefix="0" xfId="0"/>
    <xf numFmtId="0" fontId="4" fillId="0" borderId="0" pivotButton="0" quotePrefix="0" xfId="0"/>
    <xf numFmtId="4" fontId="4" fillId="0" borderId="0" applyAlignment="1" pivotButton="0" quotePrefix="0" xfId="0">
      <alignment horizontal="right"/>
    </xf>
    <xf numFmtId="3" fontId="4" fillId="0" borderId="0" applyAlignment="1" pivotButton="0" quotePrefix="0" xfId="0">
      <alignment horizontal="right"/>
    </xf>
    <xf numFmtId="3" fontId="0" fillId="0" borderId="0" pivotButton="0" quotePrefix="0" xfId="0"/>
    <xf numFmtId="164" fontId="4" fillId="0" borderId="0" applyAlignment="1" pivotButton="0" quotePrefix="0" xfId="0">
      <alignment horizontal="right"/>
    </xf>
    <xf numFmtId="2" fontId="4" fillId="0" borderId="0" applyAlignment="1" pivotButton="0" quotePrefix="0" xfId="0">
      <alignment horizontal="right"/>
    </xf>
    <xf numFmtId="2" fontId="0" fillId="0" borderId="0" pivotButton="0" quotePrefix="0" xfId="0"/>
    <xf numFmtId="10" fontId="0" fillId="0" borderId="0" pivotButton="0" quotePrefix="0" xfId="0"/>
    <xf numFmtId="9" fontId="4" fillId="0" borderId="0" applyAlignment="1" pivotButton="0" quotePrefix="0" xfId="0">
      <alignment horizontal="right"/>
    </xf>
    <xf numFmtId="10" fontId="4" fillId="0" borderId="0" applyAlignment="1" pivotButton="0" quotePrefix="0" xfId="0">
      <alignment horizontal="right"/>
    </xf>
    <xf numFmtId="0" fontId="5" fillId="0" borderId="0" pivotButton="0" quotePrefix="0" xfId="0"/>
    <xf numFmtId="0" fontId="6" fillId="2" borderId="0" pivotButton="0" quotePrefix="0" xfId="0"/>
    <xf numFmtId="0" fontId="7" fillId="2" borderId="0" pivotButton="0" quotePrefix="0" xfId="0"/>
    <xf numFmtId="0" fontId="8" fillId="0" borderId="0" pivotButton="0" quotePrefix="0" xfId="0"/>
    <xf numFmtId="0" fontId="9" fillId="0" borderId="0" pivotButton="0" quotePrefix="0" xfId="0"/>
    <xf numFmtId="4" fontId="0" fillId="0" borderId="0" pivotButton="0" quotePrefix="0" xfId="0"/>
    <xf numFmtId="165" fontId="0" fillId="0" borderId="0" pivotButton="0" quotePrefix="0" xfId="0"/>
    <xf numFmtId="4" fontId="10" fillId="4" borderId="0" pivotButton="0" quotePrefix="0" xfId="0"/>
    <xf numFmtId="164" fontId="0" fillId="0" borderId="0" pivotButton="0" quotePrefix="0" xfId="0"/>
    <xf numFmtId="9" fontId="0" fillId="0" borderId="0" pivotButton="0" quotePrefix="0" xfId="0"/>
    <xf numFmtId="0" fontId="9" fillId="4" borderId="0" pivotButton="0" quotePrefix="0" xfId="0"/>
    <xf numFmtId="4" fontId="0" fillId="4" borderId="0" pivotButton="0" quotePrefix="0" xfId="0"/>
    <xf numFmtId="0" fontId="0" fillId="4" borderId="0" pivotButton="0" quotePrefix="0" xfId="0"/>
    <xf numFmtId="0" fontId="11" fillId="4" borderId="0" pivotButton="0" quotePrefix="0" xfId="0"/>
    <xf numFmtId="10" fontId="9" fillId="0" borderId="0" applyAlignment="1" pivotButton="0" quotePrefix="0" xfId="0">
      <alignment horizontal="right"/>
    </xf>
    <xf numFmtId="164" fontId="9" fillId="0" borderId="0" applyAlignment="1" pivotButton="0" quotePrefix="0" xfId="0">
      <alignment horizontal="right"/>
    </xf>
    <xf numFmtId="3" fontId="9" fillId="4" borderId="0" applyAlignment="1" pivotButton="0" quotePrefix="0" xfId="0">
      <alignment horizontal="right"/>
    </xf>
    <xf numFmtId="3" fontId="9" fillId="0" borderId="0" applyAlignment="1" pivotButton="0" quotePrefix="0" xfId="0">
      <alignment horizontal="right"/>
    </xf>
    <xf numFmtId="0" fontId="10" fillId="0" borderId="0" applyAlignment="1" pivotButton="0" quotePrefix="0" xfId="0">
      <alignment horizontal="right"/>
    </xf>
    <xf numFmtId="3" fontId="9" fillId="0" borderId="0" pivotButton="0" quotePrefix="0" xfId="0"/>
    <xf numFmtId="9" fontId="9" fillId="0" borderId="0" applyAlignment="1" pivotButton="0" quotePrefix="0" xfId="0">
      <alignment horizontal="right"/>
    </xf>
    <xf numFmtId="166" fontId="4" fillId="4" borderId="0" applyAlignment="1" pivotButton="0" quotePrefix="0" xfId="0">
      <alignment horizontal="right"/>
    </xf>
    <xf numFmtId="2" fontId="4" fillId="4" borderId="0" applyAlignment="1" pivotButton="0" quotePrefix="0" xfId="0">
      <alignment horizontal="right"/>
    </xf>
    <xf numFmtId="9" fontId="4" fillId="4" borderId="0" applyAlignment="1" pivotButton="0" quotePrefix="0" xfId="0">
      <alignment horizontal="right"/>
    </xf>
    <xf numFmtId="10" fontId="4" fillId="4" borderId="0" applyAlignment="1" pivotButton="0" quotePrefix="0" xfId="0">
      <alignment horizontal="right"/>
    </xf>
    <xf numFmtId="166" fontId="4" fillId="0" borderId="0" applyAlignment="1" pivotButton="0" quotePrefix="0" xfId="0">
      <alignment horizontal="right"/>
    </xf>
    <xf numFmtId="2" fontId="9" fillId="0" borderId="0" pivotButton="0" quotePrefix="0" xfId="0"/>
    <xf numFmtId="9" fontId="9" fillId="0" borderId="0" pivotButton="0" quotePrefix="0" xfId="0"/>
    <xf numFmtId="4" fontId="9" fillId="0" borderId="0" applyAlignment="1" pivotButton="0" quotePrefix="0" xfId="0">
      <alignment horizontal="right"/>
    </xf>
    <xf numFmtId="164" fontId="9" fillId="0" borderId="0" pivotButton="0" quotePrefix="0" xfId="0"/>
    <xf numFmtId="2" fontId="9" fillId="0" borderId="0" applyAlignment="1" pivotButton="0" quotePrefix="0" xfId="0">
      <alignment horizontal="right"/>
    </xf>
    <xf numFmtId="0" fontId="15" fillId="0" borderId="0" applyAlignment="1" pivotButton="0" quotePrefix="0" xfId="0">
      <alignment vertical="top" wrapText="1"/>
    </xf>
    <xf numFmtId="0" fontId="16" fillId="0" borderId="0" pivotButton="0" quotePrefix="0" xfId="0"/>
    <xf numFmtId="0" fontId="12" fillId="5" borderId="0" applyAlignment="1" pivotButton="0" quotePrefix="0" xfId="0">
      <alignment horizontal="center" wrapText="1"/>
    </xf>
    <xf numFmtId="10" fontId="14" fillId="0" borderId="0" pivotButton="0" quotePrefix="0" xfId="0"/>
    <xf numFmtId="167" fontId="13" fillId="0" borderId="0" pivotButton="0" quotePrefix="0" xfId="0"/>
    <xf numFmtId="168" fontId="14" fillId="0" borderId="0" pivotButton="0" quotePrefix="0" xfId="0"/>
    <xf numFmtId="0" fontId="17" fillId="6" borderId="0" pivotButton="0" quotePrefix="0" xfId="0"/>
    <xf numFmtId="0" fontId="15" fillId="0" borderId="0" pivotButton="0" quotePrefix="0" xfId="0"/>
    <xf numFmtId="0" fontId="17" fillId="7" borderId="0" pivotButton="0" quotePrefix="0" xfId="0"/>
    <xf numFmtId="0" fontId="13" fillId="4" borderId="0" pivotButton="0" quotePrefix="0" xfId="0"/>
    <xf numFmtId="166" fontId="13" fillId="4" borderId="0" applyAlignment="1" pivotButton="0" quotePrefix="0" xfId="0">
      <alignment horizontal="right"/>
    </xf>
    <xf numFmtId="169" fontId="13" fillId="4" borderId="0" applyAlignment="1" pivotButton="0" quotePrefix="0" xfId="0">
      <alignment horizontal="right"/>
    </xf>
    <xf numFmtId="164" fontId="13" fillId="4" borderId="0" applyAlignment="1" pivotButton="0" quotePrefix="0" xfId="0">
      <alignment horizontal="right"/>
    </xf>
    <xf numFmtId="164" fontId="13" fillId="0" borderId="0" pivotButton="0" quotePrefix="0" xfId="0"/>
    <xf numFmtId="10" fontId="13" fillId="0" borderId="0" pivotButton="0" quotePrefix="0" xfId="0"/>
    <xf numFmtId="0" fontId="14" fillId="0" borderId="0" pivotButton="0" quotePrefix="0" xfId="0"/>
    <xf numFmtId="166" fontId="14" fillId="0" borderId="0" applyAlignment="1" pivotButton="0" quotePrefix="0" xfId="0">
      <alignment horizontal="right"/>
    </xf>
    <xf numFmtId="169" fontId="14" fillId="0" borderId="0" applyAlignment="1" pivotButton="0" quotePrefix="0" xfId="0">
      <alignment horizontal="right"/>
    </xf>
    <xf numFmtId="164" fontId="14" fillId="0" borderId="0" pivotButton="0" quotePrefix="0" xfId="0"/>
    <xf numFmtId="169" fontId="14" fillId="0" borderId="0" pivotButton="0" quotePrefix="0" xfId="0"/>
    <xf numFmtId="0" fontId="13" fillId="0" borderId="0" pivotButton="0" quotePrefix="0" xfId="0"/>
    <xf numFmtId="169" fontId="13" fillId="0" borderId="0" pivotButton="0" quotePrefix="0" xfId="0"/>
    <xf numFmtId="168" fontId="13" fillId="0" borderId="0" pivotButton="0" quotePrefix="0" xfId="0"/>
    <xf numFmtId="167" fontId="13" fillId="0" borderId="0" pivotButton="0" quotePrefix="0" xfId="0"/>
    <xf numFmtId="169" fontId="13" fillId="4" borderId="0" applyAlignment="1" pivotButton="0" quotePrefix="0" xfId="0">
      <alignment horizontal="right"/>
    </xf>
    <xf numFmtId="169" fontId="14" fillId="0" borderId="0" applyAlignment="1" pivotButton="0" quotePrefix="0" xfId="0">
      <alignment horizontal="right"/>
    </xf>
    <xf numFmtId="169" fontId="14" fillId="0" borderId="0" pivotButton="0" quotePrefix="0" xfId="0"/>
    <xf numFmtId="169" fontId="13" fillId="0" borderId="0" pivotButton="0" quotePrefix="0" xfId="0"/>
    <xf numFmtId="168" fontId="9"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52"/>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24" customHeight="1">
      <c r="A1" s="1" t="inlineStr">
        <is>
          <t>JPMorgan Chase &amp; Co. (NYSE: JPM)</t>
        </is>
      </c>
      <c r="B1" s="2" t="n"/>
      <c r="C1" s="2" t="n"/>
      <c r="D1" s="2" t="n"/>
      <c r="E1" s="2" t="n"/>
      <c r="F1" s="2" t="n"/>
      <c r="G1" s="2" t="n"/>
      <c r="H1" s="2" t="n"/>
      <c r="I1" s="2" t="n"/>
    </row>
    <row r="2" ht="16" customHeight="1">
      <c r="A2" s="3" t="inlineStr">
        <is>
          <t>Equity Research Model  |  Financials — Diversified Banks  |  Figures as of 14 August 2026</t>
        </is>
      </c>
      <c r="B2" s="2" t="n"/>
      <c r="C2" s="2" t="n"/>
      <c r="D2" s="2" t="n"/>
      <c r="E2" s="2" t="n"/>
      <c r="F2" s="2" t="n"/>
      <c r="G2" s="2" t="n"/>
      <c r="H2" s="2" t="n"/>
      <c r="I2" s="2" t="n"/>
    </row>
    <row r="4">
      <c r="A4" s="4" t="inlineStr">
        <is>
          <t>MARKET DATA</t>
        </is>
      </c>
      <c r="B4" s="5" t="n"/>
      <c r="C4" s="5" t="n"/>
      <c r="D4" s="5" t="n"/>
      <c r="E4" s="5" t="n"/>
      <c r="F4" s="5" t="n"/>
      <c r="G4" s="5" t="n"/>
      <c r="H4" s="5" t="n"/>
      <c r="I4" s="5" t="n"/>
    </row>
    <row r="5">
      <c r="A5" s="6" t="inlineStr">
        <is>
          <t>Current market price (US$, 14-Aug-2026)</t>
        </is>
      </c>
      <c r="B5" s="7" t="n">
        <v>362.84</v>
      </c>
    </row>
    <row r="6">
      <c r="A6" s="6" t="inlineStr">
        <is>
          <t>Previous close (US$)</t>
        </is>
      </c>
      <c r="B6" s="7" t="n">
        <v>363.11</v>
      </c>
    </row>
    <row r="7">
      <c r="A7" s="6" t="inlineStr">
        <is>
          <t>Market capitalisation (US$ m)</t>
        </is>
      </c>
      <c r="B7" s="8" t="n">
        <v>964500</v>
      </c>
    </row>
    <row r="8">
      <c r="A8" s="6" t="inlineStr">
        <is>
          <t>Shares outstanding (m) — market cap / price</t>
        </is>
      </c>
      <c r="B8" s="9">
        <f>B7/B5</f>
        <v/>
      </c>
    </row>
    <row r="9">
      <c r="A9" s="6" t="inlineStr">
        <is>
          <t>52-week price change (%)</t>
        </is>
      </c>
      <c r="B9" s="10" t="n">
        <v>0.2489</v>
      </c>
    </row>
    <row r="10">
      <c r="A10" s="6" t="inlineStr">
        <is>
          <t>50-day moving average (US$)</t>
        </is>
      </c>
      <c r="B10" s="7" t="n">
        <v>339.37</v>
      </c>
    </row>
    <row r="11">
      <c r="A11" s="6" t="inlineStr">
        <is>
          <t>200-day moving average (US$)</t>
        </is>
      </c>
      <c r="B11" s="7" t="n">
        <v>314.85</v>
      </c>
    </row>
    <row r="12">
      <c r="A12" s="6" t="inlineStr">
        <is>
          <t>Beta (5-year)</t>
        </is>
      </c>
      <c r="B12" s="11" t="n">
        <v>0.98</v>
      </c>
    </row>
    <row r="13">
      <c r="A13" s="6" t="inlineStr">
        <is>
          <t>Book value per share (US$, 30-Jun-2026)</t>
        </is>
      </c>
      <c r="B13" s="7" t="n">
        <v>133.01</v>
      </c>
    </row>
    <row r="14">
      <c r="A14" s="6" t="inlineStr">
        <is>
          <t>Tangible book value per share (US$, 30-Jun-2026)</t>
        </is>
      </c>
      <c r="B14" s="7" t="n">
        <v>113.35</v>
      </c>
    </row>
    <row r="15">
      <c r="A15" s="6" t="inlineStr">
        <is>
          <t>Price / book (x)</t>
        </is>
      </c>
      <c r="B15" s="12">
        <f>B5/B13</f>
        <v/>
      </c>
    </row>
    <row r="16">
      <c r="A16" s="6" t="inlineStr">
        <is>
          <t>Price / tangible book (x)</t>
        </is>
      </c>
      <c r="B16" s="12">
        <f>B5/B14</f>
        <v/>
      </c>
    </row>
    <row r="17">
      <c r="A17" s="6" t="inlineStr">
        <is>
          <t>Annual dividend per share (US$, forward run-rate)</t>
        </is>
      </c>
      <c r="B17" s="7" t="n">
        <v>6.6</v>
      </c>
    </row>
    <row r="18">
      <c r="A18" s="6" t="inlineStr">
        <is>
          <t>Dividend yield (%)</t>
        </is>
      </c>
      <c r="B18" s="13">
        <f>B17/B5</f>
        <v/>
      </c>
    </row>
    <row r="19">
      <c r="A19" s="6" t="inlineStr">
        <is>
          <t>Total equity (US$ m, 30-Jun-2026)</t>
        </is>
      </c>
      <c r="B19" s="8" t="n">
        <v>374600</v>
      </c>
    </row>
    <row r="20">
      <c r="A20" s="6" t="inlineStr">
        <is>
          <t>Implied preferred stock (US$ m)</t>
        </is>
      </c>
      <c r="B20" s="9">
        <f>B19-B13*B8</f>
        <v/>
      </c>
    </row>
    <row r="21">
      <c r="A21" s="6" t="inlineStr">
        <is>
          <t>Total assets (US$ bn)</t>
        </is>
      </c>
      <c r="B21" s="8" t="n">
        <v>5000</v>
      </c>
    </row>
    <row r="22">
      <c r="A22" s="6" t="inlineStr">
        <is>
          <t>CET1 ratio — Standardised (%)</t>
        </is>
      </c>
      <c r="B22" s="10" t="n">
        <v>0.141</v>
      </c>
    </row>
    <row r="23">
      <c r="A23" s="6" t="inlineStr">
        <is>
          <t>Employees</t>
        </is>
      </c>
      <c r="B23" s="8" t="n">
        <v>318512</v>
      </c>
    </row>
    <row r="25">
      <c r="A25" s="4" t="inlineStr">
        <is>
          <t>Q2 FY2026 RESULTS  (reported 14 July 2026)</t>
        </is>
      </c>
      <c r="B25" s="5" t="n"/>
      <c r="C25" s="5" t="n"/>
      <c r="D25" s="5" t="n"/>
      <c r="E25" s="5" t="n"/>
      <c r="F25" s="5" t="n"/>
      <c r="G25" s="5" t="n"/>
      <c r="H25" s="5" t="n"/>
      <c r="I25" s="5" t="n"/>
    </row>
    <row r="26">
      <c r="A26" s="6" t="inlineStr">
        <is>
          <t>Net revenue — reported (US$ m)</t>
        </is>
      </c>
      <c r="B26" s="8" t="n">
        <v>57347</v>
      </c>
    </row>
    <row r="27">
      <c r="A27" s="6" t="inlineStr">
        <is>
          <t>Net revenue — managed (US$ m)</t>
        </is>
      </c>
      <c r="B27" s="8" t="n">
        <v>58022</v>
      </c>
    </row>
    <row r="28">
      <c r="A28" s="6" t="inlineStr">
        <is>
          <t>Noninterest expense (US$ m)</t>
        </is>
      </c>
      <c r="B28" s="8" t="n">
        <v>27316</v>
      </c>
    </row>
    <row r="29">
      <c r="A29" s="6" t="inlineStr">
        <is>
          <t>Provision for credit losses (US$ m)</t>
        </is>
      </c>
      <c r="B29" s="8" t="n">
        <v>2515</v>
      </c>
    </row>
    <row r="30">
      <c r="A30" s="6" t="inlineStr">
        <is>
          <t>Net income — reported (US$ m)</t>
        </is>
      </c>
      <c r="B30" s="8" t="n">
        <v>21155</v>
      </c>
    </row>
    <row r="31">
      <c r="A31" s="6" t="inlineStr">
        <is>
          <t>Net income — excluding significant items (US$ m)</t>
        </is>
      </c>
      <c r="B31" s="8" t="n">
        <v>16900</v>
      </c>
    </row>
    <row r="32">
      <c r="A32" s="6" t="inlineStr">
        <is>
          <t>EPS — reported (US$)</t>
        </is>
      </c>
      <c r="B32" s="7" t="n">
        <v>7.7</v>
      </c>
    </row>
    <row r="33">
      <c r="A33" s="6" t="inlineStr">
        <is>
          <t>EPS — excluding significant items (US$)</t>
        </is>
      </c>
      <c r="B33" s="7" t="n">
        <v>6.14</v>
      </c>
    </row>
    <row r="34">
      <c r="A34" s="6" t="inlineStr">
        <is>
          <t>Significant items — EPS impact (US$)</t>
        </is>
      </c>
      <c r="B34" s="7" t="n">
        <v>1.56</v>
      </c>
    </row>
    <row r="35">
      <c r="A35" s="6" t="inlineStr">
        <is>
          <t>ROE — reported (%)</t>
        </is>
      </c>
      <c r="B35" s="14" t="n">
        <v>0.24</v>
      </c>
    </row>
    <row r="36">
      <c r="A36" s="6" t="inlineStr">
        <is>
          <t>ROTCE — reported (%)</t>
        </is>
      </c>
      <c r="B36" s="14" t="n">
        <v>0.29</v>
      </c>
    </row>
    <row r="37">
      <c r="A37" s="6" t="inlineStr">
        <is>
          <t>ROTCE — excluding significant items (%)</t>
        </is>
      </c>
      <c r="B37" s="14" t="n">
        <v>0.23</v>
      </c>
    </row>
    <row r="38">
      <c r="A38" s="6" t="inlineStr">
        <is>
          <t>Net interest income, managed (US$ m)</t>
        </is>
      </c>
      <c r="B38" s="8" t="n">
        <v>25600</v>
      </c>
    </row>
    <row r="39">
      <c r="A39" s="6" t="inlineStr">
        <is>
          <t>Markets revenue (US$ m)</t>
        </is>
      </c>
      <c r="B39" s="8" t="n">
        <v>12100</v>
      </c>
    </row>
    <row r="40">
      <c r="A40" s="6" t="inlineStr">
        <is>
          <t>Investment banking fees (US$ m)</t>
        </is>
      </c>
      <c r="B40" s="8" t="n">
        <v>3300</v>
      </c>
    </row>
    <row r="41">
      <c r="A41" s="6" t="inlineStr">
        <is>
          <t>Assets under management (US$ bn)</t>
        </is>
      </c>
      <c r="B41" s="8" t="n">
        <v>5100</v>
      </c>
    </row>
    <row r="42">
      <c r="A42" s="6" t="inlineStr">
        <is>
          <t>Card Services net charge-off rate (%)</t>
        </is>
      </c>
      <c r="B42" s="15" t="n">
        <v>0.0334</v>
      </c>
    </row>
    <row r="45">
      <c r="A45" s="4" t="inlineStr">
        <is>
          <t>THE SIGNIFICANT ITEMS — WHY REPORTED Q2 OVERSTATES THE RUN-RATE</t>
        </is>
      </c>
      <c r="B45" s="5" t="n"/>
      <c r="C45" s="5" t="n"/>
      <c r="D45" s="5" t="n"/>
      <c r="E45" s="5" t="n"/>
      <c r="F45" s="5" t="n"/>
      <c r="G45" s="5" t="n"/>
      <c r="H45" s="5" t="n"/>
      <c r="I45" s="5" t="n"/>
    </row>
    <row r="46">
      <c r="A46" s="16" t="inlineStr">
        <is>
          <t>Q2 FY2026 net income of $21.2bn included a $4.6bn net gain on Visa Class B-2 shares exchanged in May 2026,</t>
        </is>
      </c>
    </row>
    <row r="47">
      <c r="A47" s="16" t="inlineStr">
        <is>
          <t>plus $1.0bn of gains on certain equity investments — $4.2bn after tax, or $1.56 of the $7.70 reported EPS.</t>
        </is>
      </c>
    </row>
    <row r="48">
      <c r="A48" s="16" t="inlineStr">
        <is>
          <t>Management's own headline number excludes them: $16.9bn of net income, $6.14 of EPS, 23% ROTCE (not 29%).</t>
        </is>
      </c>
    </row>
    <row r="49">
      <c r="A49" s="16" t="inlineStr">
        <is>
          <t>Every valuation method in this model is built on the ex-items figures. Reported ROTCE of 29% is not a run-rate,</t>
        </is>
      </c>
    </row>
    <row r="50">
      <c r="A50" s="16" t="inlineStr">
        <is>
          <t>and Equity Markets revenue up 86% year on year is not a base from which to extrapolate.</t>
        </is>
      </c>
    </row>
    <row r="52" ht="28" customHeight="1">
      <c r="A52" s="47" t="inlineStr">
        <is>
          <t>DIVIDEND. Quarterly rate raised to $1.65 from $1.50 effective Q3 2026, announced 24 June 2026 with CCAR results and a $50bn repurchase authorisation from 1 July. Forward run-rate $6.60 and yield 1.82%; the trailing rate was $6.00 and 1.65%. Total expected return is -9.2% on the forward basis.</t>
        </is>
      </c>
    </row>
  </sheetData>
  <mergeCells count="1">
    <mergeCell ref="A52:F52"/>
  </mergeCells>
  <pageMargins left="0.3" right="0.3" top="0.4" bottom="0.4"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I122"/>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4" customHeight="1">
      <c r="A1" s="17" t="inlineStr">
        <is>
          <t>Valuation Summary — JPMorgan Chase &amp; Co.</t>
        </is>
      </c>
      <c r="B1" s="2" t="n"/>
      <c r="C1" s="2" t="n"/>
      <c r="D1" s="2" t="n"/>
      <c r="E1" s="2" t="n"/>
      <c r="F1" s="2" t="n"/>
      <c r="G1" s="2" t="n"/>
      <c r="H1" s="2" t="n"/>
      <c r="I1" s="2" t="n"/>
    </row>
    <row r="2">
      <c r="A2" s="18" t="inlineStr">
        <is>
          <t>Three methods, stated blend. Rating anchored to the US 10-year Treasury.</t>
        </is>
      </c>
      <c r="B2" s="2" t="n"/>
      <c r="C2" s="2" t="n"/>
      <c r="D2" s="2" t="n"/>
      <c r="E2" s="2" t="n"/>
      <c r="F2" s="2" t="n"/>
      <c r="G2" s="2" t="n"/>
      <c r="H2" s="2" t="n"/>
      <c r="I2" s="2" t="n"/>
    </row>
    <row r="4">
      <c r="A4" s="4" t="inlineStr">
        <is>
          <t>KEY INPUTS</t>
        </is>
      </c>
      <c r="B4" s="5" t="n"/>
      <c r="C4" s="5" t="n"/>
      <c r="D4" s="5" t="n"/>
      <c r="E4" s="5" t="n"/>
      <c r="F4" s="5" t="n"/>
      <c r="G4" s="5" t="n"/>
      <c r="H4" s="5" t="n"/>
      <c r="I4" s="5" t="n"/>
    </row>
    <row r="5">
      <c r="A5" s="6" t="inlineStr">
        <is>
          <t>Current market price (US$, 14-Aug-2026)</t>
        </is>
      </c>
      <c r="B5" s="7" t="n">
        <v>362.84</v>
      </c>
    </row>
    <row r="6">
      <c r="A6" s="6" t="inlineStr">
        <is>
          <t>Tangible book value per share (US$, 30-Jun-2026)</t>
        </is>
      </c>
      <c r="B6" s="7" t="n">
        <v>113.35</v>
      </c>
    </row>
    <row r="7">
      <c r="A7" s="6" t="inlineStr">
        <is>
          <t>US 10-year Treasury yield (14-Aug-2026)</t>
        </is>
      </c>
      <c r="B7" s="15" t="n">
        <v>0.047</v>
      </c>
    </row>
    <row r="8">
      <c r="A8" s="6" t="inlineStr">
        <is>
          <t>Equity risk premium</t>
        </is>
      </c>
      <c r="B8" s="10" t="n">
        <v>0.055</v>
      </c>
    </row>
    <row r="9">
      <c r="A9" s="6" t="inlineStr">
        <is>
          <t>Beta (5-year)</t>
        </is>
      </c>
      <c r="B9" s="11" t="n">
        <v>0.98</v>
      </c>
    </row>
    <row r="10">
      <c r="A10" s="6" t="inlineStr">
        <is>
          <t>Cost of equity  = rf + beta x ERP</t>
        </is>
      </c>
      <c r="B10" s="13">
        <f>B7+B9*B8</f>
        <v/>
      </c>
    </row>
    <row r="11">
      <c r="A11" s="6" t="inlineStr">
        <is>
          <t>Terminal growth rate</t>
        </is>
      </c>
      <c r="B11" s="10" t="n">
        <v>0.045</v>
      </c>
    </row>
    <row r="12">
      <c r="A12" s="6" t="inlineStr">
        <is>
          <t>Payout ratio used for tangible book roll-forward</t>
        </is>
      </c>
      <c r="B12" s="14" t="n">
        <v>0.55</v>
      </c>
    </row>
    <row r="13">
      <c r="A13" s="6" t="inlineStr">
        <is>
          <t>FY2026E EPS — consensus, ex-significant items (US$)</t>
        </is>
      </c>
      <c r="B13" s="7" t="n">
        <v>24.21</v>
      </c>
    </row>
    <row r="14">
      <c r="A14" s="6" t="inlineStr">
        <is>
          <t>FY2027E EPS — consensus (US$)</t>
        </is>
      </c>
      <c r="B14" s="7" t="n">
        <v>25.01</v>
      </c>
    </row>
    <row r="15">
      <c r="A15" s="6" t="inlineStr">
        <is>
          <t>Dividend per share (US$)</t>
        </is>
      </c>
      <c r="B15" s="7" t="n">
        <v>6.6</v>
      </c>
    </row>
    <row r="16">
      <c r="A16" s="6" t="inlineStr">
        <is>
          <t>Dividend yield</t>
        </is>
      </c>
      <c r="B16" s="13">
        <f>B15/B5</f>
        <v/>
      </c>
    </row>
    <row r="19">
      <c r="A19" s="4" t="inlineStr">
        <is>
          <t>METHOD 1 — EXCESS RETURN (RESIDUAL INCOME) ON TANGIBLE BOOK</t>
        </is>
      </c>
      <c r="B19" s="5" t="n"/>
      <c r="C19" s="5" t="n"/>
      <c r="D19" s="5" t="n"/>
      <c r="E19" s="5" t="n"/>
      <c r="F19" s="5" t="n"/>
      <c r="G19" s="5" t="n"/>
      <c r="H19" s="5" t="n"/>
      <c r="I19" s="5" t="n"/>
    </row>
    <row r="20">
      <c r="A20" s="19" t="inlineStr">
        <is>
          <t>ROTCE fades from the ex-items 2026 run-rate toward a through-cycle level. Management's stated target is 17%.</t>
        </is>
      </c>
    </row>
    <row r="21">
      <c r="A21" s="20" t="inlineStr"/>
      <c r="B21" s="20" t="inlineStr">
        <is>
          <t>FY2026E</t>
        </is>
      </c>
      <c r="C21" s="20" t="inlineStr">
        <is>
          <t>FY2027E</t>
        </is>
      </c>
      <c r="D21" s="20" t="inlineStr">
        <is>
          <t>FY2028E</t>
        </is>
      </c>
      <c r="E21" s="20" t="inlineStr">
        <is>
          <t>FY2029E</t>
        </is>
      </c>
      <c r="F21" s="20" t="inlineStr">
        <is>
          <t>FY2030E</t>
        </is>
      </c>
      <c r="G21" s="20" t="inlineStr">
        <is>
          <t>Terminal</t>
        </is>
      </c>
    </row>
    <row r="22">
      <c r="A22" s="6" t="inlineStr">
        <is>
          <t>ROTCE assumption</t>
        </is>
      </c>
      <c r="B22" s="10" t="n">
        <v>0.225</v>
      </c>
      <c r="C22" s="10" t="n">
        <v>0.21</v>
      </c>
      <c r="D22" s="10" t="n">
        <v>0.195</v>
      </c>
      <c r="E22" s="10" t="n">
        <v>0.185</v>
      </c>
      <c r="F22" s="10" t="n">
        <v>0.18</v>
      </c>
      <c r="G22" s="10" t="n">
        <v>0.185</v>
      </c>
    </row>
    <row r="23">
      <c r="A23" s="6" t="inlineStr">
        <is>
          <t>Opening tangible book value per share (US$)</t>
        </is>
      </c>
      <c r="B23" s="21">
        <f>B6</f>
        <v/>
      </c>
      <c r="C23" s="21">
        <f>B26</f>
        <v/>
      </c>
      <c r="D23" s="21">
        <f>C26</f>
        <v/>
      </c>
      <c r="E23" s="21">
        <f>D26</f>
        <v/>
      </c>
      <c r="F23" s="21">
        <f>E26</f>
        <v/>
      </c>
      <c r="G23" s="21">
        <f>F26</f>
        <v/>
      </c>
    </row>
    <row r="24">
      <c r="A24" s="6" t="inlineStr">
        <is>
          <t>Excess return per share (US$)  = (ROTCE - COE) x opening TBVPS</t>
        </is>
      </c>
      <c r="B24" s="21">
        <f>(B22-$B$10)*B23</f>
        <v/>
      </c>
      <c r="C24" s="21">
        <f>(C22-$B$10)*C23</f>
        <v/>
      </c>
      <c r="D24" s="21">
        <f>(D22-$B$10)*D23</f>
        <v/>
      </c>
      <c r="E24" s="21">
        <f>(E22-$B$10)*E23</f>
        <v/>
      </c>
      <c r="F24" s="21">
        <f>(F22-$B$10)*F23</f>
        <v/>
      </c>
      <c r="G24" s="21">
        <f>(G22-$B$10)*G23</f>
        <v/>
      </c>
    </row>
    <row r="25">
      <c r="A25" s="6" t="inlineStr">
        <is>
          <t>Discount factor</t>
        </is>
      </c>
      <c r="B25" s="22">
        <f>1/(1+$B$10)^1</f>
        <v/>
      </c>
      <c r="C25" s="22">
        <f>1/(1+$B$10)^2</f>
        <v/>
      </c>
      <c r="D25" s="22">
        <f>1/(1+$B$10)^3</f>
        <v/>
      </c>
      <c r="E25" s="22">
        <f>1/(1+$B$10)^4</f>
        <v/>
      </c>
      <c r="F25" s="22">
        <f>1/(1+$B$10)^5</f>
        <v/>
      </c>
    </row>
    <row r="26">
      <c r="A26" s="6" t="inlineStr">
        <is>
          <t>Closing tangible book value per share (US$)</t>
        </is>
      </c>
      <c r="B26" s="21">
        <f>B23*(1+B22*(1-$B$12))</f>
        <v/>
      </c>
      <c r="C26" s="21">
        <f>C23*(1+C22*(1-$B$12))</f>
        <v/>
      </c>
      <c r="D26" s="21">
        <f>D23*(1+D22*(1-$B$12))</f>
        <v/>
      </c>
      <c r="E26" s="21">
        <f>E23*(1+E22*(1-$B$12))</f>
        <v/>
      </c>
      <c r="F26" s="21">
        <f>F23*(1+F22*(1-$B$12))</f>
        <v/>
      </c>
    </row>
    <row r="27">
      <c r="A27" s="6" t="inlineStr">
        <is>
          <t>Present value of excess return (US$)</t>
        </is>
      </c>
      <c r="B27" s="21">
        <f>B24*B25</f>
        <v/>
      </c>
      <c r="C27" s="21">
        <f>C24*C25</f>
        <v/>
      </c>
      <c r="D27" s="21">
        <f>D24*D25</f>
        <v/>
      </c>
      <c r="E27" s="21">
        <f>E24*E25</f>
        <v/>
      </c>
      <c r="F27" s="21">
        <f>F24*F25</f>
        <v/>
      </c>
    </row>
    <row r="29">
      <c r="A29" s="20" t="inlineStr">
        <is>
          <t>Opening tangible book value per share</t>
        </is>
      </c>
      <c r="B29" s="21">
        <f>B6</f>
        <v/>
      </c>
    </row>
    <row r="30">
      <c r="A30" s="20" t="inlineStr">
        <is>
          <t>PV of excess returns, FY2026E–FY2030E</t>
        </is>
      </c>
      <c r="B30" s="21">
        <f>SUM(B27:F27)</f>
        <v/>
      </c>
    </row>
    <row r="31">
      <c r="A31" s="6" t="inlineStr">
        <is>
          <t>Terminal value of excess return  = G24 / (COE - g)</t>
        </is>
      </c>
      <c r="B31" s="21">
        <f>G24/(B10-B11)</f>
        <v/>
      </c>
    </row>
    <row r="32">
      <c r="A32" s="20" t="inlineStr">
        <is>
          <t>PV of terminal value</t>
        </is>
      </c>
      <c r="B32" s="21">
        <f>B31*F25</f>
        <v/>
      </c>
    </row>
    <row r="33">
      <c r="A33" s="20" t="inlineStr">
        <is>
          <t>EXCESS-RETURN FAIR VALUE (US$)</t>
        </is>
      </c>
      <c r="B33" s="23">
        <f>B29+B30+B32</f>
        <v/>
      </c>
    </row>
    <row r="36">
      <c r="A36" s="4" t="inlineStr">
        <is>
          <t>METHOD 2 — JUSTIFIED PRICE / TANGIBLE BOOK</t>
        </is>
      </c>
      <c r="B36" s="5" t="n"/>
      <c r="C36" s="5" t="n"/>
      <c r="D36" s="5" t="n"/>
      <c r="E36" s="5" t="n"/>
      <c r="F36" s="5" t="n"/>
      <c r="G36" s="5" t="n"/>
      <c r="H36" s="5" t="n"/>
      <c r="I36" s="5" t="n"/>
    </row>
    <row r="37">
      <c r="A37" s="19" t="inlineStr">
        <is>
          <t>Justified P/TBV = (normalised ROTCE - g) / (COE - g). The multiple the franchise earns, not the one it trades at.</t>
        </is>
      </c>
    </row>
    <row r="38">
      <c r="A38" s="6" t="inlineStr">
        <is>
          <t>Normalised through-cycle ROTCE</t>
        </is>
      </c>
      <c r="B38" s="10" t="n">
        <v>0.19</v>
      </c>
    </row>
    <row r="39">
      <c r="A39" s="6" t="inlineStr">
        <is>
          <t>Terminal growth rate</t>
        </is>
      </c>
      <c r="B39" s="24">
        <f>B11</f>
        <v/>
      </c>
    </row>
    <row r="40">
      <c r="A40" s="6" t="inlineStr">
        <is>
          <t>Cost of equity</t>
        </is>
      </c>
      <c r="B40" s="13">
        <f>B10</f>
        <v/>
      </c>
    </row>
    <row r="41">
      <c r="A41" s="6" t="inlineStr">
        <is>
          <t>Justified price / tangible book (x)</t>
        </is>
      </c>
      <c r="B41" s="12">
        <f>(B38-B39)/(B40-B39)</f>
        <v/>
      </c>
    </row>
    <row r="42">
      <c r="A42" s="6" t="inlineStr">
        <is>
          <t>Tangible book value per share, Dec-2026E (US$)</t>
        </is>
      </c>
      <c r="B42" s="7" t="n">
        <v>119</v>
      </c>
    </row>
    <row r="43">
      <c r="A43" s="6" t="inlineStr">
        <is>
          <t>JUSTIFIED P/TBV FAIR VALUE (US$)</t>
        </is>
      </c>
      <c r="B43" s="23">
        <f>B41*B42</f>
        <v/>
      </c>
    </row>
    <row r="44">
      <c r="A44" s="6" t="inlineStr">
        <is>
          <t>Memo: price / tangible book the market is paying today (x)</t>
        </is>
      </c>
      <c r="B44" s="12">
        <f>B5/B6</f>
        <v/>
      </c>
    </row>
    <row r="45">
      <c r="A45" s="6" t="inlineStr">
        <is>
          <t>Memo: ROTCE the current price implies, at this g and COE</t>
        </is>
      </c>
      <c r="B45" s="24">
        <f>B44*(B10-B11)+B11</f>
        <v/>
      </c>
    </row>
    <row r="48">
      <c r="A48" s="4" t="inlineStr">
        <is>
          <t>METHOD 3 — FORWARD PRICE / EARNINGS</t>
        </is>
      </c>
      <c r="B48" s="5" t="n"/>
      <c r="C48" s="5" t="n"/>
      <c r="D48" s="5" t="n"/>
      <c r="E48" s="5" t="n"/>
      <c r="F48" s="5" t="n"/>
      <c r="G48" s="5" t="n"/>
      <c r="H48" s="5" t="n"/>
      <c r="I48" s="5" t="n"/>
    </row>
    <row r="49">
      <c r="A49" s="6" t="inlineStr">
        <is>
          <t>FY2027E EPS — consensus (US$)</t>
        </is>
      </c>
      <c r="B49" s="21">
        <f>B14</f>
        <v/>
      </c>
    </row>
    <row r="50">
      <c r="A50" s="6" t="inlineStr">
        <is>
          <t>Target forward P/E (x)</t>
        </is>
      </c>
      <c r="B50" s="11" t="n">
        <v>13.5</v>
      </c>
    </row>
    <row r="51">
      <c r="A51" s="6" t="inlineStr">
        <is>
          <t>FORWARD P/E FAIR VALUE (US$)</t>
        </is>
      </c>
      <c r="B51" s="23">
        <f>B49*B50</f>
        <v/>
      </c>
    </row>
    <row r="52">
      <c r="A52" s="6" t="inlineStr">
        <is>
          <t>Memo: peer-set average trailing P/E (BAC, WFC, C, GS, MS)</t>
        </is>
      </c>
      <c r="B52" s="11" t="n">
        <v>14.34</v>
      </c>
    </row>
    <row r="53">
      <c r="A53" s="6" t="inlineStr">
        <is>
          <t>Memo: forward P/E the market is paying on FY2027E (x)</t>
        </is>
      </c>
      <c r="B53" s="12">
        <f>B5/B49</f>
        <v/>
      </c>
    </row>
    <row r="56">
      <c r="A56" s="4" t="inlineStr">
        <is>
          <t>BLENDED FAIR VALUE AND RATING</t>
        </is>
      </c>
      <c r="B56" s="5" t="n"/>
      <c r="C56" s="5" t="n"/>
      <c r="D56" s="5" t="n"/>
      <c r="E56" s="5" t="n"/>
      <c r="F56" s="5" t="n"/>
      <c r="G56" s="5" t="n"/>
      <c r="H56" s="5" t="n"/>
      <c r="I56" s="5" t="n"/>
    </row>
    <row r="57">
      <c r="A57" s="20" t="inlineStr">
        <is>
          <t>Method</t>
        </is>
      </c>
      <c r="B57" s="20" t="inlineStr">
        <is>
          <t>Fair value (US$)</t>
        </is>
      </c>
      <c r="D57" s="20" t="inlineStr">
        <is>
          <t>Weight</t>
        </is>
      </c>
    </row>
    <row r="58">
      <c r="A58" s="6" t="inlineStr">
        <is>
          <t>Excess return on tangible book</t>
        </is>
      </c>
      <c r="B58" s="21">
        <f>B33</f>
        <v/>
      </c>
      <c r="D58" s="14" t="n">
        <v>0.5</v>
      </c>
    </row>
    <row r="59">
      <c r="A59" s="6" t="inlineStr">
        <is>
          <t>Justified price / tangible book</t>
        </is>
      </c>
      <c r="B59" s="21">
        <f>B43</f>
        <v/>
      </c>
      <c r="D59" s="14" t="n">
        <v>0.3</v>
      </c>
    </row>
    <row r="60">
      <c r="A60" s="6" t="inlineStr">
        <is>
          <t>Forward price / earnings</t>
        </is>
      </c>
      <c r="B60" s="21">
        <f>B51</f>
        <v/>
      </c>
      <c r="D60" s="14" t="n">
        <v>0.2</v>
      </c>
    </row>
    <row r="61">
      <c r="A61" s="6" t="inlineStr">
        <is>
          <t>Weights sum</t>
        </is>
      </c>
      <c r="D61" s="25">
        <f>SUM(D58:D60)</f>
        <v/>
      </c>
    </row>
    <row r="63">
      <c r="A63" s="26" t="inlineStr">
        <is>
          <t>BLENDED FAIR VALUE (US$)</t>
        </is>
      </c>
      <c r="B63" s="27">
        <f>SUMPRODUCT(B58:B60,D58:D60)</f>
        <v/>
      </c>
      <c r="C63" s="28" t="n"/>
      <c r="D63" s="28" t="n"/>
    </row>
    <row r="64">
      <c r="A64" s="6" t="inlineStr">
        <is>
          <t>Upside / (downside) to fair value</t>
        </is>
      </c>
      <c r="B64" s="24">
        <f>B63/B5-1</f>
        <v/>
      </c>
    </row>
    <row r="65">
      <c r="A65" s="6" t="inlineStr">
        <is>
          <t>Add: dividend yield</t>
        </is>
      </c>
      <c r="B65" s="13">
        <f>B16</f>
        <v/>
      </c>
    </row>
    <row r="66">
      <c r="A66" s="20" t="inlineStr">
        <is>
          <t>TOTAL EXPECTED RETURN</t>
        </is>
      </c>
      <c r="B66" s="24">
        <f>B64+B65</f>
        <v/>
      </c>
    </row>
    <row r="67">
      <c r="A67" s="6" t="inlineStr">
        <is>
          <t>Cost of equity (BUY hurdle)</t>
        </is>
      </c>
      <c r="B67" s="13">
        <f>B10</f>
        <v/>
      </c>
    </row>
    <row r="68">
      <c r="A68" s="6" t="inlineStr">
        <is>
          <t>Risk-free + 2pp (ACCUMULATE hurdle)</t>
        </is>
      </c>
      <c r="B68" s="13">
        <f>B7+0.02</f>
        <v/>
      </c>
    </row>
    <row r="69">
      <c r="A69" s="26" t="inlineStr">
        <is>
          <t>RATING</t>
        </is>
      </c>
      <c r="B69" s="29">
        <f>IF(B66&gt;B10,"BUY",IF(B66&gt;B7+0.02,"ACCUMULATE",IF(B66&gt;0,"HOLD","REDUCE")))</f>
        <v/>
      </c>
      <c r="C69" s="28" t="n"/>
      <c r="D69" s="28" t="n"/>
    </row>
    <row r="71">
      <c r="A71" s="19" t="inlineStr">
        <is>
          <t>Rating bands are anchored to the US 10-year Treasury at 4.70%, not to a fixed percentage band. BUY above the</t>
        </is>
      </c>
    </row>
    <row r="72">
      <c r="A72" s="19" t="inlineStr">
        <is>
          <t>10.09% cost of equity; ACCUMULATE above risk-free plus two points (6.70%); HOLD between zero and that hurdle;</t>
        </is>
      </c>
    </row>
    <row r="73">
      <c r="A73" s="19" t="inlineStr">
        <is>
          <t>REDUCE below zero. The same test applied to an Indian name would use the 7.1% G-sec and a 12.5% cost of equity.</t>
        </is>
      </c>
    </row>
    <row r="76">
      <c r="A76" s="4" t="inlineStr">
        <is>
          <t>SENSITIVITY — JUSTIFIED P/TBV FAIR VALUE (US$) vs NORMALISED ROTCE AND COST OF EQUITY</t>
        </is>
      </c>
      <c r="B76" s="5" t="n"/>
      <c r="C76" s="5" t="n"/>
      <c r="D76" s="5" t="n"/>
      <c r="E76" s="5" t="n"/>
      <c r="F76" s="5" t="n"/>
      <c r="G76" s="5" t="n"/>
      <c r="H76" s="5" t="n"/>
      <c r="I76" s="5" t="n"/>
    </row>
    <row r="77">
      <c r="A77" s="20" t="inlineStr">
        <is>
          <t>Normalised ROTCE \ Cost of equity</t>
        </is>
      </c>
      <c r="B77" s="30" t="n">
        <v>0.09</v>
      </c>
      <c r="C77" s="30" t="n">
        <v>0.095</v>
      </c>
      <c r="D77" s="30" t="n">
        <v>0.1009</v>
      </c>
      <c r="E77" s="30" t="n">
        <v>0.105</v>
      </c>
      <c r="F77" s="30" t="n">
        <v>0.11</v>
      </c>
    </row>
    <row r="78">
      <c r="A78" s="31" t="n">
        <v>0.16</v>
      </c>
      <c r="B78" s="8" t="n">
        <v>304.1111111111111</v>
      </c>
      <c r="C78" s="8" t="n">
        <v>273.7</v>
      </c>
      <c r="D78" s="8" t="n">
        <v>244.8121645796064</v>
      </c>
      <c r="E78" s="8" t="n">
        <v>228.0833333333333</v>
      </c>
      <c r="F78" s="8" t="n">
        <v>210.5384615384615</v>
      </c>
    </row>
    <row r="79">
      <c r="A79" s="31" t="n">
        <v>0.175</v>
      </c>
      <c r="B79" s="8" t="n">
        <v>343.7777777777778</v>
      </c>
      <c r="C79" s="8" t="n">
        <v>309.4</v>
      </c>
      <c r="D79" s="8" t="n">
        <v>276.7441860465116</v>
      </c>
      <c r="E79" s="8" t="n">
        <v>257.8333333333334</v>
      </c>
      <c r="F79" s="8" t="n">
        <v>238</v>
      </c>
    </row>
    <row r="80">
      <c r="A80" s="31" t="n">
        <v>0.19</v>
      </c>
      <c r="B80" s="8" t="n">
        <v>383.4444444444445</v>
      </c>
      <c r="C80" s="8" t="n">
        <v>345.1</v>
      </c>
      <c r="D80" s="32" t="n">
        <v>308.6762075134168</v>
      </c>
      <c r="E80" s="8" t="n">
        <v>287.5833333333334</v>
      </c>
      <c r="F80" s="8" t="n">
        <v>265.4615384615385</v>
      </c>
    </row>
    <row r="81">
      <c r="A81" s="31" t="n">
        <v>0.205</v>
      </c>
      <c r="B81" s="8" t="n">
        <v>423.1111111111111</v>
      </c>
      <c r="C81" s="8" t="n">
        <v>380.7999999999999</v>
      </c>
      <c r="D81" s="8" t="n">
        <v>340.6082289803219</v>
      </c>
      <c r="E81" s="8" t="n">
        <v>317.3333333333333</v>
      </c>
      <c r="F81" s="8" t="n">
        <v>292.9230769230769</v>
      </c>
    </row>
    <row r="82">
      <c r="A82" s="31" t="n">
        <v>0.22</v>
      </c>
      <c r="B82" s="8" t="n">
        <v>462.7777777777778</v>
      </c>
      <c r="C82" s="8" t="n">
        <v>416.4999999999999</v>
      </c>
      <c r="D82" s="8" t="n">
        <v>372.5402504472271</v>
      </c>
      <c r="E82" s="8" t="n">
        <v>347.0833333333333</v>
      </c>
      <c r="F82" s="8" t="n">
        <v>320.3846153846154</v>
      </c>
    </row>
    <row r="84">
      <c r="A84" s="19" t="inlineStr">
        <is>
          <t>Shaded cell is the base case. The current price of $362.84 requires the top-right of this grid.</t>
        </is>
      </c>
    </row>
    <row r="87">
      <c r="A87" s="4" t="inlineStr">
        <is>
          <t>SCENARIOS — BEAR / BASE / BULL</t>
        </is>
      </c>
      <c r="B87" s="5" t="n"/>
      <c r="C87" s="5" t="n"/>
      <c r="D87" s="5" t="n"/>
      <c r="E87" s="5" t="n"/>
      <c r="F87" s="5" t="n"/>
      <c r="G87" s="5" t="n"/>
      <c r="H87" s="5" t="n"/>
      <c r="I87" s="5" t="n"/>
    </row>
    <row r="88">
      <c r="A88" s="20" t="inlineStr"/>
      <c r="B88" s="20" t="inlineStr">
        <is>
          <t>Bear</t>
        </is>
      </c>
      <c r="C88" s="20" t="inlineStr">
        <is>
          <t>Base</t>
        </is>
      </c>
      <c r="D88" s="20" t="inlineStr">
        <is>
          <t>Bull</t>
        </is>
      </c>
    </row>
    <row r="89">
      <c r="A89" s="6" t="inlineStr">
        <is>
          <t>Terminal ROTCE</t>
        </is>
      </c>
      <c r="B89" s="10" t="n">
        <v>0.155</v>
      </c>
      <c r="C89" s="10" t="n">
        <v>0.185</v>
      </c>
      <c r="D89" s="10" t="n">
        <v>0.205</v>
      </c>
    </row>
    <row r="90">
      <c r="A90" s="6" t="inlineStr">
        <is>
          <t>Normalised ROTCE (justified P/TBV)</t>
        </is>
      </c>
      <c r="B90" s="10" t="n">
        <v>0.16</v>
      </c>
      <c r="C90" s="10" t="n">
        <v>0.19</v>
      </c>
      <c r="D90" s="10" t="n">
        <v>0.21</v>
      </c>
    </row>
    <row r="91">
      <c r="A91" s="6" t="inlineStr">
        <is>
          <t>Cost of equity</t>
        </is>
      </c>
      <c r="B91" s="15" t="n">
        <v>0.1059</v>
      </c>
      <c r="C91" s="15" t="n">
        <v>0.1009</v>
      </c>
      <c r="D91" s="15" t="n">
        <v>0.0959</v>
      </c>
    </row>
    <row r="92">
      <c r="A92" s="6" t="inlineStr">
        <is>
          <t>Terminal growth</t>
        </is>
      </c>
      <c r="B92" s="10" t="n">
        <v>0.04</v>
      </c>
      <c r="C92" s="10" t="n">
        <v>0.045</v>
      </c>
      <c r="D92" s="10" t="n">
        <v>0.05</v>
      </c>
    </row>
    <row r="93">
      <c r="A93" s="6" t="inlineStr">
        <is>
          <t>FY2027E EPS (US$)</t>
        </is>
      </c>
      <c r="B93" s="7" t="n">
        <v>23</v>
      </c>
      <c r="C93" s="7" t="n">
        <v>25.01</v>
      </c>
      <c r="D93" s="7" t="n">
        <v>27</v>
      </c>
    </row>
    <row r="94">
      <c r="A94" s="6" t="inlineStr">
        <is>
          <t>Target forward P/E (x)</t>
        </is>
      </c>
      <c r="B94" s="11" t="n">
        <v>11.5</v>
      </c>
      <c r="C94" s="11" t="n">
        <v>13.5</v>
      </c>
      <c r="D94" s="11" t="n">
        <v>15.5</v>
      </c>
    </row>
    <row r="95">
      <c r="A95" s="6" t="inlineStr">
        <is>
          <t>Excess-return value (US$)</t>
        </is>
      </c>
      <c r="B95" s="8" t="n">
        <v>228.4972580409401</v>
      </c>
      <c r="C95" s="8" t="n">
        <v>325.2842441593807</v>
      </c>
      <c r="D95" s="8" t="n">
        <v>448.0636916196972</v>
      </c>
    </row>
    <row r="96">
      <c r="A96" s="6" t="inlineStr">
        <is>
          <t>Justified P/TBV value (US$)</t>
        </is>
      </c>
      <c r="B96" s="8" t="n">
        <v>216.6919575113809</v>
      </c>
      <c r="C96" s="8" t="n">
        <v>308.6762075134168</v>
      </c>
      <c r="D96" s="8" t="n">
        <v>414.8148148148148</v>
      </c>
    </row>
    <row r="97">
      <c r="A97" s="6" t="inlineStr">
        <is>
          <t>Forward P/E value (US$)</t>
        </is>
      </c>
      <c r="B97" s="8" t="n">
        <v>264.5</v>
      </c>
      <c r="C97" s="8" t="n">
        <v>337.635</v>
      </c>
      <c r="D97" s="8" t="n">
        <v>418.5</v>
      </c>
    </row>
    <row r="98">
      <c r="A98" s="20" t="inlineStr">
        <is>
          <t>BLENDED FAIR VALUE (US$)</t>
        </is>
      </c>
      <c r="B98" s="33" t="n">
        <v>232.1562162738843</v>
      </c>
      <c r="C98" s="33" t="n">
        <v>322.7719843337154</v>
      </c>
      <c r="D98" s="33" t="n">
        <v>432.176290254293</v>
      </c>
    </row>
    <row r="99">
      <c r="A99" s="6" t="inlineStr">
        <is>
          <t>Upside / (downside)</t>
        </is>
      </c>
      <c r="B99" s="10" t="n">
        <v>-0.3601691757416924</v>
      </c>
      <c r="C99" s="10" t="n">
        <v>-0.1104288823345954</v>
      </c>
      <c r="D99" s="10" t="n">
        <v>0.1910932925099025</v>
      </c>
    </row>
    <row r="100">
      <c r="A100" s="20" t="inlineStr">
        <is>
          <t>Total expected return</t>
        </is>
      </c>
      <c r="B100" s="75" t="n">
        <v>-0.3419793400014212</v>
      </c>
      <c r="C100" s="75" t="n">
        <v>-0.09223904659432421</v>
      </c>
      <c r="D100" s="75" t="n">
        <v>0.2092831282501737</v>
      </c>
    </row>
    <row r="101">
      <c r="A101" s="20" t="inlineStr">
        <is>
          <t>RATING</t>
        </is>
      </c>
      <c r="B101" s="34" t="inlineStr">
        <is>
          <t>REDUCE</t>
        </is>
      </c>
      <c r="C101" s="34" t="inlineStr">
        <is>
          <t>REDUCE</t>
        </is>
      </c>
      <c r="D101" s="34" t="inlineStr">
        <is>
          <t>BUY</t>
        </is>
      </c>
    </row>
    <row r="104">
      <c r="A104" s="4" t="inlineStr">
        <is>
          <t>WHAT THE MARKET IS PRICING AT $362.84</t>
        </is>
      </c>
      <c r="B104" s="5" t="n"/>
      <c r="C104" s="5" t="n"/>
      <c r="D104" s="5" t="n"/>
      <c r="E104" s="5" t="n"/>
      <c r="F104" s="5" t="n"/>
      <c r="G104" s="5" t="n"/>
      <c r="H104" s="5" t="n"/>
      <c r="I104" s="5" t="n"/>
    </row>
    <row r="105">
      <c r="A105" s="6" t="inlineStr">
        <is>
          <t>Price / tangible book paid today (x)</t>
        </is>
      </c>
      <c r="B105" s="11" t="n">
        <v>3.201058667842964</v>
      </c>
    </row>
    <row r="106">
      <c r="A106" s="6" t="inlineStr">
        <is>
          <t>ROTCE that multiple implies, at COE 10.09% and g 4.5%</t>
        </is>
      </c>
      <c r="B106" s="10" t="n">
        <v>0.2239391795324217</v>
      </c>
    </row>
    <row r="107">
      <c r="A107" s="6" t="inlineStr">
        <is>
          <t>JPMorgan's stated through-cycle ROTCE target</t>
        </is>
      </c>
      <c r="B107" s="14" t="n">
        <v>0.17</v>
      </c>
    </row>
    <row r="108">
      <c r="A108" s="6" t="inlineStr">
        <is>
          <t>Actual ROTCE, FY2021-FY2025 average</t>
        </is>
      </c>
      <c r="B108" s="10" t="n">
        <v>0.204</v>
      </c>
    </row>
    <row r="109">
      <c r="A109" s="6" t="inlineStr">
        <is>
          <t>Q2 FY2026 ROTCE excluding significant items</t>
        </is>
      </c>
      <c r="B109" s="14" t="n">
        <v>0.23</v>
      </c>
    </row>
    <row r="110">
      <c r="A110" s="6" t="inlineStr">
        <is>
          <t>Forward P/E on FY2027E consensus EPS (x)</t>
        </is>
      </c>
      <c r="B110" s="11" t="n">
        <v>14.5077968812475</v>
      </c>
    </row>
    <row r="111">
      <c r="A111" s="6" t="inlineStr">
        <is>
          <t>Consensus FY2027E EPS growth</t>
        </is>
      </c>
      <c r="B111" s="10" t="n">
        <v>0.0328</v>
      </c>
    </row>
    <row r="113">
      <c r="A113" s="19" t="inlineStr">
        <is>
          <t>The market is capitalising a return the company itself does not forecast, on earnings the Street expects to grow 3%.</t>
        </is>
      </c>
    </row>
    <row r="115" ht="30" customHeight="1">
      <c r="A115" s="47" t="inlineStr">
        <is>
          <t>DIVIDEND BASIS. Quarterly dividend raised to $1.65 from $1.50 effective Q3 2026 (announced 24 June 2026 with CCAR results and a $50bn repurchase authorisation from 1 July). Forward run-rate $6.60, yield 1.82%, so the total expected return is -9.2% rather than -9.4% on the trailing $6.00. Rating unchanged.</t>
        </is>
      </c>
    </row>
    <row r="117">
      <c r="A117" s="48" t="inlineStr">
        <is>
          <t>SENSITIVITY — THE COST OF EQUITY IS THE RATING</t>
        </is>
      </c>
    </row>
    <row r="118">
      <c r="A118" s="49" t="inlineStr">
        <is>
          <t>Equity risk premium</t>
        </is>
      </c>
      <c r="B118" s="49" t="inlineStr">
        <is>
          <t>Cost of equity</t>
        </is>
      </c>
      <c r="C118" s="49" t="inlineStr">
        <is>
          <t>Blended fair value</t>
        </is>
      </c>
      <c r="D118" s="49" t="inlineStr">
        <is>
          <t>Price return</t>
        </is>
      </c>
      <c r="E118" s="49" t="inlineStr">
        <is>
          <t>Total return</t>
        </is>
      </c>
      <c r="F118" s="49" t="inlineStr">
        <is>
          <t>Rating</t>
        </is>
      </c>
      <c r="G118" s="49" t="inlineStr">
        <is>
          <t>Source</t>
        </is>
      </c>
    </row>
    <row r="119">
      <c r="A119" s="50" t="n">
        <v>0.055</v>
      </c>
      <c r="B119" s="50" t="n">
        <v>0.1009</v>
      </c>
      <c r="C119" s="70" t="n">
        <v>322.77</v>
      </c>
      <c r="D119" s="52" t="n">
        <v>-0.11</v>
      </c>
      <c r="E119" s="52" t="n">
        <v>-0.092</v>
      </c>
      <c r="F119" s="53" t="inlineStr">
        <is>
          <t>REDUCE</t>
        </is>
      </c>
      <c r="G119" s="54" t="inlineStr">
        <is>
          <t>This model</t>
        </is>
      </c>
    </row>
    <row r="120">
      <c r="A120" s="50" t="n">
        <v>0.05</v>
      </c>
      <c r="B120" s="50" t="n">
        <v>0.096</v>
      </c>
      <c r="C120" s="70" t="n">
        <v>348.31</v>
      </c>
      <c r="D120" s="52" t="n">
        <v>-0.04</v>
      </c>
      <c r="E120" s="52" t="n">
        <v>-0.022</v>
      </c>
      <c r="F120" s="53" t="inlineStr">
        <is>
          <t>REDUCE</t>
        </is>
      </c>
      <c r="G120" s="54" t="inlineStr">
        <is>
          <t>Kroll recommended US ERP</t>
        </is>
      </c>
    </row>
    <row r="121">
      <c r="A121" s="50" t="n">
        <v>0.0423</v>
      </c>
      <c r="B121" s="50" t="n">
        <v>0.0885</v>
      </c>
      <c r="C121" s="70" t="n">
        <v>398.96</v>
      </c>
      <c r="D121" s="52" t="n">
        <v>0.1</v>
      </c>
      <c r="E121" s="52" t="n">
        <v>0.118</v>
      </c>
      <c r="F121" s="55" t="inlineStr">
        <is>
          <t>BUY</t>
        </is>
      </c>
      <c r="G121" s="54" t="inlineStr">
        <is>
          <t>Damodaran implied, 1 Aug 2026</t>
        </is>
      </c>
    </row>
    <row r="122" ht="32" customHeight="1">
      <c r="A122" s="47" t="inlineStr">
        <is>
          <t>The rating is one assumption. We use a 5.5% equity risk premium, above both published benchmarks, because a market paying up for quality at a cyclical peak will also price risk cheaply — adopting its own risk pricing to value it is close to circular. But a reader who takes the market-implied premium reaches the opposite conclusion on the same model, and should be able to see that here.</t>
        </is>
      </c>
    </row>
  </sheetData>
  <mergeCells count="2">
    <mergeCell ref="A122:G122"/>
    <mergeCell ref="A115:G115"/>
  </mergeCells>
  <pageMargins left="0.3" right="0.3" top="0.4" bottom="0.4" header="0.5" footer="0.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I2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24" customHeight="1">
      <c r="A1" s="17" t="inlineStr">
        <is>
          <t>Income Statement — JPMorgan Chase &amp; Co.</t>
        </is>
      </c>
      <c r="B1" s="2" t="n"/>
      <c r="C1" s="2" t="n"/>
      <c r="D1" s="2" t="n"/>
      <c r="E1" s="2" t="n"/>
      <c r="F1" s="2" t="n"/>
      <c r="G1" s="2" t="n"/>
      <c r="H1" s="2" t="n"/>
      <c r="I1" s="2" t="n"/>
    </row>
    <row r="2">
      <c r="A2" s="18" t="inlineStr">
        <is>
          <t>US$ millions except per-share data. Fiscal year = calendar year. Source: company filings, S&amp;P Global Market Intelligence.</t>
        </is>
      </c>
      <c r="B2" s="2" t="n"/>
      <c r="C2" s="2" t="n"/>
      <c r="D2" s="2" t="n"/>
      <c r="E2" s="2" t="n"/>
      <c r="F2" s="2" t="n"/>
      <c r="G2" s="2" t="n"/>
      <c r="H2" s="2" t="n"/>
      <c r="I2" s="2" t="n"/>
    </row>
    <row r="4">
      <c r="A4" s="26" t="inlineStr"/>
      <c r="B4" s="26" t="inlineStr">
        <is>
          <t>FY2021</t>
        </is>
      </c>
      <c r="C4" s="26" t="inlineStr">
        <is>
          <t>FY2022</t>
        </is>
      </c>
      <c r="D4" s="26" t="inlineStr">
        <is>
          <t>FY2023</t>
        </is>
      </c>
      <c r="E4" s="26" t="inlineStr">
        <is>
          <t>FY2024</t>
        </is>
      </c>
      <c r="F4" s="26" t="inlineStr">
        <is>
          <t>FY2025</t>
        </is>
      </c>
      <c r="G4" s="26" t="inlineStr">
        <is>
          <t>TTM Jun-26</t>
        </is>
      </c>
      <c r="H4" s="26" t="inlineStr">
        <is>
          <t>FY2026E</t>
        </is>
      </c>
      <c r="I4" s="26" t="inlineStr">
        <is>
          <t>FY2027E</t>
        </is>
      </c>
    </row>
    <row r="5">
      <c r="A5" s="6" t="inlineStr">
        <is>
          <t>Total net revenue</t>
        </is>
      </c>
      <c r="B5" s="8" t="n">
        <v>130898</v>
      </c>
      <c r="C5" s="8" t="n">
        <v>122306</v>
      </c>
      <c r="D5" s="8" t="n">
        <v>145670</v>
      </c>
      <c r="E5" s="8" t="n">
        <v>166775</v>
      </c>
      <c r="F5" s="8" t="n">
        <v>168235</v>
      </c>
      <c r="G5" s="8" t="n">
        <v>186328</v>
      </c>
      <c r="H5" s="8" t="n">
        <v>207980</v>
      </c>
    </row>
    <row r="6">
      <c r="A6" s="6" t="inlineStr">
        <is>
          <t>Revenue growth</t>
        </is>
      </c>
      <c r="C6" s="24">
        <f>IFERROR(C5/B5-1,"")</f>
        <v/>
      </c>
      <c r="D6" s="24">
        <f>IFERROR(D5/C5-1,"")</f>
        <v/>
      </c>
      <c r="E6" s="24">
        <f>IFERROR(E5/D5-1,"")</f>
        <v/>
      </c>
      <c r="F6" s="24">
        <f>IFERROR(F5/E5-1,"")</f>
        <v/>
      </c>
      <c r="G6" s="24">
        <f>IFERROR(G5/F5-1,"")</f>
        <v/>
      </c>
      <c r="H6" s="24">
        <f>IFERROR(H5/G5-1,"")</f>
        <v/>
      </c>
    </row>
    <row r="7">
      <c r="A7" s="6" t="inlineStr">
        <is>
          <t>Net income (to common)</t>
        </is>
      </c>
      <c r="B7" s="8" t="n">
        <v>46503</v>
      </c>
      <c r="C7" s="8" t="n">
        <v>35892</v>
      </c>
      <c r="D7" s="8" t="n">
        <v>47760</v>
      </c>
      <c r="E7" s="8" t="n">
        <v>56868</v>
      </c>
      <c r="F7" s="8" t="n">
        <v>55681</v>
      </c>
      <c r="G7" s="8" t="n">
        <v>63634</v>
      </c>
      <c r="H7" s="8" t="n">
        <v>67530</v>
      </c>
    </row>
    <row r="8">
      <c r="A8" s="6" t="inlineStr">
        <is>
          <t>Net income growth</t>
        </is>
      </c>
      <c r="C8" s="24">
        <f>IFERROR(C7/B7-1,"")</f>
        <v/>
      </c>
      <c r="D8" s="24">
        <f>IFERROR(D7/C7-1,"")</f>
        <v/>
      </c>
      <c r="E8" s="24">
        <f>IFERROR(E7/D7-1,"")</f>
        <v/>
      </c>
      <c r="F8" s="24">
        <f>IFERROR(F7/E7-1,"")</f>
        <v/>
      </c>
      <c r="G8" s="24">
        <f>IFERROR(G7/F7-1,"")</f>
        <v/>
      </c>
      <c r="H8" s="24">
        <f>IFERROR(H7/G7-1,"")</f>
        <v/>
      </c>
    </row>
    <row r="9">
      <c r="A9" s="20" t="inlineStr">
        <is>
          <t>Diluted EPS (US$)</t>
        </is>
      </c>
      <c r="B9" s="7" t="n">
        <v>15.36</v>
      </c>
      <c r="C9" s="7" t="n">
        <v>12.09</v>
      </c>
      <c r="D9" s="7" t="n">
        <v>16.23</v>
      </c>
      <c r="E9" s="7" t="n">
        <v>19.75</v>
      </c>
      <c r="F9" s="7" t="n">
        <v>20.02</v>
      </c>
      <c r="G9" s="7" t="n">
        <v>23.3</v>
      </c>
      <c r="H9" s="7" t="n">
        <v>24.21</v>
      </c>
      <c r="I9" s="7" t="n">
        <v>25.01</v>
      </c>
    </row>
    <row r="10">
      <c r="A10" s="6" t="inlineStr">
        <is>
          <t>EPS growth</t>
        </is>
      </c>
      <c r="C10" s="24">
        <f>IFERROR(C9/B9-1,"")</f>
        <v/>
      </c>
      <c r="D10" s="24">
        <f>IFERROR(D9/C9-1,"")</f>
        <v/>
      </c>
      <c r="E10" s="24">
        <f>IFERROR(E9/D9-1,"")</f>
        <v/>
      </c>
      <c r="F10" s="24">
        <f>IFERROR(F9/E9-1,"")</f>
        <v/>
      </c>
      <c r="G10" s="24">
        <f>IFERROR(G9/F9-1,"")</f>
        <v/>
      </c>
      <c r="H10" s="24">
        <f>IFERROR(H9/G9-1,"")</f>
        <v/>
      </c>
    </row>
    <row r="11">
      <c r="A11" s="6" t="inlineStr">
        <is>
          <t>Profit margin</t>
        </is>
      </c>
      <c r="B11" s="24">
        <f>IFERROR(B7/B5,"")</f>
        <v/>
      </c>
      <c r="C11" s="24">
        <f>IFERROR(C7/C5,"")</f>
        <v/>
      </c>
      <c r="D11" s="24">
        <f>IFERROR(D7/D5,"")</f>
        <v/>
      </c>
      <c r="E11" s="24">
        <f>IFERROR(E7/E5,"")</f>
        <v/>
      </c>
      <c r="F11" s="24">
        <f>IFERROR(F7/F5,"")</f>
        <v/>
      </c>
      <c r="G11" s="24">
        <f>IFERROR(G7/G5,"")</f>
        <v/>
      </c>
      <c r="H11" s="24">
        <f>IFERROR(H7/H5,"")</f>
        <v/>
      </c>
    </row>
    <row r="12">
      <c r="A12" s="6" t="inlineStr">
        <is>
          <t>Dividend per share (US$)</t>
        </is>
      </c>
      <c r="B12" s="7" t="n">
        <v>3.8</v>
      </c>
      <c r="C12" s="7" t="n">
        <v>4</v>
      </c>
      <c r="D12" s="7" t="n">
        <v>4.1</v>
      </c>
      <c r="E12" s="7" t="n">
        <v>4.8</v>
      </c>
      <c r="F12" s="7" t="n">
        <v>5.8</v>
      </c>
      <c r="G12" s="7" t="n">
        <v>6</v>
      </c>
      <c r="H12" s="7" t="n">
        <v>6.37</v>
      </c>
    </row>
    <row r="13">
      <c r="A13" s="6" t="inlineStr">
        <is>
          <t>Payout ratio</t>
        </is>
      </c>
      <c r="B13" s="24">
        <f>IFERROR(B12/B9,"")</f>
        <v/>
      </c>
      <c r="C13" s="24">
        <f>IFERROR(C12/C9,"")</f>
        <v/>
      </c>
      <c r="D13" s="24">
        <f>IFERROR(D12/D9,"")</f>
        <v/>
      </c>
      <c r="E13" s="24">
        <f>IFERROR(E12/E9,"")</f>
        <v/>
      </c>
      <c r="F13" s="24">
        <f>IFERROR(F12/F9,"")</f>
        <v/>
      </c>
      <c r="G13" s="24">
        <f>IFERROR(G12/G9,"")</f>
        <v/>
      </c>
      <c r="H13" s="24">
        <f>IFERROR(H12/H9,"")</f>
        <v/>
      </c>
    </row>
    <row r="14">
      <c r="A14" s="6" t="inlineStr">
        <is>
          <t>Return on equity</t>
        </is>
      </c>
      <c r="F14" s="10" t="n">
        <v>0.17</v>
      </c>
      <c r="G14" s="10" t="n">
        <v>0.1779</v>
      </c>
    </row>
    <row r="15">
      <c r="A15" s="6" t="inlineStr">
        <is>
          <t>Return on tangible common equity</t>
        </is>
      </c>
      <c r="B15" s="14" t="n">
        <v>0.23</v>
      </c>
      <c r="C15" s="14" t="n">
        <v>0.18</v>
      </c>
      <c r="D15" s="14" t="n">
        <v>0.21</v>
      </c>
      <c r="E15" s="14" t="n">
        <v>0.2</v>
      </c>
      <c r="F15" s="14" t="n">
        <v>0.2</v>
      </c>
    </row>
    <row r="18">
      <c r="A18" s="4" t="inlineStr">
        <is>
          <t>QUARTERLY BRIDGE — WHY FY2026 LOOKS LIKE A STEP CHANGE</t>
        </is>
      </c>
      <c r="B18" s="5" t="n"/>
      <c r="C18" s="5" t="n"/>
      <c r="D18" s="5" t="n"/>
      <c r="E18" s="5" t="n"/>
      <c r="F18" s="5" t="n"/>
      <c r="G18" s="5" t="n"/>
      <c r="H18" s="5" t="n"/>
      <c r="I18" s="5" t="n"/>
    </row>
    <row r="19">
      <c r="A19" s="20" t="inlineStr"/>
      <c r="B19" s="20" t="inlineStr">
        <is>
          <t>Q2 FY2025</t>
        </is>
      </c>
      <c r="C19" s="20" t="inlineStr">
        <is>
          <t>Q1 FY2026</t>
        </is>
      </c>
      <c r="D19" s="20" t="inlineStr">
        <is>
          <t>Q2 FY2026</t>
        </is>
      </c>
      <c r="E19" s="20" t="inlineStr">
        <is>
          <t>Q2 FY2026 ex-items</t>
        </is>
      </c>
    </row>
    <row r="20">
      <c r="A20" s="6" t="inlineStr">
        <is>
          <t>Net revenue (reported)</t>
        </is>
      </c>
      <c r="B20" s="8" t="n">
        <v>44912</v>
      </c>
      <c r="C20" s="8" t="n">
        <v>49836</v>
      </c>
      <c r="D20" s="8" t="n">
        <v>57347</v>
      </c>
      <c r="E20" s="8" t="n">
        <v>52747</v>
      </c>
    </row>
    <row r="21">
      <c r="A21" s="6" t="inlineStr">
        <is>
          <t>Noninterest expense</t>
        </is>
      </c>
      <c r="B21" s="8" t="n">
        <v>23779</v>
      </c>
      <c r="C21" s="8" t="n">
        <v>26850</v>
      </c>
      <c r="D21" s="8" t="n">
        <v>27316</v>
      </c>
      <c r="E21" s="8" t="n">
        <v>27316</v>
      </c>
    </row>
    <row r="22">
      <c r="A22" s="6" t="inlineStr">
        <is>
          <t>Provision for credit losses</t>
        </is>
      </c>
      <c r="B22" s="8" t="n">
        <v>2849</v>
      </c>
      <c r="C22" s="8" t="n">
        <v>2507</v>
      </c>
      <c r="D22" s="8" t="n">
        <v>2515</v>
      </c>
      <c r="E22" s="8" t="n">
        <v>2515</v>
      </c>
    </row>
    <row r="23">
      <c r="A23" s="6" t="inlineStr">
        <is>
          <t>Net income</t>
        </is>
      </c>
      <c r="B23" s="8" t="n">
        <v>14987</v>
      </c>
      <c r="C23" s="8" t="n">
        <v>16494</v>
      </c>
      <c r="D23" s="8" t="n">
        <v>21155</v>
      </c>
      <c r="E23" s="8" t="n">
        <v>16900</v>
      </c>
    </row>
    <row r="24">
      <c r="A24" s="6" t="inlineStr">
        <is>
          <t>Diluted EPS (US$)</t>
        </is>
      </c>
      <c r="B24" s="7" t="n">
        <v>5.24</v>
      </c>
      <c r="C24" s="7" t="n">
        <v>5.94</v>
      </c>
      <c r="D24" s="7" t="n">
        <v>7.7</v>
      </c>
      <c r="E24" s="7" t="n">
        <v>6.14</v>
      </c>
    </row>
    <row r="25">
      <c r="A25" s="6" t="inlineStr">
        <is>
          <t>Return on tangible common equity</t>
        </is>
      </c>
      <c r="B25" s="14" t="n">
        <v>0.21</v>
      </c>
      <c r="C25" s="14" t="n">
        <v>0.23</v>
      </c>
      <c r="D25" s="14" t="n">
        <v>0.29</v>
      </c>
      <c r="E25" s="14" t="n">
        <v>0.23</v>
      </c>
    </row>
    <row r="27">
      <c r="A27" s="19" t="inlineStr">
        <is>
          <t>The $4.6bn Visa Class B-2 exchange gain and $1.0bn of equity-investment gains added $1.56 to reported Q2 EPS.</t>
        </is>
      </c>
    </row>
    <row r="28">
      <c r="A28" s="19" t="inlineStr">
        <is>
          <t>Excluding them, EPS was $6.14 against $5.94 in Q1 — growth of 3% sequentially, not 30%.</t>
        </is>
      </c>
    </row>
  </sheetData>
  <pageMargins left="0.3" right="0.3" top="0.4" bottom="0.4" header="0.5" footer="0.5"/>
  <pageSetup orientation="landscape" fitToHeight="1" fitToWidth="1"/>
</worksheet>
</file>

<file path=xl/worksheets/sheet4.xml><?xml version="1.0" encoding="utf-8"?>
<worksheet xmlns="http://schemas.openxmlformats.org/spreadsheetml/2006/main">
  <sheetPr>
    <outlinePr summaryBelow="1" summaryRight="1"/>
    <pageSetUpPr fitToPage="1"/>
  </sheetPr>
  <dimension ref="A1:I44"/>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4" customHeight="1">
      <c r="A1" s="17" t="inlineStr">
        <is>
          <t>Balance Sheet and Capital — JPMorgan Chase &amp; Co.</t>
        </is>
      </c>
      <c r="B1" s="2" t="n"/>
      <c r="C1" s="2" t="n"/>
      <c r="D1" s="2" t="n"/>
      <c r="E1" s="2" t="n"/>
      <c r="F1" s="2" t="n"/>
      <c r="G1" s="2" t="n"/>
      <c r="H1" s="2" t="n"/>
      <c r="I1" s="2" t="n"/>
    </row>
    <row r="2">
      <c r="A2" s="18" t="inlineStr">
        <is>
          <t>US$ millions unless stated. Position as at 30 June 2026 unless noted.</t>
        </is>
      </c>
      <c r="B2" s="2" t="n"/>
      <c r="C2" s="2" t="n"/>
      <c r="D2" s="2" t="n"/>
      <c r="E2" s="2" t="n"/>
      <c r="F2" s="2" t="n"/>
      <c r="G2" s="2" t="n"/>
      <c r="H2" s="2" t="n"/>
      <c r="I2" s="2" t="n"/>
    </row>
    <row r="4">
      <c r="A4" s="4" t="inlineStr">
        <is>
          <t>BALANCE SHEET AND CAPITAL POSITION</t>
        </is>
      </c>
      <c r="B4" s="5" t="n"/>
      <c r="C4" s="5" t="n"/>
      <c r="D4" s="5" t="n"/>
      <c r="E4" s="5" t="n"/>
      <c r="F4" s="5" t="n"/>
      <c r="G4" s="5" t="n"/>
      <c r="H4" s="5" t="n"/>
      <c r="I4" s="5" t="n"/>
    </row>
    <row r="5">
      <c r="A5" s="6" t="inlineStr">
        <is>
          <t>Total assets (US$ bn)</t>
        </is>
      </c>
      <c r="B5" s="8" t="n">
        <v>5000</v>
      </c>
    </row>
    <row r="6">
      <c r="A6" s="6" t="inlineStr">
        <is>
          <t>Total stockholders' equity</t>
        </is>
      </c>
      <c r="B6" s="8" t="n">
        <v>374600</v>
      </c>
    </row>
    <row r="7">
      <c r="A7" s="6" t="inlineStr">
        <is>
          <t>Implied preferred stock</t>
        </is>
      </c>
      <c r="B7" s="8" t="n">
        <v>21100</v>
      </c>
    </row>
    <row r="8">
      <c r="A8" s="6" t="inlineStr">
        <is>
          <t>Common stockholders' equity</t>
        </is>
      </c>
      <c r="B8" s="8" t="n">
        <v>353500</v>
      </c>
    </row>
    <row r="9">
      <c r="A9" s="6" t="inlineStr">
        <is>
          <t>Goodwill and intangibles (implied)</t>
        </is>
      </c>
      <c r="B9" s="8" t="n">
        <v>52300</v>
      </c>
    </row>
    <row r="10">
      <c r="A10" s="6" t="inlineStr">
        <is>
          <t>Tangible common equity</t>
        </is>
      </c>
      <c r="B10" s="8" t="n">
        <v>301200</v>
      </c>
    </row>
    <row r="11">
      <c r="A11" s="6" t="inlineStr">
        <is>
          <t>Common shares outstanding (m)</t>
        </is>
      </c>
      <c r="B11" s="8" t="n">
        <v>2658</v>
      </c>
    </row>
    <row r="12">
      <c r="A12" s="6" t="inlineStr">
        <is>
          <t>Book value per share (US$)</t>
        </is>
      </c>
      <c r="B12" s="7" t="n">
        <v>133.01</v>
      </c>
    </row>
    <row r="13">
      <c r="A13" s="6" t="inlineStr">
        <is>
          <t>Tangible book value per share (US$)</t>
        </is>
      </c>
      <c r="B13" s="7" t="n">
        <v>113.35</v>
      </c>
    </row>
    <row r="14">
      <c r="A14" s="6" t="inlineStr">
        <is>
          <t>Basel III CET1 capital</t>
        </is>
      </c>
      <c r="B14" s="8" t="n">
        <v>303000</v>
      </c>
    </row>
    <row r="15">
      <c r="A15" s="6" t="inlineStr">
        <is>
          <t>Standardised risk-weighted assets (US$ bn)</t>
        </is>
      </c>
      <c r="B15" s="8" t="n">
        <v>2100</v>
      </c>
    </row>
    <row r="16">
      <c r="A16" s="6" t="inlineStr">
        <is>
          <t>CET1 ratio — Standardised</t>
        </is>
      </c>
      <c r="B16" s="10" t="n">
        <v>0.141</v>
      </c>
    </row>
    <row r="17">
      <c r="A17" s="6" t="inlineStr">
        <is>
          <t>CET1 ratio — Advanced</t>
        </is>
      </c>
      <c r="B17" s="10" t="n">
        <v>0.142</v>
      </c>
    </row>
    <row r="18">
      <c r="A18" s="6" t="inlineStr">
        <is>
          <t>Supplementary leverage ratio</t>
        </is>
      </c>
      <c r="B18" s="10" t="n">
        <v>0.055</v>
      </c>
    </row>
    <row r="19">
      <c r="A19" s="6" t="inlineStr">
        <is>
          <t>Total loss-absorbing capacity (US$ bn)</t>
        </is>
      </c>
      <c r="B19" s="8" t="n">
        <v>590</v>
      </c>
    </row>
    <row r="20">
      <c r="A20" s="6" t="inlineStr">
        <is>
          <t>Cash and marketable securities (US$ bn)</t>
        </is>
      </c>
      <c r="B20" s="8" t="n">
        <v>1500</v>
      </c>
    </row>
    <row r="21">
      <c r="A21" s="6" t="inlineStr">
        <is>
          <t>Average loans (US$ bn)</t>
        </is>
      </c>
      <c r="B21" s="8" t="n">
        <v>1500</v>
      </c>
    </row>
    <row r="24">
      <c r="A24" s="4" t="inlineStr">
        <is>
          <t>TANGIBLE BOOK VALUE PER SHARE — THE COMPOUNDING RECORD</t>
        </is>
      </c>
      <c r="B24" s="5" t="n"/>
      <c r="C24" s="5" t="n"/>
      <c r="D24" s="5" t="n"/>
      <c r="E24" s="5" t="n"/>
      <c r="F24" s="5" t="n"/>
      <c r="G24" s="5" t="n"/>
      <c r="H24" s="5" t="n"/>
      <c r="I24" s="5" t="n"/>
    </row>
    <row r="25">
      <c r="A25" s="20" t="inlineStr"/>
      <c r="B25" s="20" t="inlineStr">
        <is>
          <t>Jun-2025</t>
        </is>
      </c>
      <c r="C25" s="20" t="inlineStr">
        <is>
          <t>Mar-2026</t>
        </is>
      </c>
      <c r="D25" s="20" t="inlineStr">
        <is>
          <t>Jun-2026</t>
        </is>
      </c>
    </row>
    <row r="26">
      <c r="A26" s="6" t="inlineStr">
        <is>
          <t>Book value per share (US$)</t>
        </is>
      </c>
      <c r="B26" s="7" t="n">
        <v>122.51</v>
      </c>
      <c r="C26" s="7" t="n">
        <v>128.38</v>
      </c>
      <c r="D26" s="7" t="n">
        <v>133.01</v>
      </c>
    </row>
    <row r="27">
      <c r="A27" s="6" t="inlineStr">
        <is>
          <t>Tangible book value per share (US$)</t>
        </is>
      </c>
      <c r="B27" s="7" t="n">
        <v>103.4</v>
      </c>
      <c r="C27" s="7" t="n">
        <v>108.87</v>
      </c>
      <c r="D27" s="7" t="n">
        <v>113.35</v>
      </c>
    </row>
    <row r="28">
      <c r="A28" s="6" t="inlineStr">
        <is>
          <t>Year-on-year growth in TBVPS</t>
        </is>
      </c>
      <c r="D28" s="10" t="n">
        <v>0.096</v>
      </c>
    </row>
    <row r="31">
      <c r="A31" s="4" t="inlineStr">
        <is>
          <t>CAPITAL RETURN — AND THE PRICE IT IS BEING RETURNED AT</t>
        </is>
      </c>
      <c r="B31" s="5" t="n"/>
      <c r="C31" s="5" t="n"/>
      <c r="D31" s="5" t="n"/>
      <c r="E31" s="5" t="n"/>
      <c r="F31" s="5" t="n"/>
      <c r="G31" s="5" t="n"/>
      <c r="H31" s="5" t="n"/>
      <c r="I31" s="5" t="n"/>
    </row>
    <row r="32">
      <c r="A32" s="6" t="inlineStr">
        <is>
          <t>Quarterly common dividend per share (US$)</t>
        </is>
      </c>
      <c r="B32" s="7" t="n">
        <v>1.5</v>
      </c>
    </row>
    <row r="33">
      <c r="A33" s="6" t="inlineStr">
        <is>
          <t>Annualised dividend per share (US$)</t>
        </is>
      </c>
      <c r="B33" s="7" t="n">
        <v>6</v>
      </c>
    </row>
    <row r="34">
      <c r="A34" s="6" t="inlineStr">
        <is>
          <t>Q2 FY2026 net common stock repurchases (US$ m)</t>
        </is>
      </c>
      <c r="B34" s="8" t="n">
        <v>6200</v>
      </c>
    </row>
    <row r="35">
      <c r="A35" s="6" t="inlineStr">
        <is>
          <t>Net payout ratio, last twelve months</t>
        </is>
      </c>
      <c r="B35" s="14" t="n">
        <v>0.73</v>
      </c>
    </row>
    <row r="36">
      <c r="A36" s="6" t="inlineStr">
        <is>
          <t>Dividend payout ratio (on TTM EPS)</t>
        </is>
      </c>
      <c r="B36" s="10" t="n">
        <v>0.2575</v>
      </c>
    </row>
    <row r="37">
      <c r="A37" s="6" t="inlineStr">
        <is>
          <t>Buyback yield</t>
        </is>
      </c>
      <c r="B37" s="15" t="n">
        <v>0.0357</v>
      </c>
    </row>
    <row r="38">
      <c r="A38" s="6" t="inlineStr">
        <is>
          <t>Total shareholder yield</t>
        </is>
      </c>
      <c r="B38" s="15" t="n">
        <v>0.0522</v>
      </c>
    </row>
    <row r="39">
      <c r="A39" s="6" t="inlineStr">
        <is>
          <t>Share count change, year on year</t>
        </is>
      </c>
      <c r="B39" s="15" t="n">
        <v>-0.0357</v>
      </c>
    </row>
    <row r="40">
      <c r="A40" s="6" t="inlineStr">
        <is>
          <t>Price / tangible book at which stock is being repurchased (x)</t>
        </is>
      </c>
      <c r="B40" s="11" t="n">
        <v>3.2</v>
      </c>
    </row>
    <row r="42">
      <c r="A42" s="19" t="inlineStr">
        <is>
          <t>A dollar of buyback at 3.2x tangible book retires $1.00 of market value and $0.31 of tangible book. Repurchases</t>
        </is>
      </c>
    </row>
    <row r="43">
      <c r="A43" s="19" t="inlineStr">
        <is>
          <t>above roughly 2x tangible book dilute book value per share even as they flatter earnings per share. This is a real</t>
        </is>
      </c>
    </row>
    <row r="44">
      <c r="A44" s="19" t="inlineStr">
        <is>
          <t>cost of the current valuation, and it is borne by continuing shareholders rather than by the sellers.</t>
        </is>
      </c>
    </row>
  </sheetData>
  <pageMargins left="0.3" right="0.3" top="0.4" bottom="0.4" header="0.5" footer="0.5"/>
  <pageSetup orientation="landscape" fitToHeight="1" fitToWidth="1"/>
</worksheet>
</file>

<file path=xl/worksheets/sheet5.xml><?xml version="1.0" encoding="utf-8"?>
<worksheet xmlns="http://schemas.openxmlformats.org/spreadsheetml/2006/main">
  <sheetPr>
    <outlinePr summaryBelow="1" summaryRight="1"/>
    <pageSetUpPr fitToPage="1"/>
  </sheetPr>
  <dimension ref="A1:I3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24" customHeight="1">
      <c r="A1" s="17" t="inlineStr">
        <is>
          <t>Segments and Returns — JPMorgan Chase &amp; Co.</t>
        </is>
      </c>
      <c r="B1" s="2" t="n"/>
      <c r="C1" s="2" t="n"/>
      <c r="D1" s="2" t="n"/>
      <c r="E1" s="2" t="n"/>
      <c r="F1" s="2" t="n"/>
      <c r="G1" s="2" t="n"/>
      <c r="H1" s="2" t="n"/>
      <c r="I1" s="2" t="n"/>
    </row>
    <row r="2">
      <c r="A2" s="18" t="inlineStr">
        <is>
          <t>Net revenue by line of business, US$ millions. Managed basis.</t>
        </is>
      </c>
      <c r="B2" s="2" t="n"/>
      <c r="C2" s="2" t="n"/>
      <c r="D2" s="2" t="n"/>
      <c r="E2" s="2" t="n"/>
      <c r="F2" s="2" t="n"/>
      <c r="G2" s="2" t="n"/>
      <c r="H2" s="2" t="n"/>
      <c r="I2" s="2" t="n"/>
    </row>
    <row r="4">
      <c r="A4" s="26" t="inlineStr"/>
      <c r="B4" s="26" t="inlineStr">
        <is>
          <t>FY2021</t>
        </is>
      </c>
      <c r="C4" s="26" t="inlineStr">
        <is>
          <t>FY2022</t>
        </is>
      </c>
      <c r="D4" s="26" t="inlineStr">
        <is>
          <t>FY2023</t>
        </is>
      </c>
      <c r="E4" s="26" t="inlineStr">
        <is>
          <t>FY2024</t>
        </is>
      </c>
      <c r="F4" s="26" t="inlineStr">
        <is>
          <t>FY2025</t>
        </is>
      </c>
      <c r="G4" s="26" t="inlineStr">
        <is>
          <t>TTM Jun-26</t>
        </is>
      </c>
    </row>
    <row r="5">
      <c r="A5" s="6" t="inlineStr">
        <is>
          <t>Consumer &amp; Community Banking</t>
        </is>
      </c>
      <c r="B5" s="8" t="n">
        <v>49879</v>
      </c>
      <c r="C5" s="8" t="n">
        <v>54814</v>
      </c>
      <c r="D5" s="8" t="n">
        <v>70148</v>
      </c>
      <c r="E5" s="8" t="n">
        <v>71507</v>
      </c>
      <c r="F5" s="8" t="n">
        <v>76029</v>
      </c>
      <c r="G5" s="8" t="n">
        <v>78709</v>
      </c>
    </row>
    <row r="6">
      <c r="A6" s="6" t="inlineStr">
        <is>
          <t>Commercial &amp; Investment Bank</t>
        </is>
      </c>
      <c r="B6" s="8" t="n">
        <v>61951</v>
      </c>
      <c r="C6" s="8" t="n">
        <v>59635</v>
      </c>
      <c r="D6" s="8" t="n">
        <v>64353</v>
      </c>
      <c r="E6" s="8" t="n">
        <v>70114</v>
      </c>
      <c r="F6" s="8" t="n">
        <v>78454</v>
      </c>
      <c r="G6" s="8" t="n">
        <v>87485</v>
      </c>
    </row>
    <row r="7">
      <c r="A7" s="6" t="inlineStr">
        <is>
          <t>Asset &amp; Wealth Management</t>
        </is>
      </c>
      <c r="B7" s="8" t="n">
        <v>16957</v>
      </c>
      <c r="C7" s="8" t="n">
        <v>17748</v>
      </c>
      <c r="D7" s="8" t="n">
        <v>19827</v>
      </c>
      <c r="E7" s="8" t="n">
        <v>21578</v>
      </c>
      <c r="F7" s="8" t="n">
        <v>24073</v>
      </c>
      <c r="G7" s="8" t="n">
        <v>25807</v>
      </c>
    </row>
    <row r="8">
      <c r="A8" s="6" t="inlineStr">
        <is>
          <t>Corporate</t>
        </is>
      </c>
      <c r="B8" s="8" t="n">
        <v>-3483</v>
      </c>
      <c r="C8" s="8" t="n">
        <v>80</v>
      </c>
      <c r="D8" s="8" t="n">
        <v>8038</v>
      </c>
      <c r="E8" s="8" t="n">
        <v>17394</v>
      </c>
      <c r="F8" s="8" t="n">
        <v>7025</v>
      </c>
      <c r="G8" s="8" t="n">
        <v>10444</v>
      </c>
    </row>
    <row r="9">
      <c r="A9" s="6" t="inlineStr">
        <is>
          <t>Eliminations</t>
        </is>
      </c>
      <c r="B9" s="8" t="n">
        <v>-3655</v>
      </c>
      <c r="C9" s="8" t="n">
        <v>-3582</v>
      </c>
      <c r="D9" s="8" t="n">
        <v>-4262</v>
      </c>
      <c r="E9" s="8" t="n">
        <v>-3037</v>
      </c>
      <c r="F9" s="8" t="n">
        <v>-3134</v>
      </c>
      <c r="G9" s="8" t="n">
        <v>-3037</v>
      </c>
    </row>
    <row r="10">
      <c r="A10" s="20" t="inlineStr">
        <is>
          <t>Total net revenue</t>
        </is>
      </c>
      <c r="B10" s="35">
        <f>SUM(B5:B9)</f>
        <v/>
      </c>
      <c r="C10" s="35">
        <f>SUM(C5:C9)</f>
        <v/>
      </c>
      <c r="D10" s="35">
        <f>SUM(D5:D9)</f>
        <v/>
      </c>
      <c r="E10" s="35">
        <f>SUM(E5:E9)</f>
        <v/>
      </c>
      <c r="F10" s="35">
        <f>SUM(F5:F9)</f>
        <v/>
      </c>
      <c r="G10" s="35">
        <f>SUM(G5:G9)</f>
        <v/>
      </c>
    </row>
    <row r="13">
      <c r="A13" s="4" t="inlineStr">
        <is>
          <t>Q2 FY2026 BY SEGMENT</t>
        </is>
      </c>
      <c r="B13" s="5" t="n"/>
      <c r="C13" s="5" t="n"/>
      <c r="D13" s="5" t="n"/>
      <c r="E13" s="5" t="n"/>
      <c r="F13" s="5" t="n"/>
      <c r="G13" s="5" t="n"/>
      <c r="H13" s="5" t="n"/>
      <c r="I13" s="5" t="n"/>
    </row>
    <row r="14">
      <c r="A14" s="20" t="inlineStr"/>
      <c r="B14" s="20" t="inlineStr">
        <is>
          <t>Net revenue</t>
        </is>
      </c>
      <c r="C14" s="20" t="inlineStr">
        <is>
          <t>Noninterest exp.</t>
        </is>
      </c>
      <c r="D14" s="20" t="inlineStr">
        <is>
          <t>Provision</t>
        </is>
      </c>
      <c r="E14" s="20" t="inlineStr">
        <is>
          <t>Net income</t>
        </is>
      </c>
      <c r="F14" s="20" t="inlineStr">
        <is>
          <t>Segment ROE</t>
        </is>
      </c>
    </row>
    <row r="15">
      <c r="A15" s="6" t="inlineStr">
        <is>
          <t>Consumer &amp; Community Banking</t>
        </is>
      </c>
      <c r="B15" s="8" t="n">
        <v>20272</v>
      </c>
      <c r="C15" s="8" t="n">
        <v>11108</v>
      </c>
      <c r="D15" s="8" t="n">
        <v>2156</v>
      </c>
      <c r="E15" s="8" t="n">
        <v>5311</v>
      </c>
      <c r="F15" s="14" t="n">
        <v>0.34</v>
      </c>
    </row>
    <row r="16">
      <c r="A16" s="6" t="inlineStr">
        <is>
          <t>Commercial &amp; Investment Bank</t>
        </is>
      </c>
      <c r="B16" s="8" t="n">
        <v>24853</v>
      </c>
      <c r="C16" s="8" t="n">
        <v>11390</v>
      </c>
      <c r="D16" s="8" t="n">
        <v>356</v>
      </c>
      <c r="E16" s="8" t="n">
        <v>9678</v>
      </c>
      <c r="F16" s="14" t="n">
        <v>0.22</v>
      </c>
    </row>
    <row r="17">
      <c r="A17" s="6" t="inlineStr">
        <is>
          <t>Asset &amp; Wealth Management</t>
        </is>
      </c>
      <c r="B17" s="8" t="n">
        <v>6851</v>
      </c>
      <c r="C17" s="8" t="n">
        <v>4207</v>
      </c>
      <c r="D17" s="8" t="n">
        <v>13</v>
      </c>
      <c r="E17" s="8" t="n">
        <v>1957</v>
      </c>
      <c r="F17" s="14" t="n">
        <v>0.48</v>
      </c>
    </row>
    <row r="18">
      <c r="A18" s="6" t="inlineStr">
        <is>
          <t>Corporate</t>
        </is>
      </c>
      <c r="B18" s="8" t="n">
        <v>6046</v>
      </c>
      <c r="C18" s="8" t="n">
        <v>611</v>
      </c>
      <c r="D18" s="8" t="n">
        <v>-10</v>
      </c>
      <c r="E18" s="8" t="n">
        <v>4209</v>
      </c>
    </row>
    <row r="19">
      <c r="A19" s="20" t="inlineStr">
        <is>
          <t>Firmwide</t>
        </is>
      </c>
      <c r="B19" s="33" t="n">
        <v>57347</v>
      </c>
      <c r="C19" s="33" t="n">
        <v>27316</v>
      </c>
      <c r="D19" s="33" t="n">
        <v>2515</v>
      </c>
      <c r="E19" s="33" t="n">
        <v>21155</v>
      </c>
      <c r="F19" s="36" t="n">
        <v>0.29</v>
      </c>
    </row>
    <row r="22">
      <c r="A22" s="4" t="inlineStr">
        <is>
          <t>WHERE THE Q2 GROWTH ACTUALLY CAME FROM  (year-on-year revenue growth)</t>
        </is>
      </c>
      <c r="B22" s="5" t="n"/>
      <c r="C22" s="5" t="n"/>
      <c r="D22" s="5" t="n"/>
      <c r="E22" s="5" t="n"/>
      <c r="F22" s="5" t="n"/>
      <c r="G22" s="5" t="n"/>
      <c r="H22" s="5" t="n"/>
      <c r="I22" s="5" t="n"/>
    </row>
    <row r="23">
      <c r="A23" s="6" t="inlineStr">
        <is>
          <t>Equity Markets</t>
        </is>
      </c>
      <c r="B23" s="14" t="n">
        <v>0.86</v>
      </c>
    </row>
    <row r="24">
      <c r="A24" s="6" t="inlineStr">
        <is>
          <t>Investment Banking fees</t>
        </is>
      </c>
      <c r="B24" s="14" t="n">
        <v>0.3</v>
      </c>
    </row>
    <row r="25">
      <c r="A25" s="6" t="inlineStr">
        <is>
          <t>Markets — total</t>
        </is>
      </c>
      <c r="B25" s="14" t="n">
        <v>0.35</v>
      </c>
    </row>
    <row r="26">
      <c r="A26" s="6" t="inlineStr">
        <is>
          <t>Securities Services</t>
        </is>
      </c>
      <c r="B26" s="14" t="n">
        <v>0.17</v>
      </c>
    </row>
    <row r="27">
      <c r="A27" s="6" t="inlineStr">
        <is>
          <t>Asset &amp; Wealth Management</t>
        </is>
      </c>
      <c r="B27" s="14" t="n">
        <v>0.19</v>
      </c>
    </row>
    <row r="28">
      <c r="A28" s="6" t="inlineStr">
        <is>
          <t>Payments</t>
        </is>
      </c>
      <c r="B28" s="14" t="n">
        <v>0.12</v>
      </c>
    </row>
    <row r="29">
      <c r="A29" s="6" t="inlineStr">
        <is>
          <t>Card Services &amp; Auto</t>
        </is>
      </c>
      <c r="B29" s="14" t="n">
        <v>0.12</v>
      </c>
    </row>
    <row r="30">
      <c r="A30" s="6" t="inlineStr">
        <is>
          <t>Fixed Income Markets</t>
        </is>
      </c>
      <c r="B30" s="14" t="n">
        <v>0.06</v>
      </c>
    </row>
    <row r="31">
      <c r="A31" s="6" t="inlineStr">
        <is>
          <t>Banking &amp; Wealth Management (CCB)</t>
        </is>
      </c>
      <c r="B31" s="14" t="n">
        <v>0.05</v>
      </c>
    </row>
    <row r="32">
      <c r="A32" s="6" t="inlineStr">
        <is>
          <t>Home Lending</t>
        </is>
      </c>
      <c r="B32" s="14" t="n">
        <v>0.03</v>
      </c>
    </row>
    <row r="33">
      <c r="A33" s="6" t="inlineStr">
        <is>
          <t>Net interest income excluding Markets</t>
        </is>
      </c>
      <c r="B33" s="14" t="n">
        <v>0.04</v>
      </c>
    </row>
    <row r="35">
      <c r="A35" s="19" t="inlineStr">
        <is>
          <t>The two fastest-growing lines — Equity Markets and investment banking fees — are the two most cyclical.</t>
        </is>
      </c>
    </row>
    <row r="36">
      <c r="A36" s="19" t="inlineStr">
        <is>
          <t>Net interest income excluding Markets, the annuity at the centre of the bank, grew 4%.</t>
        </is>
      </c>
    </row>
  </sheetData>
  <pageMargins left="0.3" right="0.3" top="0.4" bottom="0.4" header="0.5" footer="0.5"/>
  <pageSetup orientation="landscape" fitToHeight="1" fitToWidth="1"/>
</worksheet>
</file>

<file path=xl/worksheets/sheet6.xml><?xml version="1.0" encoding="utf-8"?>
<worksheet xmlns="http://schemas.openxmlformats.org/spreadsheetml/2006/main">
  <sheetPr>
    <outlinePr summaryBelow="1" summaryRight="1"/>
    <pageSetUpPr fitToPage="1"/>
  </sheetPr>
  <dimension ref="A1:I67"/>
  <sheetViews>
    <sheetView workbookViewId="0">
      <selection activeCell="A1" sqref="A1"/>
    </sheetView>
  </sheetViews>
  <sheetFormatPr baseColWidth="8" defaultRowHeight="15"/>
  <cols>
    <col width="24" customWidth="1" min="1" max="1"/>
    <col width="9" customWidth="1" min="2" max="2"/>
    <col width="17" customWidth="1" min="3" max="3"/>
    <col width="17" customWidth="1" min="4" max="4"/>
    <col width="14" customWidth="1" min="5" max="5"/>
    <col width="15" customWidth="1" min="6" max="6"/>
    <col width="12" customWidth="1" min="7" max="7"/>
    <col width="10" customWidth="1" min="8" max="8"/>
    <col width="13" customWidth="1" min="9" max="9"/>
  </cols>
  <sheetData>
    <row r="1" ht="24" customHeight="1">
      <c r="A1" s="17" t="inlineStr">
        <is>
          <t>Peer Comparison — US Large-Cap Banks</t>
        </is>
      </c>
      <c r="B1" s="2" t="n"/>
      <c r="C1" s="2" t="n"/>
      <c r="D1" s="2" t="n"/>
      <c r="E1" s="2" t="n"/>
      <c r="F1" s="2" t="n"/>
      <c r="G1" s="2" t="n"/>
      <c r="H1" s="2" t="n"/>
      <c r="I1" s="2" t="n"/>
    </row>
    <row r="2">
      <c r="A2" s="18" t="inlineStr">
        <is>
          <t>Prices and multiples as at 14 August 2026. Source: S&amp;P Global Market Intelligence.</t>
        </is>
      </c>
      <c r="B2" s="2" t="n"/>
      <c r="C2" s="2" t="n"/>
      <c r="D2" s="2" t="n"/>
      <c r="E2" s="2" t="n"/>
      <c r="F2" s="2" t="n"/>
      <c r="G2" s="2" t="n"/>
      <c r="H2" s="2" t="n"/>
      <c r="I2" s="2" t="n"/>
    </row>
    <row r="4">
      <c r="A4" s="49" t="inlineStr">
        <is>
          <t>Company</t>
        </is>
      </c>
      <c r="B4" s="49" t="inlineStr">
        <is>
          <t>Ticker</t>
        </is>
      </c>
      <c r="C4" s="49" t="inlineStr">
        <is>
          <t>Market cap (US$ bn)</t>
        </is>
      </c>
      <c r="D4" s="49" t="inlineStr">
        <is>
          <t>P / tangible book (x)</t>
        </is>
      </c>
      <c r="E4" s="49" t="inlineStr">
        <is>
          <t>Trailing P/E (x)</t>
        </is>
      </c>
      <c r="F4" s="49" t="inlineStr">
        <is>
          <t>Fwd P/E FY26E (x)</t>
        </is>
      </c>
      <c r="G4" s="49" t="inlineStr">
        <is>
          <t>ROTCE (2Q26)</t>
        </is>
      </c>
      <c r="H4" s="49" t="inlineStr">
        <is>
          <t>CET1 (%)</t>
        </is>
      </c>
      <c r="I4" s="49" t="inlineStr">
        <is>
          <t>Dividend yield</t>
        </is>
      </c>
    </row>
    <row r="5">
      <c r="A5" s="56" t="inlineStr">
        <is>
          <t>JPMorgan Chase</t>
        </is>
      </c>
      <c r="B5" s="56" t="inlineStr">
        <is>
          <t>JPM</t>
        </is>
      </c>
      <c r="C5" s="57" t="n">
        <v>964.5</v>
      </c>
      <c r="D5" s="71" t="n">
        <v>3.2</v>
      </c>
      <c r="E5" s="71" t="n">
        <v>15.57</v>
      </c>
      <c r="F5" s="71" t="n">
        <v>15.03</v>
      </c>
      <c r="G5" s="59" t="n">
        <v>0.23</v>
      </c>
      <c r="H5" s="60" t="n">
        <v>0.141</v>
      </c>
      <c r="I5" s="61" t="n">
        <v>0.0182</v>
      </c>
    </row>
    <row r="6">
      <c r="A6" s="62" t="inlineStr">
        <is>
          <t>Morgan Stanley</t>
        </is>
      </c>
      <c r="B6" s="62" t="inlineStr">
        <is>
          <t>MS</t>
        </is>
      </c>
      <c r="C6" s="63" t="n">
        <v>341.4</v>
      </c>
      <c r="D6" s="72" t="n">
        <v>4.08</v>
      </c>
      <c r="E6" s="72" t="n">
        <v>17.56</v>
      </c>
      <c r="F6" s="72" t="n">
        <v>16.63</v>
      </c>
      <c r="G6" s="65" t="n">
        <v>0.266</v>
      </c>
      <c r="H6" s="65" t="n">
        <v>0.148</v>
      </c>
      <c r="I6" s="50" t="n">
        <v>0.0212</v>
      </c>
    </row>
    <row r="7">
      <c r="A7" s="62" t="inlineStr">
        <is>
          <t>Goldman Sachs</t>
        </is>
      </c>
      <c r="B7" s="62" t="inlineStr">
        <is>
          <t>GS</t>
        </is>
      </c>
      <c r="C7" s="63" t="n">
        <v>314.7</v>
      </c>
      <c r="D7" s="72" t="n">
        <v>3.13</v>
      </c>
      <c r="E7" s="73" t="n">
        <v>16.08</v>
      </c>
      <c r="F7" s="72" t="n">
        <v>14.9</v>
      </c>
      <c r="G7" s="65" t="n">
        <v>0.255</v>
      </c>
      <c r="H7" s="65" t="n">
        <v>0.129</v>
      </c>
      <c r="I7" s="50" t="n">
        <v>0.0192</v>
      </c>
    </row>
    <row r="8">
      <c r="A8" s="62" t="inlineStr">
        <is>
          <t>Bank of America</t>
        </is>
      </c>
      <c r="B8" s="62" t="inlineStr">
        <is>
          <t>BAC</t>
        </is>
      </c>
      <c r="C8" s="63" t="n">
        <v>451</v>
      </c>
      <c r="D8" s="72" t="n">
        <v>2.18</v>
      </c>
      <c r="E8" s="72" t="n">
        <v>14.9</v>
      </c>
      <c r="F8" s="72" t="n">
        <v>12.97</v>
      </c>
      <c r="G8" s="65" t="n">
        <v>0.17</v>
      </c>
      <c r="H8" s="65" t="n">
        <v>0.112</v>
      </c>
      <c r="I8" s="50" t="n">
        <v>0.0174</v>
      </c>
    </row>
    <row r="9">
      <c r="A9" s="62" t="inlineStr">
        <is>
          <t>Wells Fargo</t>
        </is>
      </c>
      <c r="B9" s="62" t="inlineStr">
        <is>
          <t>WFC</t>
        </is>
      </c>
      <c r="C9" s="63" t="n">
        <v>268.6</v>
      </c>
      <c r="D9" s="72" t="n">
        <v>1.92</v>
      </c>
      <c r="E9" s="72" t="n">
        <v>12.91</v>
      </c>
      <c r="F9" s="72" t="n">
        <v>11.95</v>
      </c>
      <c r="G9" s="65" t="n">
        <v>0.177</v>
      </c>
      <c r="H9" s="65" t="n">
        <v>0.103</v>
      </c>
      <c r="I9" s="50" t="n">
        <v>0.0225</v>
      </c>
    </row>
    <row r="10">
      <c r="A10" s="62" t="inlineStr">
        <is>
          <t>Citigroup</t>
        </is>
      </c>
      <c r="B10" s="62" t="inlineStr">
        <is>
          <t>C</t>
        </is>
      </c>
      <c r="C10" s="63" t="n">
        <v>233.7</v>
      </c>
      <c r="D10" s="72" t="n">
        <v>1.38</v>
      </c>
      <c r="E10" s="73" t="n">
        <v>15.15</v>
      </c>
      <c r="F10" s="72" t="n">
        <v>11.93</v>
      </c>
      <c r="G10" s="65" t="n">
        <v>0.13</v>
      </c>
      <c r="H10" s="65" t="n">
        <v>0.1278</v>
      </c>
      <c r="I10" s="50" t="n">
        <v>0.0192</v>
      </c>
    </row>
    <row r="12">
      <c r="A12" s="67" t="inlineStr">
        <is>
          <t>Peer average, excluding JPM</t>
        </is>
      </c>
      <c r="D12" s="74">
        <f>AVERAGE(D6:D10)</f>
        <v/>
      </c>
      <c r="E12" s="74">
        <f>AVERAGE(E6:E10)</f>
        <v/>
      </c>
      <c r="F12" s="74">
        <f>AVERAGE(F6:F10)</f>
        <v/>
      </c>
      <c r="G12" s="60">
        <f>AVERAGE(G6:G10)</f>
        <v/>
      </c>
      <c r="H12" s="60">
        <f>AVERAGE(H6:H10)</f>
        <v/>
      </c>
    </row>
    <row r="13">
      <c r="A13" s="67" t="inlineStr">
        <is>
          <t>JPM premium / (discount) to peer average</t>
        </is>
      </c>
      <c r="D13" s="69">
        <f>D5/D12-1</f>
        <v/>
      </c>
      <c r="E13" s="69">
        <f>E5/E12-1</f>
        <v/>
      </c>
      <c r="F13" s="69">
        <f>F5/F12-1</f>
        <v/>
      </c>
    </row>
    <row r="14" ht="46" customHeight="1">
      <c r="A14" s="47" t="inlineStr">
        <is>
          <t>PEER SET. Five large-cap US money-centre and broker peers. On tangible book JPMorgan is the second most expensive of six, not the outlier: Morgan Stanley trades at 4.08x, 28% above JPM, and Goldman at 3.13x sits marginally below. The five-peer average is 2.54x and the premium 26%; a narrower three-name sample of BAC, C and GS would put it at 43%, which is why the wider figure is used. Per point of ROTCE, JPM is again second behind Morgan Stanley. All forward multiples are FY2026E on a consistent basis; JPM on FY2027E is 14.51x and is not comparable to that column. Peer ROTCE are 2Q26 as reported; JPM is stated ex-significant items.</t>
        </is>
      </c>
    </row>
    <row r="16">
      <c r="A16" s="4" t="inlineStr">
        <is>
          <t>STREET POSITIONING — 24 ANALYSTS, S&amp;P GLOBAL, AUGUST 2026</t>
        </is>
      </c>
      <c r="B16" s="5" t="n"/>
      <c r="C16" s="5" t="n"/>
      <c r="D16" s="5" t="n"/>
      <c r="E16" s="5" t="n"/>
      <c r="F16" s="5" t="n"/>
      <c r="G16" s="5" t="n"/>
      <c r="H16" s="5" t="n"/>
      <c r="I16" s="5" t="n"/>
    </row>
    <row r="17">
      <c r="A17" s="6" t="inlineStr">
        <is>
          <t>Average price target (US$)</t>
        </is>
      </c>
      <c r="B17" s="7" t="n">
        <v>374.57</v>
      </c>
    </row>
    <row r="18">
      <c r="A18" s="6" t="inlineStr">
        <is>
          <t>Median price target (US$)</t>
        </is>
      </c>
      <c r="B18" s="7" t="n">
        <v>372</v>
      </c>
    </row>
    <row r="19">
      <c r="A19" s="6" t="inlineStr">
        <is>
          <t>Low price target (US$)</t>
        </is>
      </c>
      <c r="B19" s="7" t="n">
        <v>305</v>
      </c>
    </row>
    <row r="20">
      <c r="A20" s="6" t="inlineStr">
        <is>
          <t>High price target (US$)</t>
        </is>
      </c>
      <c r="B20" s="7" t="n">
        <v>420</v>
      </c>
    </row>
    <row r="21">
      <c r="A21" s="6" t="inlineStr">
        <is>
          <t>Current price (US$)</t>
        </is>
      </c>
      <c r="B21" s="7" t="n">
        <v>362.84</v>
      </c>
    </row>
    <row r="22">
      <c r="A22" s="6" t="inlineStr">
        <is>
          <t>Consensus implied upside</t>
        </is>
      </c>
      <c r="B22" s="10" t="n">
        <v>0.0323</v>
      </c>
    </row>
    <row r="23">
      <c r="A23" s="6" t="inlineStr">
        <is>
          <t>Strong Buy</t>
        </is>
      </c>
      <c r="B23" s="8" t="n">
        <v>9</v>
      </c>
    </row>
    <row r="24">
      <c r="A24" s="6" t="inlineStr">
        <is>
          <t>Buy</t>
        </is>
      </c>
      <c r="B24" s="8" t="n">
        <v>4</v>
      </c>
    </row>
    <row r="25">
      <c r="A25" s="6" t="inlineStr">
        <is>
          <t>Hold</t>
        </is>
      </c>
      <c r="B25" s="8" t="n">
        <v>10</v>
      </c>
    </row>
    <row r="26">
      <c r="A26" s="6" t="inlineStr">
        <is>
          <t>Sell</t>
        </is>
      </c>
      <c r="B26" s="8" t="n">
        <v>1</v>
      </c>
    </row>
    <row r="27">
      <c r="A27" s="20" t="inlineStr">
        <is>
          <t>This model's fair value (US$)</t>
        </is>
      </c>
      <c r="B27" s="44" t="n">
        <v>322.77</v>
      </c>
    </row>
    <row r="30">
      <c r="A30" s="4" t="inlineStr">
        <is>
          <t>RECENT ANALYST ACTIONS</t>
        </is>
      </c>
      <c r="B30" s="5" t="n"/>
      <c r="C30" s="5" t="n"/>
      <c r="D30" s="5" t="n"/>
      <c r="E30" s="5" t="n"/>
      <c r="F30" s="5" t="n"/>
      <c r="G30" s="5" t="n"/>
      <c r="H30" s="5" t="n"/>
      <c r="I30" s="5" t="n"/>
    </row>
    <row r="31">
      <c r="A31" s="20" t="inlineStr">
        <is>
          <t>Firm</t>
        </is>
      </c>
      <c r="B31" s="20" t="inlineStr">
        <is>
          <t>Analyst</t>
        </is>
      </c>
      <c r="C31" s="20" t="inlineStr">
        <is>
          <t>Rating</t>
        </is>
      </c>
      <c r="D31" s="20" t="inlineStr">
        <is>
          <t>Price target (US$)</t>
        </is>
      </c>
      <c r="E31" s="20" t="inlineStr">
        <is>
          <t>Date</t>
        </is>
      </c>
    </row>
    <row r="32">
      <c r="A32" s="6" t="inlineStr">
        <is>
          <t>Wells Fargo</t>
        </is>
      </c>
      <c r="B32" s="6" t="inlineStr">
        <is>
          <t>Mike Mayo</t>
        </is>
      </c>
      <c r="C32" s="6" t="inlineStr">
        <is>
          <t>Buy</t>
        </is>
      </c>
      <c r="D32" s="8" t="n">
        <v>390</v>
      </c>
      <c r="E32" s="6" t="inlineStr">
        <is>
          <t>14-Aug-2026</t>
        </is>
      </c>
    </row>
    <row r="33">
      <c r="A33" s="6" t="inlineStr">
        <is>
          <t>Barclays</t>
        </is>
      </c>
      <c r="B33" s="6" t="inlineStr">
        <is>
          <t>Jason Goldberg</t>
        </is>
      </c>
      <c r="C33" s="6" t="inlineStr">
        <is>
          <t>Buy</t>
        </is>
      </c>
      <c r="D33" s="8" t="n">
        <v>420</v>
      </c>
      <c r="E33" s="6" t="inlineStr">
        <is>
          <t>10-Aug-2026</t>
        </is>
      </c>
    </row>
    <row r="34">
      <c r="A34" s="6" t="inlineStr">
        <is>
          <t>Jefferies</t>
        </is>
      </c>
      <c r="B34" s="6" t="inlineStr">
        <is>
          <t>David Chiaverini</t>
        </is>
      </c>
      <c r="C34" s="6" t="inlineStr">
        <is>
          <t>Hold</t>
        </is>
      </c>
      <c r="D34" s="8" t="n">
        <v>370</v>
      </c>
      <c r="E34" s="6" t="inlineStr">
        <is>
          <t>03-Aug-2026</t>
        </is>
      </c>
    </row>
    <row r="35">
      <c r="A35" s="6" t="inlineStr">
        <is>
          <t>UBS</t>
        </is>
      </c>
      <c r="B35" s="6" t="inlineStr">
        <is>
          <t>Erika Najarian</t>
        </is>
      </c>
      <c r="C35" s="6" t="inlineStr">
        <is>
          <t>Buy</t>
        </is>
      </c>
      <c r="D35" s="8" t="n">
        <v>400</v>
      </c>
      <c r="E35" s="6" t="inlineStr">
        <is>
          <t>03-Aug-2026</t>
        </is>
      </c>
    </row>
    <row r="36">
      <c r="A36" s="6" t="inlineStr">
        <is>
          <t>Deutsche Bank</t>
        </is>
      </c>
      <c r="B36" s="6" t="inlineStr">
        <is>
          <t>Matt O'Connor</t>
        </is>
      </c>
      <c r="C36" s="6" t="inlineStr">
        <is>
          <t>Buy</t>
        </is>
      </c>
      <c r="D36" s="8" t="n">
        <v>375</v>
      </c>
      <c r="E36" s="6" t="inlineStr">
        <is>
          <t>23-Jul-2026</t>
        </is>
      </c>
    </row>
    <row r="38">
      <c r="A38" s="19" t="inlineStr">
        <is>
          <t>Ten of twenty-four analysts rate the stock Hold and one rates it Sell — the first Sell in twelve months. The</t>
        </is>
      </c>
    </row>
    <row r="39">
      <c r="A39" s="19" t="inlineStr">
        <is>
          <t>consensus target of $374.57 sits 3% above the price. This is a Street that has run out of upside, not one that</t>
        </is>
      </c>
    </row>
    <row r="40">
      <c r="A40" s="19" t="inlineStr">
        <is>
          <t>is enthusiastic. Our $322.77 sits above the Street low of $305 and below the median of $372.</t>
        </is>
      </c>
    </row>
    <row r="43">
      <c r="A43" s="4" t="inlineStr">
        <is>
          <t>THIRD-PARTY CROSS-CHECK — INDEPENDENT VALUATION SOURCES</t>
        </is>
      </c>
      <c r="B43" s="5" t="n"/>
      <c r="C43" s="5" t="n"/>
      <c r="D43" s="5" t="n"/>
      <c r="E43" s="5" t="n"/>
      <c r="F43" s="5" t="n"/>
      <c r="G43" s="5" t="n"/>
      <c r="H43" s="5" t="n"/>
      <c r="I43" s="5" t="n"/>
    </row>
    <row r="44">
      <c r="A44" s="6" t="inlineStr">
        <is>
          <t>GuruFocus price / tangible book (19-Jul-2026)</t>
        </is>
      </c>
      <c r="B44" s="11" t="n">
        <v>3.27</v>
      </c>
    </row>
    <row r="45">
      <c r="A45" s="6" t="inlineStr">
        <is>
          <t>GuruFocus: JPM 10-year median price / tangible book</t>
        </is>
      </c>
      <c r="B45" s="11" t="n">
        <v>2</v>
      </c>
    </row>
    <row r="46">
      <c r="A46" s="6" t="inlineStr">
        <is>
          <t>Premium of current P/TBV to its own 10-year median</t>
        </is>
      </c>
      <c r="B46" s="14" t="n">
        <v>0.64</v>
      </c>
    </row>
    <row r="47">
      <c r="A47" s="6" t="inlineStr">
        <is>
          <t>GuruFocus 'GF Value' estimate (US$)</t>
        </is>
      </c>
      <c r="B47" s="7" t="n">
        <v>283.58</v>
      </c>
    </row>
    <row r="48">
      <c r="A48" s="20" t="inlineStr">
        <is>
          <t>This model's fair value (US$)</t>
        </is>
      </c>
      <c r="B48" s="44" t="n">
        <v>322.77</v>
      </c>
    </row>
    <row r="49">
      <c r="A49" s="6" t="inlineStr">
        <is>
          <t>S&amp;P Global consensus target (US$)</t>
        </is>
      </c>
      <c r="B49" s="7" t="n">
        <v>374.57</v>
      </c>
    </row>
    <row r="50">
      <c r="A50" s="6" t="inlineStr">
        <is>
          <t>Simply Wall St: US Banks industry average P/E (x)</t>
        </is>
      </c>
      <c r="B50" s="11" t="n">
        <v>11.7</v>
      </c>
    </row>
    <row r="51">
      <c r="A51" s="6" t="inlineStr">
        <is>
          <t>Simply Wall St: JPM peer-set average P/E (x)</t>
        </is>
      </c>
      <c r="B51" s="11" t="n">
        <v>13.3</v>
      </c>
    </row>
    <row r="52">
      <c r="A52" s="20" t="inlineStr">
        <is>
          <t>This model's peer-set average trailing P/E (x)</t>
        </is>
      </c>
      <c r="B52" s="46" t="n">
        <v>14.34</v>
      </c>
    </row>
    <row r="53">
      <c r="A53" s="6" t="inlineStr">
        <is>
          <t>Target forward P/E used in Method 3 (x)</t>
        </is>
      </c>
      <c r="B53" s="11" t="n">
        <v>13.5</v>
      </c>
    </row>
    <row r="55">
      <c r="A55" s="19" t="inlineStr">
        <is>
          <t>Our $322.77 sits between GuruFocus at $283.58 and the sell-side consensus at $374.57. On the earnings multiple we are</t>
        </is>
      </c>
    </row>
    <row r="56">
      <c r="A56" s="54" t="inlineStr">
        <is>
          <t>On the target multiple we are marginally BELOW the five-peer average forward P/E of 13.68x (FY2026E basis), applied to the bank with the highest ROTCE and highest CET1 in the group. Simply Wall St's 13.3x peer and 11.7x industry averages sit lower still, so on their numbers the fair value would fall. The call does not rest on an aggressive multiple.</t>
        </is>
      </c>
    </row>
    <row r="57">
      <c r="A57" s="19" t="inlineStr">
        <is>
          <t>uses. The bear case on this stock does not depend on an aggressive earnings multiple.</t>
        </is>
      </c>
    </row>
    <row r="60">
      <c r="A60" s="4" t="inlineStr">
        <is>
          <t>WHAT MANAGEMENT SAID ON THE Q2 2026 CALL (14 JULY 2026)</t>
        </is>
      </c>
      <c r="B60" s="5" t="n"/>
      <c r="C60" s="5" t="n"/>
      <c r="D60" s="5" t="n"/>
      <c r="E60" s="5" t="n"/>
      <c r="F60" s="5" t="n"/>
      <c r="G60" s="5" t="n"/>
      <c r="H60" s="5" t="n"/>
      <c r="I60" s="5" t="n"/>
    </row>
    <row r="61">
      <c r="A61" s="16" t="inlineStr">
        <is>
          <t>Jamie Dimon: "It's getting close to as good as it gets. We just don't know how long it's going to last."</t>
        </is>
      </c>
    </row>
    <row r="62">
      <c r="A62" s="16" t="inlineStr">
        <is>
          <t>Jamie Dimon: "When you have great returns and very good margins ... the notion that somehow you can forever</t>
        </is>
      </c>
    </row>
    <row r="63">
      <c r="A63" s="16" t="inlineStr">
        <is>
          <t>increase your operating leverage is a crazy notion. I do think you might actually see a slowdown in growth,</t>
        </is>
      </c>
    </row>
    <row r="64">
      <c r="A64" s="16" t="inlineStr">
        <is>
          <t>maybe a slowdown in 2027 or 2028."</t>
        </is>
      </c>
    </row>
    <row r="65">
      <c r="A65" s="16" t="inlineStr"/>
    </row>
    <row r="66">
      <c r="A66" s="16" t="inlineStr">
        <is>
          <t>Consensus expects FY2027 EPS growth of 3.3%. The chief executive has guided to a slowdown in 2027 or 2028.</t>
        </is>
      </c>
    </row>
    <row r="67">
      <c r="A67" s="16" t="inlineStr">
        <is>
          <t>The stock trades at an all-time high on 3.20x tangible book. Those three facts belong in the same sentence.</t>
        </is>
      </c>
    </row>
  </sheetData>
  <mergeCells count="1">
    <mergeCell ref="A14:I14"/>
  </mergeCells>
  <pageMargins left="0.3" right="0.3" top="0.4" bottom="0.4"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Debjit Mukherjee</dc:creator>
  <dc:title xmlns:dc="http://purl.org/dc/elements/1.1/">JPMorgan Chase &amp; Co. (JPM) — Financial Model</dc:title>
  <dc:description xmlns:dc="http://purl.org/dc/elements/1.1/">Excess return, justified P/TBV and forward P/E. Figures as at 14 August 2026.</dc:description>
  <dcterms:created xmlns:dcterms="http://purl.org/dc/terms/" xmlns:xsi="http://www.w3.org/2001/XMLSchema-instance" xsi:type="dcterms:W3CDTF">2026-08-16T12:00:00Z</dcterms:created>
  <dcterms:modified xmlns:dcterms="http://purl.org/dc/terms/" xmlns:xsi="http://www.w3.org/2001/XMLSchema-instance" xsi:type="dcterms:W3CDTF">2026-08-16T08:15:24Z</dcterms:modified>
  <cp:lastModifiedBy>Debjit Mukherjee</cp:lastModifiedBy>
  <cp:category>Equity Research</cp:category>
</cp:coreProperties>
</file>