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aluation Summary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Balance Sheet &amp; Ratios" sheetId="6" state="visible" r:id="rId6"/>
    <sheet xmlns:r="http://schemas.openxmlformats.org/officeDocument/2006/relationships" name="Peer Comps" sheetId="7" state="visible" r:id="rId7"/>
  </sheets>
  <definedNames>
    <definedName name="_xlnm.Print_Area" localSheetId="0">'Overview'!$A$1:$G$31</definedName>
    <definedName name="_xlnm.Print_Area" localSheetId="1">'Valuation Summary'!$A$1:$G$56</definedName>
    <definedName name="_xlnm.Print_Area" localSheetId="2">'Income Statement'!$A$1:$F$15</definedName>
    <definedName name="_xlnm.Print_Area" localSheetId="3">'Segments'!$A$1:$F$10</definedName>
    <definedName name="_xlnm.Print_Area" localSheetId="4">'Cash Flow'!$A$1:$F$11</definedName>
    <definedName name="_xlnm.Print_Area" localSheetId="5">'Balance Sheet &amp; Ratios'!$A$1:$F$13</definedName>
    <definedName name="_xlnm.Print_Area" localSheetId="6">'Peer Comps'!$A$1:$F$9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%"/>
    <numFmt numFmtId="167" formatCode="0.0&quot;%&quot;"/>
  </numFmts>
  <fonts count="13">
    <font>
      <name val="Calibri"/>
      <family val="2"/>
      <color theme="1"/>
      <sz val="11"/>
      <scheme val="minor"/>
    </font>
    <font>
      <b val="1"/>
      <color rgb="000F5499"/>
      <sz val="14"/>
    </font>
    <font>
      <color rgb="00595959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0F5499"/>
      <sz val="10"/>
    </font>
    <font>
      <i val="1"/>
      <color rgb="00595959"/>
      <sz val="9"/>
    </font>
    <font>
      <b val="1"/>
      <color rgb="00FFFFFF"/>
      <sz val="13"/>
    </font>
    <font>
      <b val="1"/>
      <color rgb="000F5499"/>
      <sz val="11"/>
    </font>
    <font>
      <b val="1"/>
      <sz val="11"/>
    </font>
    <font>
      <b val="1"/>
      <color rgb="000F5499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F5499"/>
      </patternFill>
    </fill>
    <fill>
      <patternFill patternType="solid">
        <fgColor rgb="00E9F1F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pivotButton="0" quotePrefix="0" xfId="0"/>
    <xf numFmtId="4" fontId="5" fillId="3" borderId="0" applyAlignment="1" pivotButton="0" quotePrefix="0" xfId="0">
      <alignment horizontal="right"/>
    </xf>
    <xf numFmtId="0" fontId="4" fillId="0" borderId="0" pivotButton="0" quotePrefix="0" xfId="0"/>
    <xf numFmtId="3" fontId="5" fillId="0" borderId="0" applyAlignment="1" pivotButton="0" quotePrefix="0" xfId="0">
      <alignment horizontal="right"/>
    </xf>
    <xf numFmtId="3" fontId="5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4" fontId="5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0" pivotButton="0" quotePrefix="0" xfId="0"/>
    <xf numFmtId="10" fontId="5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5" fillId="0" borderId="0" pivotButton="0" quotePrefix="0" xfId="0"/>
    <xf numFmtId="0" fontId="9" fillId="0" borderId="0" pivotButton="0" quotePrefix="0" xfId="0"/>
    <xf numFmtId="3" fontId="9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10" fillId="0" borderId="0" pivotButton="0" quotePrefix="0" xfId="0"/>
    <xf numFmtId="3" fontId="11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12" fillId="2" borderId="0" pivotButton="0" quotePrefix="0" xfId="0"/>
    <xf numFmtId="167" fontId="4" fillId="3" borderId="0" applyAlignment="1" pivotButton="0" quotePrefix="0" xfId="0">
      <alignment horizontal="right"/>
    </xf>
    <xf numFmtId="3" fontId="4" fillId="3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0" fontId="5" fillId="3" borderId="0" pivotButton="0" quotePrefix="0" xfId="0"/>
    <xf numFmtId="0" fontId="4" fillId="3" borderId="0" applyAlignment="1" pivotButton="0" quotePrefix="0" xfId="0">
      <alignment horizontal="right"/>
    </xf>
    <xf numFmtId="0" fontId="7" fillId="3" borderId="0" pivotButton="0" quotePrefix="0" xfId="0"/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Microsoft Corporation (NASDAQ: MSFT) — Financial Model &amp; Valuation</t>
        </is>
      </c>
    </row>
    <row r="2" ht="30" customHeight="1">
      <c r="A2" s="2" t="inlineStr">
        <is>
          <t>Fiscal year ends 30 June. The central question is not growth — it is whether the AI capital-expenditure cycle earns its cost of capital. Revenue and operating income are compounding; free cash flow is not.</t>
        </is>
      </c>
    </row>
    <row r="4">
      <c r="A4" s="3" t="inlineStr">
        <is>
          <t>SNAPSHOT</t>
        </is>
      </c>
    </row>
    <row r="6">
      <c r="A6" s="4" t="inlineStr">
        <is>
          <t>Current share price ($, 05-Aug-2026)</t>
        </is>
      </c>
      <c r="B6" s="5" t="n">
        <v>488.63</v>
      </c>
    </row>
    <row r="7">
      <c r="A7" s="6" t="inlineStr">
        <is>
          <t>Market capitalisation ($bn)</t>
        </is>
      </c>
      <c r="B7" s="7" t="n">
        <v>3641</v>
      </c>
    </row>
    <row r="8">
      <c r="A8" s="4" t="inlineStr">
        <is>
          <t>Diluted weighted-avg shares (m)</t>
        </is>
      </c>
      <c r="B8" s="8" t="n">
        <v>7453</v>
      </c>
    </row>
    <row r="9">
      <c r="A9" s="6" t="inlineStr">
        <is>
          <t>52-week high / low ($)</t>
        </is>
      </c>
      <c r="B9" s="9" t="inlineStr">
        <is>
          <t>553.72 / 349.20</t>
        </is>
      </c>
    </row>
    <row r="10">
      <c r="A10" s="4" t="inlineStr">
        <is>
          <t>Net cash ($m)</t>
        </is>
      </c>
      <c r="B10" s="8" t="n">
        <v>20017</v>
      </c>
    </row>
    <row r="11">
      <c r="A11" s="6" t="inlineStr">
        <is>
          <t>FY2026 revenue ($m)</t>
        </is>
      </c>
      <c r="B11" s="7" t="n">
        <v>331839</v>
      </c>
    </row>
    <row r="12">
      <c r="A12" s="4" t="inlineStr">
        <is>
          <t>FY2026 operating income ($m)</t>
        </is>
      </c>
      <c r="B12" s="8" t="n">
        <v>155237</v>
      </c>
    </row>
    <row r="13">
      <c r="A13" s="6" t="inlineStr">
        <is>
          <t>FY2026 net income ($m)</t>
        </is>
      </c>
      <c r="B13" s="7" t="n">
        <v>133749</v>
      </c>
    </row>
    <row r="14">
      <c r="A14" s="4" t="inlineStr">
        <is>
          <t>FY2026 diluted EPS ($)</t>
        </is>
      </c>
      <c r="B14" s="5" t="n">
        <v>17.95</v>
      </c>
    </row>
    <row r="15">
      <c r="A15" s="6" t="inlineStr">
        <is>
          <t>— of which OpenAI investment gains ($)</t>
        </is>
      </c>
      <c r="B15" s="10" t="n">
        <v>0.67</v>
      </c>
    </row>
    <row r="16">
      <c r="A16" s="4" t="inlineStr">
        <is>
          <t>Trailing P/E (x)</t>
        </is>
      </c>
      <c r="B16" s="5" t="n">
        <v>27.45</v>
      </c>
    </row>
    <row r="17">
      <c r="A17" s="6" t="inlineStr">
        <is>
          <t>Forward P/E (x)</t>
        </is>
      </c>
      <c r="B17" s="10" t="n">
        <v>25.05</v>
      </c>
    </row>
    <row r="18">
      <c r="A18" s="4" t="inlineStr">
        <is>
          <t>Dividend / share ($) and yield</t>
        </is>
      </c>
      <c r="B18" s="11" t="inlineStr">
        <is>
          <t>3.64  ·  0.74%</t>
        </is>
      </c>
    </row>
    <row r="21">
      <c r="A21" s="3" t="inlineStr">
        <is>
          <t>Q4 FY2026 RESULTS (reported 29-Jul-2026)</t>
        </is>
      </c>
    </row>
    <row r="23">
      <c r="A23" s="12" t="inlineStr">
        <is>
          <t>Metric</t>
        </is>
      </c>
      <c r="B23" s="13" t="inlineStr">
        <is>
          <t>Value</t>
        </is>
      </c>
      <c r="C23" s="13" t="inlineStr">
        <is>
          <t>Comment</t>
        </is>
      </c>
    </row>
    <row r="24">
      <c r="A24" s="6" t="inlineStr">
        <is>
          <t>Revenue ($bn)</t>
        </is>
      </c>
      <c r="B24" s="9" t="inlineStr">
        <is>
          <t>90.0</t>
        </is>
      </c>
      <c r="C24" s="14" t="inlineStr">
        <is>
          <t>+18% YoY; beat ~$87.6bn consensus</t>
        </is>
      </c>
    </row>
    <row r="25">
      <c r="A25" s="6" t="inlineStr">
        <is>
          <t>Adjusted EPS ($)</t>
        </is>
      </c>
      <c r="B25" s="9" t="inlineStr">
        <is>
          <t>4.74</t>
        </is>
      </c>
      <c r="C25" s="14" t="inlineStr">
        <is>
          <t>beat $4.33 — a $0.41 surprise</t>
        </is>
      </c>
    </row>
    <row r="26">
      <c r="A26" s="6" t="inlineStr">
        <is>
          <t>Azure growth</t>
        </is>
      </c>
      <c r="B26" s="9" t="inlineStr">
        <is>
          <t>+43%</t>
        </is>
      </c>
      <c r="C26" s="14" t="inlineStr">
        <is>
          <t>accelerated from 40%; ~45% guided for Q1 FY27</t>
        </is>
      </c>
    </row>
    <row r="27">
      <c r="A27" s="6" t="inlineStr">
        <is>
          <t>Azure FY2026 revenue</t>
        </is>
      </c>
      <c r="B27" s="9" t="inlineStr">
        <is>
          <t>&gt; $100bn</t>
        </is>
      </c>
      <c r="C27" s="14" t="inlineStr">
        <is>
          <t>first time; +41% for the year</t>
        </is>
      </c>
    </row>
    <row r="28">
      <c r="A28" s="6" t="inlineStr">
        <is>
          <t>Q4 capex + finance leases ($bn)</t>
        </is>
      </c>
      <c r="B28" s="9" t="inlineStr">
        <is>
          <t>41.0</t>
        </is>
      </c>
      <c r="C28" s="14" t="inlineStr">
        <is>
          <t>+69% YoY</t>
        </is>
      </c>
    </row>
    <row r="29">
      <c r="A29" s="6" t="inlineStr">
        <is>
          <t>Calendar-2026 capex guidance</t>
        </is>
      </c>
      <c r="B29" s="9" t="inlineStr">
        <is>
          <t>~$175bn</t>
        </is>
      </c>
      <c r="C29" s="14" t="inlineStr">
        <is>
          <t>cut from ~$190bn — first sign of discipline</t>
        </is>
      </c>
    </row>
    <row r="31" ht="28" customHeight="1">
      <c r="A31" s="15" t="inlineStr">
        <is>
          <t>Note: FY2026 GAAP EPS of $17.95 grew 32%, but includes $0.67 of net gains on the OpenAI investment. On a non-GAAP basis earnings grew 22%. The headline overstates the underlying rate of improvement.</t>
        </is>
      </c>
    </row>
  </sheetData>
  <mergeCells count="4">
    <mergeCell ref="A31:G31"/>
    <mergeCell ref="A21:G21"/>
    <mergeCell ref="A2:G2"/>
    <mergeCell ref="A4:G4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>
      <c r="A1" s="16" t="inlineStr">
        <is>
          <t>Microsoft — Multi-Method Valuation</t>
        </is>
      </c>
    </row>
    <row r="2" ht="28" customHeight="1">
      <c r="A2" s="2" t="inlineStr">
        <is>
          <t>$m unless stated. Segment operating income as reported in the FY2026 8-K. Sum-of-the-parts is the primary method, cross-checked against a free-cash-flow DCF and a forward multiple. Live $488.63 (05-Aug-2026); US 10-year Treasury 4.62%. Net cash is stated after $16.5bn of operating-lease liabilities.</t>
        </is>
      </c>
    </row>
    <row r="4">
      <c r="A4" s="3" t="inlineStr">
        <is>
          <t>KEY INPUTS</t>
        </is>
      </c>
    </row>
    <row r="5">
      <c r="A5" s="6" t="inlineStr">
        <is>
          <t>Live share price ($)</t>
        </is>
      </c>
      <c r="B5" s="10" t="n">
        <v>488.63</v>
      </c>
    </row>
    <row r="6">
      <c r="A6" s="6" t="inlineStr">
        <is>
          <t>Diluted shares (m)</t>
        </is>
      </c>
      <c r="B6" s="10" t="n">
        <v>7453</v>
      </c>
    </row>
    <row r="7">
      <c r="A7" s="6" t="inlineStr">
        <is>
          <t>Net cash ($m)</t>
        </is>
      </c>
      <c r="B7" s="10" t="n">
        <v>20017</v>
      </c>
    </row>
    <row r="8">
      <c r="A8" s="6" t="inlineStr">
        <is>
          <t>FY2027E EPS ($)</t>
        </is>
      </c>
      <c r="B8" s="10" t="n">
        <v>19.5</v>
      </c>
    </row>
    <row r="9">
      <c r="A9" s="6" t="inlineStr">
        <is>
          <t>WACC</t>
        </is>
      </c>
      <c r="B9" s="17" t="n">
        <v>0.095</v>
      </c>
    </row>
    <row r="10">
      <c r="A10" s="6" t="inlineStr">
        <is>
          <t>Terminal growth</t>
        </is>
      </c>
      <c r="B10" s="17" t="n">
        <v>0.04</v>
      </c>
    </row>
    <row r="11">
      <c r="A11" s="6" t="inlineStr">
        <is>
          <t>US 10-year Treasury (risk-free)</t>
        </is>
      </c>
      <c r="B11" s="17" t="n">
        <v>0.0462</v>
      </c>
    </row>
    <row r="12">
      <c r="A12" s="6" t="inlineStr">
        <is>
          <t>Dividend yield</t>
        </is>
      </c>
      <c r="B12" s="17" t="n">
        <v>0.0074</v>
      </c>
    </row>
    <row r="14">
      <c r="A14" s="3" t="inlineStr">
        <is>
          <t>METHOD 1 — SEGMENT SUM-OF-THE-PARTS (FY2026 operating income)</t>
        </is>
      </c>
    </row>
    <row r="15">
      <c r="A15" s="12" t="inlineStr">
        <is>
          <t>Segment</t>
        </is>
      </c>
      <c r="B15" s="13" t="inlineStr">
        <is>
          <t>Revenue</t>
        </is>
      </c>
      <c r="C15" s="13" t="inlineStr">
        <is>
          <t>Op. income</t>
        </is>
      </c>
      <c r="D15" s="13" t="inlineStr">
        <is>
          <t>Multiple (x EBIT)</t>
        </is>
      </c>
      <c r="E15" s="13" t="inlineStr">
        <is>
          <t>Value ($m)</t>
        </is>
      </c>
      <c r="F15" s="13" t="inlineStr"/>
      <c r="G15" s="13" t="inlineStr">
        <is>
          <t>Basis</t>
        </is>
      </c>
    </row>
    <row r="16">
      <c r="A16" s="6" t="inlineStr">
        <is>
          <t>Intelligent Cloud (Azure, server)</t>
        </is>
      </c>
      <c r="B16" s="18" t="n">
        <v>137791</v>
      </c>
      <c r="C16" s="18" t="n">
        <v>56972</v>
      </c>
      <c r="D16" s="19" t="n">
        <v>30</v>
      </c>
      <c r="E16" s="18">
        <f>C16*D16</f>
        <v/>
      </c>
      <c r="G16" s="14" t="inlineStr">
        <is>
          <t>Azure +43%; EBIT +28%</t>
        </is>
      </c>
    </row>
    <row r="17">
      <c r="A17" s="6" t="inlineStr">
        <is>
          <t>Productivity &amp; Business Processes</t>
        </is>
      </c>
      <c r="B17" s="18" t="n">
        <v>139996</v>
      </c>
      <c r="C17" s="18" t="n">
        <v>83879</v>
      </c>
      <c r="D17" s="19" t="n">
        <v>25</v>
      </c>
      <c r="E17" s="18">
        <f>C17*D17</f>
        <v/>
      </c>
      <c r="G17" s="14" t="inlineStr">
        <is>
          <t>M365/Office/LinkedIn +16%</t>
        </is>
      </c>
    </row>
    <row r="18">
      <c r="A18" s="6" t="inlineStr">
        <is>
          <t>More Personal Computing</t>
        </is>
      </c>
      <c r="B18" s="18" t="n">
        <v>54052</v>
      </c>
      <c r="C18" s="18" t="n">
        <v>14386</v>
      </c>
      <c r="D18" s="19" t="n">
        <v>12</v>
      </c>
      <c r="E18" s="18">
        <f>C18*D18</f>
        <v/>
      </c>
      <c r="G18" s="14" t="inlineStr">
        <is>
          <t>Revenue declining; 26.6% margin</t>
        </is>
      </c>
    </row>
    <row r="19">
      <c r="A19" s="20" t="inlineStr">
        <is>
          <t>Enterprise value</t>
        </is>
      </c>
      <c r="C19" s="7">
        <f>SUM(C16:C18)</f>
        <v/>
      </c>
      <c r="E19" s="7">
        <f>SUM(E16:E18)</f>
        <v/>
      </c>
    </row>
    <row r="20">
      <c r="A20" s="6" t="inlineStr">
        <is>
          <t>Add: net cash</t>
        </is>
      </c>
      <c r="E20" s="18">
        <f>B7</f>
        <v/>
      </c>
    </row>
    <row r="21">
      <c r="A21" s="21" t="inlineStr">
        <is>
          <t>SOTP value per share ($)</t>
        </is>
      </c>
      <c r="E21" s="22">
        <f>(E19+E20)/B6</f>
        <v/>
      </c>
    </row>
    <row r="23">
      <c r="A23" s="3" t="inlineStr">
        <is>
          <t>METHOD 2 — FCFF DCF (the capex question)</t>
        </is>
      </c>
    </row>
    <row r="24">
      <c r="A24" s="12" t="inlineStr">
        <is>
          <t>$m</t>
        </is>
      </c>
      <c r="B24" s="13" t="inlineStr">
        <is>
          <t>FY2027E</t>
        </is>
      </c>
      <c r="C24" s="13" t="inlineStr">
        <is>
          <t>FY2028E</t>
        </is>
      </c>
      <c r="D24" s="13" t="inlineStr">
        <is>
          <t>FY2029E</t>
        </is>
      </c>
      <c r="E24" s="13" t="inlineStr">
        <is>
          <t>FY2030E</t>
        </is>
      </c>
      <c r="F24" s="13" t="inlineStr">
        <is>
          <t>FY2031E</t>
        </is>
      </c>
    </row>
    <row r="25">
      <c r="A25" s="6" t="inlineStr">
        <is>
          <t>Operating cash flow</t>
        </is>
      </c>
      <c r="B25" s="23" t="n">
        <v>220000</v>
      </c>
      <c r="C25" s="23" t="n">
        <v>262000</v>
      </c>
      <c r="D25" s="23" t="n">
        <v>305000</v>
      </c>
      <c r="E25" s="23" t="n">
        <v>350000</v>
      </c>
      <c r="F25" s="23" t="n">
        <v>395000</v>
      </c>
    </row>
    <row r="26">
      <c r="A26" s="6" t="inlineStr">
        <is>
          <t>Capital expenditure</t>
        </is>
      </c>
      <c r="B26" s="23" t="n">
        <v>-165000</v>
      </c>
      <c r="C26" s="23" t="n">
        <v>-175000</v>
      </c>
      <c r="D26" s="23" t="n">
        <v>-180000</v>
      </c>
      <c r="E26" s="23" t="n">
        <v>-182000</v>
      </c>
      <c r="F26" s="23" t="n">
        <v>-185000</v>
      </c>
    </row>
    <row r="27">
      <c r="A27" s="20" t="inlineStr">
        <is>
          <t>Free cash flow</t>
        </is>
      </c>
      <c r="B27" s="7">
        <f>B25+B26</f>
        <v/>
      </c>
      <c r="C27" s="7">
        <f>C25+C26</f>
        <v/>
      </c>
      <c r="D27" s="7">
        <f>D25+D26</f>
        <v/>
      </c>
      <c r="E27" s="7">
        <f>E25+E26</f>
        <v/>
      </c>
      <c r="F27" s="7">
        <f>F25+F26</f>
        <v/>
      </c>
    </row>
    <row r="28">
      <c r="A28" s="6" t="inlineStr">
        <is>
          <t>Discount factor @ WACC</t>
        </is>
      </c>
      <c r="B28" s="24">
        <f>1/(1+$B$9)^1</f>
        <v/>
      </c>
      <c r="C28" s="24">
        <f>1/(1+$B$9)^2</f>
        <v/>
      </c>
      <c r="D28" s="24">
        <f>1/(1+$B$9)^3</f>
        <v/>
      </c>
      <c r="E28" s="24">
        <f>1/(1+$B$9)^4</f>
        <v/>
      </c>
      <c r="F28" s="24">
        <f>1/(1+$B$9)^5</f>
        <v/>
      </c>
    </row>
    <row r="29">
      <c r="A29" s="6" t="inlineStr">
        <is>
          <t>PV of free cash flow</t>
        </is>
      </c>
      <c r="B29" s="18">
        <f>B27*B28</f>
        <v/>
      </c>
      <c r="C29" s="18">
        <f>C27*C28</f>
        <v/>
      </c>
      <c r="D29" s="18">
        <f>D27*D28</f>
        <v/>
      </c>
      <c r="E29" s="18">
        <f>E27*E28</f>
        <v/>
      </c>
      <c r="F29" s="18">
        <f>F27*F28</f>
        <v/>
      </c>
    </row>
    <row r="31">
      <c r="A31" s="6" t="inlineStr">
        <is>
          <t>Sum of PV (explicit period)</t>
        </is>
      </c>
      <c r="B31" s="18">
        <f>SUM(B29:F29)</f>
        <v/>
      </c>
    </row>
    <row r="32">
      <c r="A32" s="6" t="inlineStr">
        <is>
          <t>Terminal value (Gordon, g=4%)</t>
        </is>
      </c>
      <c r="B32" s="18">
        <f>F27*(1+B10)/(B9-B10)</f>
        <v/>
      </c>
    </row>
    <row r="33">
      <c r="A33" s="6" t="inlineStr">
        <is>
          <t>PV of terminal value</t>
        </is>
      </c>
      <c r="B33" s="18">
        <f>B32*F28</f>
        <v/>
      </c>
    </row>
    <row r="34">
      <c r="A34" s="20" t="inlineStr">
        <is>
          <t>Enterprise value</t>
        </is>
      </c>
      <c r="B34" s="18">
        <f>B31+B33</f>
        <v/>
      </c>
    </row>
    <row r="35">
      <c r="A35" s="21" t="inlineStr">
        <is>
          <t>DCF value per share ($)</t>
        </is>
      </c>
      <c r="B35" s="22">
        <f>(B34+B7)/B6</f>
        <v/>
      </c>
    </row>
    <row r="37">
      <c r="A37" s="3" t="inlineStr">
        <is>
          <t>METHOD 3 — FORWARD P/E (relative)</t>
        </is>
      </c>
    </row>
    <row r="38">
      <c r="A38" s="6" t="inlineStr">
        <is>
          <t>Justified forward multiple (x)</t>
        </is>
      </c>
      <c r="B38" s="19" t="n">
        <v>26</v>
      </c>
    </row>
    <row r="39">
      <c r="A39" s="6" t="inlineStr">
        <is>
          <t>× FY2027E EPS ($)</t>
        </is>
      </c>
      <c r="B39" s="25">
        <f>B8</f>
        <v/>
      </c>
    </row>
    <row r="40">
      <c r="A40" s="21" t="inlineStr">
        <is>
          <t>Relative value per share ($)</t>
        </is>
      </c>
      <c r="B40" s="22">
        <f>B38*B39</f>
        <v/>
      </c>
    </row>
    <row r="41">
      <c r="A41" s="14" t="inlineStr">
        <is>
          <t>Currently 25.1x forward. Traded 32–37x in FY2023–25; the multiple has already de-rated.</t>
        </is>
      </c>
    </row>
    <row r="43">
      <c r="A43" s="3" t="inlineStr">
        <is>
          <t>BLENDED VALUATION &amp; RATING</t>
        </is>
      </c>
    </row>
    <row r="44">
      <c r="A44" s="12" t="inlineStr">
        <is>
          <t>Method</t>
        </is>
      </c>
      <c r="B44" s="13" t="inlineStr">
        <is>
          <t>Value/share ($)</t>
        </is>
      </c>
      <c r="C44" s="13" t="inlineStr">
        <is>
          <t>vs price</t>
        </is>
      </c>
      <c r="D44" s="13" t="inlineStr">
        <is>
          <t>Weight</t>
        </is>
      </c>
    </row>
    <row r="45">
      <c r="A45" s="6" t="inlineStr">
        <is>
          <t>Segment sum-of-the-parts</t>
        </is>
      </c>
      <c r="B45" s="18">
        <f>E21</f>
        <v/>
      </c>
      <c r="C45" s="26">
        <f>B45/B5-1</f>
        <v/>
      </c>
      <c r="D45" s="27" t="n">
        <v>0.4</v>
      </c>
    </row>
    <row r="46">
      <c r="A46" s="6" t="inlineStr">
        <is>
          <t>FCFF DCF</t>
        </is>
      </c>
      <c r="B46" s="18">
        <f>B35</f>
        <v/>
      </c>
      <c r="C46" s="26">
        <f>B46/B5-1</f>
        <v/>
      </c>
      <c r="D46" s="27" t="n">
        <v>0.3</v>
      </c>
    </row>
    <row r="47">
      <c r="A47" s="6" t="inlineStr">
        <is>
          <t>Forward P/E</t>
        </is>
      </c>
      <c r="B47" s="18">
        <f>B40</f>
        <v/>
      </c>
      <c r="C47" s="26">
        <f>B47/B5-1</f>
        <v/>
      </c>
      <c r="D47" s="27" t="n">
        <v>0.3</v>
      </c>
    </row>
    <row r="49">
      <c r="A49" s="28" t="inlineStr">
        <is>
          <t>Blended fair value ($)</t>
        </is>
      </c>
      <c r="B49" s="29">
        <f>SUMPRODUCT(B45:B47,D45:D47)</f>
        <v/>
      </c>
    </row>
    <row r="50">
      <c r="A50" s="6" t="inlineStr">
        <is>
          <t>Upside / (downside)</t>
        </is>
      </c>
      <c r="B50" s="26">
        <f>B49/B5-1</f>
        <v/>
      </c>
    </row>
    <row r="51">
      <c r="A51" s="6" t="inlineStr">
        <is>
          <t>Add: dividend yield</t>
        </is>
      </c>
      <c r="B51" s="30">
        <f>B12</f>
        <v/>
      </c>
    </row>
    <row r="52">
      <c r="A52" s="20" t="inlineStr">
        <is>
          <t>Total expected return</t>
        </is>
      </c>
      <c r="B52" s="26">
        <f>B50+B51</f>
        <v/>
      </c>
    </row>
    <row r="53">
      <c r="A53" s="6" t="inlineStr">
        <is>
          <t>Cost of equity (RF + 5.5% ERP)</t>
        </is>
      </c>
      <c r="B53" s="26">
        <f>B11+0.055</f>
        <v/>
      </c>
    </row>
    <row r="54">
      <c r="A54" s="28" t="inlineStr">
        <is>
          <t>Rating</t>
        </is>
      </c>
      <c r="B54" s="31">
        <f>IF(B52&gt;B53,"BUY",IF(B52&gt;B11+0.02,"ACCUMULATE",IF(B52&gt;0,"HOLD","REDUCE")))</f>
        <v/>
      </c>
    </row>
    <row r="56" ht="42" customHeight="1">
      <c r="A56" s="15" t="inlineStr">
        <is>
          <t>Rating bands are anchored to the US risk-free rate (10-yr Treasury 4.62%): BUY above the ~10.1% cost of equity, ACCUMULATE above risk-free +2pp, HOLD between zero and risk-free, REDUCE below zero. The Street's average target of ~$561 (Strong Buy, 56 analysts) implies ~15% upside — it requires the DCF to be wrong about the capex.</t>
        </is>
      </c>
    </row>
  </sheetData>
  <mergeCells count="9">
    <mergeCell ref="A14:G14"/>
    <mergeCell ref="A1:G1"/>
    <mergeCell ref="A56:G56"/>
    <mergeCell ref="A4:G4"/>
    <mergeCell ref="A2:G2"/>
    <mergeCell ref="A43:G43"/>
    <mergeCell ref="A41:G41"/>
    <mergeCell ref="A37:G37"/>
    <mergeCell ref="A23:G23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2" t="inlineStr">
        <is>
          <t>Microsoft — Income Statement ($m)</t>
        </is>
      </c>
    </row>
    <row r="3">
      <c r="A3" s="12" t="inlineStr">
        <is>
          <t>$ millions</t>
        </is>
      </c>
      <c r="B3" s="13" t="inlineStr">
        <is>
          <t>FY2022</t>
        </is>
      </c>
      <c r="C3" s="13" t="inlineStr">
        <is>
          <t>FY2023</t>
        </is>
      </c>
      <c r="D3" s="13" t="inlineStr">
        <is>
          <t>FY2024</t>
        </is>
      </c>
      <c r="E3" s="13" t="inlineStr">
        <is>
          <t>FY2025</t>
        </is>
      </c>
      <c r="F3" s="13" t="inlineStr">
        <is>
          <t>FY2026</t>
        </is>
      </c>
    </row>
    <row r="4">
      <c r="A4" s="3" t="inlineStr">
        <is>
          <t>REVENUE &amp; PROFIT</t>
        </is>
      </c>
    </row>
    <row r="5">
      <c r="A5" s="20" t="inlineStr">
        <is>
          <t>Revenue</t>
        </is>
      </c>
      <c r="B5" s="7" t="n">
        <v>198270</v>
      </c>
      <c r="C5" s="7" t="n">
        <v>211915</v>
      </c>
      <c r="D5" s="7" t="n">
        <v>245122</v>
      </c>
      <c r="E5" s="7" t="n">
        <v>281724</v>
      </c>
      <c r="F5" s="7" t="n">
        <v>331839</v>
      </c>
    </row>
    <row r="6">
      <c r="A6" s="4" t="inlineStr">
        <is>
          <t>Revenue growth (%)</t>
        </is>
      </c>
      <c r="B6" s="33" t="n">
        <v>18</v>
      </c>
      <c r="C6" s="33" t="n">
        <v>6.9</v>
      </c>
      <c r="D6" s="33" t="n">
        <v>15.7</v>
      </c>
      <c r="E6" s="33" t="n">
        <v>14.9</v>
      </c>
      <c r="F6" s="33" t="n">
        <v>17.8</v>
      </c>
    </row>
    <row r="7">
      <c r="A7" s="6" t="inlineStr">
        <is>
          <t>Gross profit</t>
        </is>
      </c>
      <c r="B7" s="23" t="n">
        <v>135620</v>
      </c>
      <c r="C7" s="23" t="n">
        <v>146052</v>
      </c>
      <c r="D7" s="23" t="n">
        <v>171008</v>
      </c>
      <c r="E7" s="23" t="n">
        <v>193893</v>
      </c>
      <c r="F7" s="23" t="n">
        <v>225465</v>
      </c>
    </row>
    <row r="8">
      <c r="A8" s="4" t="inlineStr">
        <is>
          <t>Gross margin (%)</t>
        </is>
      </c>
      <c r="B8" s="33" t="n">
        <v>68.40000000000001</v>
      </c>
      <c r="C8" s="33" t="n">
        <v>68.90000000000001</v>
      </c>
      <c r="D8" s="33" t="n">
        <v>69.8</v>
      </c>
      <c r="E8" s="33" t="n">
        <v>68.8</v>
      </c>
      <c r="F8" s="33" t="n">
        <v>67.90000000000001</v>
      </c>
    </row>
    <row r="9">
      <c r="A9" s="20" t="inlineStr">
        <is>
          <t>Operating income</t>
        </is>
      </c>
      <c r="B9" s="7" t="n">
        <v>83383</v>
      </c>
      <c r="C9" s="7" t="n">
        <v>88523</v>
      </c>
      <c r="D9" s="7" t="n">
        <v>109433</v>
      </c>
      <c r="E9" s="7" t="n">
        <v>128528</v>
      </c>
      <c r="F9" s="7" t="n">
        <v>155237</v>
      </c>
    </row>
    <row r="10">
      <c r="A10" s="4" t="inlineStr">
        <is>
          <t>Operating margin (%)</t>
        </is>
      </c>
      <c r="B10" s="33" t="n">
        <v>42.1</v>
      </c>
      <c r="C10" s="33" t="n">
        <v>41.8</v>
      </c>
      <c r="D10" s="33" t="n">
        <v>44.6</v>
      </c>
      <c r="E10" s="33" t="n">
        <v>45.6</v>
      </c>
      <c r="F10" s="33" t="n">
        <v>46.8</v>
      </c>
    </row>
    <row r="11">
      <c r="A11" s="20" t="inlineStr">
        <is>
          <t>Net income</t>
        </is>
      </c>
      <c r="B11" s="7" t="n">
        <v>72738</v>
      </c>
      <c r="C11" s="7" t="n">
        <v>72361</v>
      </c>
      <c r="D11" s="7" t="n">
        <v>88136</v>
      </c>
      <c r="E11" s="7" t="n">
        <v>101832</v>
      </c>
      <c r="F11" s="7" t="n">
        <v>133749</v>
      </c>
    </row>
    <row r="12">
      <c r="A12" s="4" t="inlineStr">
        <is>
          <t>Net margin (%)</t>
        </is>
      </c>
      <c r="B12" s="33" t="n">
        <v>36.7</v>
      </c>
      <c r="C12" s="33" t="n">
        <v>34.2</v>
      </c>
      <c r="D12" s="33" t="n">
        <v>36</v>
      </c>
      <c r="E12" s="33" t="n">
        <v>36.2</v>
      </c>
      <c r="F12" s="33" t="n">
        <v>40.3</v>
      </c>
    </row>
    <row r="13">
      <c r="A13" s="20" t="inlineStr">
        <is>
          <t>Diluted EPS ($)</t>
        </is>
      </c>
      <c r="B13" s="7" t="n">
        <v>9.65</v>
      </c>
      <c r="C13" s="7" t="n">
        <v>9.68</v>
      </c>
      <c r="D13" s="7" t="n">
        <v>11.8</v>
      </c>
      <c r="E13" s="7" t="n">
        <v>13.64</v>
      </c>
      <c r="F13" s="7" t="n">
        <v>17.95</v>
      </c>
    </row>
    <row r="15" ht="32" customHeight="1">
      <c r="A15" s="15" t="inlineStr">
        <is>
          <t>FY2026 net income and EPS include $4,963m ($0.67/share) of net gains on the OpenAI investment. Excluding it, non-GAAP earnings grew 22% rather than the 32% GAAP headline — the distinction matters when setting a forward multiple.</t>
        </is>
      </c>
    </row>
  </sheetData>
  <mergeCells count="3">
    <mergeCell ref="A1:F1"/>
    <mergeCell ref="A4:F4"/>
    <mergeCell ref="A15:F15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2" t="inlineStr">
        <is>
          <t>Microsoft — Segments ($m)</t>
        </is>
      </c>
    </row>
    <row r="3">
      <c r="A3" s="12" t="inlineStr">
        <is>
          <t>$ millions</t>
        </is>
      </c>
      <c r="B3" s="13" t="inlineStr">
        <is>
          <t>FY2022</t>
        </is>
      </c>
      <c r="C3" s="13" t="inlineStr">
        <is>
          <t>FY2023</t>
        </is>
      </c>
      <c r="D3" s="13" t="inlineStr">
        <is>
          <t>FY2024</t>
        </is>
      </c>
      <c r="E3" s="13" t="inlineStr">
        <is>
          <t>FY2025</t>
        </is>
      </c>
      <c r="F3" s="13" t="inlineStr">
        <is>
          <t>FY2026</t>
        </is>
      </c>
    </row>
    <row r="4">
      <c r="A4" s="3" t="inlineStr">
        <is>
          <t>REVENUE BY SEGMENT</t>
        </is>
      </c>
    </row>
    <row r="5">
      <c r="A5" s="6" t="inlineStr">
        <is>
          <t>Productivity &amp; Business Processes</t>
        </is>
      </c>
      <c r="B5" s="23" t="n"/>
      <c r="C5" s="23" t="n">
        <v>94151</v>
      </c>
      <c r="D5" s="23" t="n">
        <v>106820</v>
      </c>
      <c r="E5" s="23" t="n">
        <v>120810</v>
      </c>
      <c r="F5" s="23" t="n">
        <v>139996</v>
      </c>
    </row>
    <row r="6">
      <c r="A6" s="4" t="inlineStr">
        <is>
          <t>Intelligent Cloud</t>
        </is>
      </c>
      <c r="B6" s="34" t="n"/>
      <c r="C6" s="34" t="n">
        <v>72944</v>
      </c>
      <c r="D6" s="34" t="n">
        <v>87464</v>
      </c>
      <c r="E6" s="34" t="n">
        <v>106265</v>
      </c>
      <c r="F6" s="34" t="n">
        <v>137791</v>
      </c>
    </row>
    <row r="7">
      <c r="A7" s="6" t="inlineStr">
        <is>
          <t>More Personal Computing</t>
        </is>
      </c>
      <c r="B7" s="23" t="n"/>
      <c r="C7" s="23" t="n">
        <v>44820</v>
      </c>
      <c r="D7" s="23" t="n">
        <v>50838</v>
      </c>
      <c r="E7" s="23" t="n">
        <v>54649</v>
      </c>
      <c r="F7" s="23" t="n">
        <v>54052</v>
      </c>
    </row>
    <row r="8">
      <c r="A8" s="20" t="inlineStr">
        <is>
          <t>Total revenue</t>
        </is>
      </c>
      <c r="B8" s="7" t="n"/>
      <c r="C8" s="7" t="n">
        <v>211915</v>
      </c>
      <c r="D8" s="7" t="n">
        <v>245122</v>
      </c>
      <c r="E8" s="7" t="n">
        <v>281724</v>
      </c>
      <c r="F8" s="7" t="n">
        <v>331839</v>
      </c>
    </row>
    <row r="10" ht="32" customHeight="1">
      <c r="A10" s="15" t="inlineStr">
        <is>
          <t>Intelligent Cloud is now the largest profit engine — FY2026 revenue of $137.8bn (+30%) with operating income of $57.0bn (+28%), and Azure alone passing $100bn. More Personal Computing shrank in FY2026, which is why it carries the lowest multiple in the sum-of-the-parts.</t>
        </is>
      </c>
    </row>
  </sheetData>
  <mergeCells count="3">
    <mergeCell ref="A1:F1"/>
    <mergeCell ref="A4:F4"/>
    <mergeCell ref="A10:F10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2" t="inlineStr">
        <is>
          <t>Microsoft — Cash Flow ($m)</t>
        </is>
      </c>
    </row>
    <row r="3">
      <c r="A3" s="12" t="inlineStr">
        <is>
          <t>$ millions</t>
        </is>
      </c>
      <c r="B3" s="13" t="inlineStr">
        <is>
          <t>FY2022</t>
        </is>
      </c>
      <c r="C3" s="13" t="inlineStr">
        <is>
          <t>FY2023</t>
        </is>
      </c>
      <c r="D3" s="13" t="inlineStr">
        <is>
          <t>FY2024</t>
        </is>
      </c>
      <c r="E3" s="13" t="inlineStr">
        <is>
          <t>FY2025</t>
        </is>
      </c>
      <c r="F3" s="13" t="inlineStr">
        <is>
          <t>FY2026</t>
        </is>
      </c>
    </row>
    <row r="4">
      <c r="A4" s="3" t="inlineStr">
        <is>
          <t>THE CAPEX QUESTION</t>
        </is>
      </c>
    </row>
    <row r="5">
      <c r="A5" s="20" t="inlineStr">
        <is>
          <t>Operating cash flow</t>
        </is>
      </c>
      <c r="B5" s="7" t="n">
        <v>89035</v>
      </c>
      <c r="C5" s="7" t="n">
        <v>87582</v>
      </c>
      <c r="D5" s="7" t="n">
        <v>118548</v>
      </c>
      <c r="E5" s="7" t="n">
        <v>136162</v>
      </c>
      <c r="F5" s="7" t="n">
        <v>182935</v>
      </c>
    </row>
    <row r="6">
      <c r="A6" s="4" t="inlineStr">
        <is>
          <t>Capital expenditure</t>
        </is>
      </c>
      <c r="B6" s="34" t="n">
        <v>-23886</v>
      </c>
      <c r="C6" s="34" t="n">
        <v>-28107</v>
      </c>
      <c r="D6" s="34" t="n">
        <v>-44477</v>
      </c>
      <c r="E6" s="34" t="n">
        <v>-64551</v>
      </c>
      <c r="F6" s="34" t="n">
        <v>-115948</v>
      </c>
    </row>
    <row r="7">
      <c r="A7" s="20" t="inlineStr">
        <is>
          <t>Free cash flow</t>
        </is>
      </c>
      <c r="B7" s="7" t="n">
        <v>65149</v>
      </c>
      <c r="C7" s="7" t="n">
        <v>59475</v>
      </c>
      <c r="D7" s="7" t="n">
        <v>74071</v>
      </c>
      <c r="E7" s="7" t="n">
        <v>71611</v>
      </c>
      <c r="F7" s="7" t="n">
        <v>66987</v>
      </c>
    </row>
    <row r="8">
      <c r="A8" s="4" t="inlineStr">
        <is>
          <t>FCF margin (%)</t>
        </is>
      </c>
      <c r="B8" s="33" t="n">
        <v>32.9</v>
      </c>
      <c r="C8" s="33" t="n">
        <v>28.1</v>
      </c>
      <c r="D8" s="33" t="n">
        <v>30.2</v>
      </c>
      <c r="E8" s="33" t="n">
        <v>25.4</v>
      </c>
      <c r="F8" s="33" t="n">
        <v>20.2</v>
      </c>
    </row>
    <row r="9">
      <c r="A9" s="6" t="inlineStr">
        <is>
          <t>Capex as % of revenue</t>
        </is>
      </c>
      <c r="B9" s="35" t="n">
        <v>12</v>
      </c>
      <c r="C9" s="35" t="n">
        <v>13.3</v>
      </c>
      <c r="D9" s="35" t="n">
        <v>18.1</v>
      </c>
      <c r="E9" s="35" t="n">
        <v>22.9</v>
      </c>
      <c r="F9" s="35" t="n">
        <v>34.9</v>
      </c>
    </row>
    <row r="11" ht="32" customHeight="1">
      <c r="A11" s="15" t="inlineStr">
        <is>
          <t>The single most important table in this model. Over five years revenue rose 67% and operating income 86%, yet free cash flow is essentially unchanged — $65.1bn in FY2022 against $67.0bn in FY2026 — because capital expenditure has risen almost fivefold to $115.9bn, or 35% of revenue. Every dollar of incremental operating cash flow has so far been reinvested rather than returned.</t>
        </is>
      </c>
    </row>
  </sheetData>
  <mergeCells count="3">
    <mergeCell ref="A11:F11"/>
    <mergeCell ref="A1:F1"/>
    <mergeCell ref="A4:F4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2" t="inlineStr">
        <is>
          <t>Microsoft — Balance Sheet &amp; Ratios ($m)</t>
        </is>
      </c>
    </row>
    <row r="3">
      <c r="A3" s="12" t="inlineStr">
        <is>
          <t>$ millions</t>
        </is>
      </c>
      <c r="B3" s="13" t="inlineStr">
        <is>
          <t>FY2022</t>
        </is>
      </c>
      <c r="C3" s="13" t="inlineStr">
        <is>
          <t>FY2023</t>
        </is>
      </c>
      <c r="D3" s="13" t="inlineStr">
        <is>
          <t>FY2024</t>
        </is>
      </c>
      <c r="E3" s="13" t="inlineStr">
        <is>
          <t>FY2025</t>
        </is>
      </c>
      <c r="F3" s="13" t="inlineStr">
        <is>
          <t>FY2026</t>
        </is>
      </c>
    </row>
    <row r="4">
      <c r="A4" s="3" t="inlineStr">
        <is>
          <t>BALANCE SHEET</t>
        </is>
      </c>
    </row>
    <row r="5">
      <c r="A5" s="6" t="inlineStr">
        <is>
          <t>Cash &amp; investments</t>
        </is>
      </c>
      <c r="B5" s="23" t="n">
        <v>104757</v>
      </c>
      <c r="C5" s="23" t="n">
        <v>111262</v>
      </c>
      <c r="D5" s="23" t="n">
        <v>75543</v>
      </c>
      <c r="E5" s="23" t="n">
        <v>94565</v>
      </c>
      <c r="F5" s="23" t="n">
        <v>76843</v>
      </c>
    </row>
    <row r="6">
      <c r="A6" s="4" t="inlineStr">
        <is>
          <t>Total debt</t>
        </is>
      </c>
      <c r="B6" s="34" t="n">
        <v>61270</v>
      </c>
      <c r="C6" s="34" t="n">
        <v>59965</v>
      </c>
      <c r="D6" s="34" t="n">
        <v>67127</v>
      </c>
      <c r="E6" s="34" t="n">
        <v>60588</v>
      </c>
      <c r="F6" s="34" t="n">
        <v>56826</v>
      </c>
    </row>
    <row r="7">
      <c r="A7" s="20" t="inlineStr">
        <is>
          <t>Net cash</t>
        </is>
      </c>
      <c r="B7" s="7" t="n">
        <v>43487</v>
      </c>
      <c r="C7" s="7" t="n">
        <v>51297</v>
      </c>
      <c r="D7" s="7" t="n">
        <v>8416</v>
      </c>
      <c r="E7" s="7" t="n">
        <v>33977</v>
      </c>
      <c r="F7" s="7" t="n">
        <v>20017</v>
      </c>
    </row>
    <row r="8">
      <c r="A8" s="3" t="inlineStr">
        <is>
          <t>VALUATION HISTORY</t>
        </is>
      </c>
    </row>
    <row r="9">
      <c r="A9" s="6" t="inlineStr">
        <is>
          <t>Trailing P/E (x)</t>
        </is>
      </c>
      <c r="B9" s="23" t="n">
        <v>26.6</v>
      </c>
      <c r="C9" s="23" t="n">
        <v>35.2</v>
      </c>
      <c r="D9" s="23" t="n">
        <v>37.9</v>
      </c>
      <c r="E9" s="23" t="n">
        <v>36.5</v>
      </c>
      <c r="F9" s="23" t="n">
        <v>20.8</v>
      </c>
    </row>
    <row r="10">
      <c r="A10" s="4" t="inlineStr">
        <is>
          <t>Forward P/E (x)</t>
        </is>
      </c>
      <c r="B10" s="34" t="n">
        <v>25.3</v>
      </c>
      <c r="C10" s="34" t="n">
        <v>32.4</v>
      </c>
      <c r="D10" s="34" t="n">
        <v>35.4</v>
      </c>
      <c r="E10" s="34" t="n">
        <v>34.5</v>
      </c>
      <c r="F10" s="34" t="n">
        <v>20.1</v>
      </c>
    </row>
    <row r="11">
      <c r="A11" s="6" t="inlineStr">
        <is>
          <t>Price / FCF (x)</t>
        </is>
      </c>
      <c r="B11" s="23" t="n">
        <v>29.4</v>
      </c>
      <c r="C11" s="23" t="n">
        <v>42.6</v>
      </c>
      <c r="D11" s="23" t="n">
        <v>44.9</v>
      </c>
      <c r="E11" s="23" t="n">
        <v>51.6</v>
      </c>
      <c r="F11" s="23" t="n">
        <v>41.4</v>
      </c>
    </row>
    <row r="13" ht="32" customHeight="1">
      <c r="A13" s="15" t="inlineStr">
        <is>
          <t>Net cash has fallen 41% in a year, from $34.0bn to $20.0bn, as the capex programme absorbs the balance sheet. Note also the divergence between the P/E and the price-to-free-cash-flow multiple: on earnings the stock looks cheaper than at any point since FY2022, but on free cash flow it does not.</t>
        </is>
      </c>
    </row>
  </sheetData>
  <mergeCells count="4">
    <mergeCell ref="A8:F8"/>
    <mergeCell ref="A13:F13"/>
    <mergeCell ref="A1:F1"/>
    <mergeCell ref="A4:F4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2" t="inlineStr">
        <is>
          <t>Microsoft — Comparable Companies</t>
        </is>
      </c>
    </row>
    <row r="3">
      <c r="A3" s="12" t="inlineStr">
        <is>
          <t>Company</t>
        </is>
      </c>
      <c r="B3" s="13" t="inlineStr">
        <is>
          <t>Fwd P/E (x)</t>
        </is>
      </c>
      <c r="C3" s="13" t="inlineStr">
        <is>
          <t>Rating (this desk)</t>
        </is>
      </c>
      <c r="D3" s="13" t="inlineStr">
        <is>
          <t>Fair value</t>
        </is>
      </c>
      <c r="E3" s="13" t="inlineStr">
        <is>
          <t>Note</t>
        </is>
      </c>
    </row>
    <row r="4">
      <c r="A4" s="36" t="inlineStr">
        <is>
          <t>Microsoft (MSFT)</t>
        </is>
      </c>
      <c r="B4" s="37" t="inlineStr">
        <is>
          <t>25.1</t>
        </is>
      </c>
      <c r="C4" s="37" t="inlineStr">
        <is>
          <t>—</t>
        </is>
      </c>
      <c r="D4" s="37" t="inlineStr">
        <is>
          <t>—</t>
        </is>
      </c>
      <c r="E4" s="38" t="inlineStr">
        <is>
          <t>Subject company</t>
        </is>
      </c>
    </row>
    <row r="5">
      <c r="A5" s="6" t="inlineStr">
        <is>
          <t>Alphabet (GOOGL)</t>
        </is>
      </c>
      <c r="B5" s="39" t="inlineStr">
        <is>
          <t>~30.5</t>
        </is>
      </c>
      <c r="C5" s="39" t="inlineStr">
        <is>
          <t>HOLD</t>
        </is>
      </c>
      <c r="D5" s="39" t="inlineStr">
        <is>
          <t>$384</t>
        </is>
      </c>
      <c r="E5" s="14" t="inlineStr">
        <is>
          <t>Cloud +82%, but FCF now NEGATIVE</t>
        </is>
      </c>
    </row>
    <row r="6">
      <c r="A6" s="4" t="inlineStr">
        <is>
          <t>Amazon (AMZN)</t>
        </is>
      </c>
      <c r="B6" s="37" t="inlineStr">
        <is>
          <t>~29</t>
        </is>
      </c>
      <c r="C6" s="37" t="inlineStr">
        <is>
          <t>BUY</t>
        </is>
      </c>
      <c r="D6" s="37" t="inlineStr">
        <is>
          <t>$275</t>
        </is>
      </c>
      <c r="E6" s="38" t="inlineStr">
        <is>
          <t>AWS + ads; ~$200bn CY26 capex</t>
        </is>
      </c>
    </row>
    <row r="7">
      <c r="A7" s="6" t="inlineStr">
        <is>
          <t>Apple (AAPL)</t>
        </is>
      </c>
      <c r="B7" s="39" t="inlineStr">
        <is>
          <t>~38</t>
        </is>
      </c>
      <c r="C7" s="39" t="inlineStr">
        <is>
          <t>HOLD</t>
        </is>
      </c>
      <c r="D7" s="39" t="inlineStr">
        <is>
          <t>$302</t>
        </is>
      </c>
      <c r="E7" s="14" t="inlineStr">
        <is>
          <t>Premium multiple, slower growth</t>
        </is>
      </c>
    </row>
    <row r="9" ht="56" customHeight="1">
      <c r="A9" s="15" t="inlineStr">
        <is>
          <t>Cross-reference: this desk now rates Alphabet HOLD ($384) too, downgraded from BUY after Q2 2026 — Google Cloud grew 82% but free cash flow turned negative at −$5.9bn on capex of $44.9bn in the quarter, and 2026 guidance was RAISED to $195–205bn. Microsoft is the cheapest of the three on forward earnings, and carries the highest capex intensity (~49% of revenue on CY2026 guidance, against ~42% for Alphabet and ~25% for Amazon) — but it is the only one of the three to have CUT its guidance. That asymmetry is why Microsoft is a HOLD rather than a REDUCE.</t>
        </is>
      </c>
    </row>
  </sheetData>
  <mergeCells count="2">
    <mergeCell ref="A1:F1"/>
    <mergeCell ref="A9:F9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2026-08-05T18:02:14Z</dcterms:created>
  <dcterms:modified xmlns:dcterms="http://purl.org/dc/terms/" xmlns:xsi="http://www.w3.org/2001/XMLSchema-instance" xsi:type="dcterms:W3CDTF">2026-08-05T18:31:36Z</dcterms:modified>
</cp:coreProperties>
</file>