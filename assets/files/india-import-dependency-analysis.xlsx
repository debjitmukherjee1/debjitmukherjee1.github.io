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bjitmukherjee/Desktop/"/>
    </mc:Choice>
  </mc:AlternateContent>
  <xr:revisionPtr revIDLastSave="0" documentId="13_ncr:1_{94728004-A952-B149-9440-F9E307F4AB6A}" xr6:coauthVersionLast="47" xr6:coauthVersionMax="47" xr10:uidLastSave="{00000000-0000-0000-0000-000000000000}"/>
  <bookViews>
    <workbookView xWindow="0" yWindow="660" windowWidth="29400" windowHeight="17380" activeTab="4" xr2:uid="{00000000-000D-0000-FFFF-FFFF00000000}"/>
  </bookViews>
  <sheets>
    <sheet name="Overview &amp; Navigation" sheetId="1" r:id="rId1"/>
    <sheet name="Sector Summary" sheetId="2" r:id="rId2"/>
    <sheet name="Country Dependency Matrix" sheetId="3" r:id="rId3"/>
    <sheet name="Import Substitution" sheetId="4" r:id="rId4"/>
    <sheet name="Trend Analysis" sheetId="5" r:id="rId5"/>
    <sheet name="Charts" sheetId="6" r:id="rId6"/>
    <sheet name="Dependency Heatm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7" l="1"/>
  <c r="G14" i="7"/>
  <c r="G13" i="7"/>
  <c r="G12" i="7"/>
  <c r="G11" i="7"/>
  <c r="G10" i="7"/>
  <c r="G9" i="7"/>
  <c r="G8" i="7"/>
  <c r="G7" i="7"/>
  <c r="G6" i="7"/>
  <c r="J45" i="5" l="1"/>
  <c r="J40" i="5"/>
  <c r="J44" i="5"/>
  <c r="J42" i="5"/>
  <c r="J41" i="5"/>
  <c r="J43" i="5"/>
</calcChain>
</file>

<file path=xl/sharedStrings.xml><?xml version="1.0" encoding="utf-8"?>
<sst xmlns="http://schemas.openxmlformats.org/spreadsheetml/2006/main" count="351" uniqueCount="250">
  <si>
    <t>INDIA IMPORT DEPENDENCY ANALYSIS</t>
  </si>
  <si>
    <t>Sectoral Analysis of India's Foreign Import Dependency | FY 2024-25 | Sources: DPIIT, PIB, SIPRI, ICRA, IEEFA</t>
  </si>
  <si>
    <t>$678.7 Bn</t>
  </si>
  <si>
    <t>$241.3 Bn</t>
  </si>
  <si>
    <t>$113.5 Bn</t>
  </si>
  <si>
    <t>Total Merchandise Imports FY25</t>
  </si>
  <si>
    <t>Trade Deficit FY25</t>
  </si>
  <si>
    <t>Imports from China FY25</t>
  </si>
  <si>
    <t>Dependency: Lithium, Cobalt, Ni</t>
  </si>
  <si>
    <t>Global Arms Import Share</t>
  </si>
  <si>
    <t>WORKBOOK CONTENTS — NAVIGATE TO:</t>
  </si>
  <si>
    <t>→  Sector Summary</t>
  </si>
  <si>
    <t>Sector-wise import values, dependency levels, and risk ratings</t>
  </si>
  <si>
    <t>→  Country Dependency Matrix</t>
  </si>
  <si>
    <t>Source-country exposure across all sectors including China heatmap</t>
  </si>
  <si>
    <t>→  Import Substitution</t>
  </si>
  <si>
    <t>PLI opportunities, domestic capability, and investment potential by sector</t>
  </si>
  <si>
    <t>→  Trend Analysis</t>
  </si>
  <si>
    <t>Year-wise import trend data from FY16 to FY26 with CAGR charts</t>
  </si>
  <si>
    <t>→  Charts</t>
  </si>
  <si>
    <t>Pie chart of sector imports &amp; top supplier country bar chart</t>
  </si>
  <si>
    <t>→  Dependency Heatmap</t>
  </si>
  <si>
    <t>Color-coded strategic vulnerability scoring across all 10 sectors</t>
  </si>
  <si>
    <t>Prepared for Academic Research | May 2026 | All values sourced from official government and international databases</t>
  </si>
  <si>
    <t>India Import Dependency — Sector Summary (FY 2024-25)</t>
  </si>
  <si>
    <t>Source: Ministry of Commerce &amp; Industry, SIPRI, PIB, ICRA, IEEFA | FY 2024-25 Data</t>
  </si>
  <si>
    <t>Sector</t>
  </si>
  <si>
    <t>Import Value (USD Bn)</t>
  </si>
  <si>
    <t>% of Total Imports*</t>
  </si>
  <si>
    <t>Top Supplier Country</t>
  </si>
  <si>
    <t>2nd Supplier</t>
  </si>
  <si>
    <t>Dependency Level</t>
  </si>
  <si>
    <t>Strategic Risk Level</t>
  </si>
  <si>
    <t>China Share (%)</t>
  </si>
  <si>
    <t>Energy &amp; Petroleum</t>
  </si>
  <si>
    <t>~32.5%</t>
  </si>
  <si>
    <t>Russia (35-36%)</t>
  </si>
  <si>
    <t>Iraq (18-20%)</t>
  </si>
  <si>
    <t>CRITICAL</t>
  </si>
  <si>
    <t>HIGH</t>
  </si>
  <si>
    <t>&lt; 2%</t>
  </si>
  <si>
    <t>Electronics &amp; Semiconductors</t>
  </si>
  <si>
    <t>~13.2%</t>
  </si>
  <si>
    <t>China (~44%)</t>
  </si>
  <si>
    <t>ASEAN (~15%)</t>
  </si>
  <si>
    <t>VERY HIGH</t>
  </si>
  <si>
    <t>Industrial Machinery &amp; Capital Goods</t>
  </si>
  <si>
    <t>~8.3%</t>
  </si>
  <si>
    <t>China (~30%)</t>
  </si>
  <si>
    <t>Germany (~12%)</t>
  </si>
  <si>
    <t>Precious Metals (Gold/Silver)</t>
  </si>
  <si>
    <t>~8.9%</t>
  </si>
  <si>
    <t>Switzerland (~40%)</t>
  </si>
  <si>
    <t>UAE (~16%)</t>
  </si>
  <si>
    <t>MEDIUM</t>
  </si>
  <si>
    <t>&lt; 3%</t>
  </si>
  <si>
    <t>Chemicals &amp; Pharma APIs</t>
  </si>
  <si>
    <t>~4.2%</t>
  </si>
  <si>
    <t>China (~73.7%)</t>
  </si>
  <si>
    <t>USA (~8%)</t>
  </si>
  <si>
    <t>Agriculture, Edible Oils &amp; Fertilizers</t>
  </si>
  <si>
    <t>~3.9%</t>
  </si>
  <si>
    <t>Indonesia (Palm)</t>
  </si>
  <si>
    <t>Russia/Argentina (Soy/SF)</t>
  </si>
  <si>
    <t>~10%</t>
  </si>
  <si>
    <t>Automotive &amp; EV Supply Chain</t>
  </si>
  <si>
    <t>~2.7%</t>
  </si>
  <si>
    <t>China (~40%)</t>
  </si>
  <si>
    <t>South Korea (~15%)</t>
  </si>
  <si>
    <t>Renewable Energy Components</t>
  </si>
  <si>
    <t>~0.9%</t>
  </si>
  <si>
    <t>China (~65%)</t>
  </si>
  <si>
    <t>Vietnam (~10%)</t>
  </si>
  <si>
    <t>Defense &amp; Aerospace</t>
  </si>
  <si>
    <t>~0.8%</t>
  </si>
  <si>
    <t>Russia (~36%)</t>
  </si>
  <si>
    <t>France (~28%)</t>
  </si>
  <si>
    <t>&lt; 1%</t>
  </si>
  <si>
    <t>Critical Minerals &amp; Metals</t>
  </si>
  <si>
    <t>~0.6%</t>
  </si>
  <si>
    <t>Australia/DRC</t>
  </si>
  <si>
    <t>Belgium (~27%)</t>
  </si>
  <si>
    <t>~23%</t>
  </si>
  <si>
    <t>*% of total merchandise imports (FY 2024-25 est. ~$678.7 Bn). Energy/Petroleum = crude + coal/coke combined.</t>
  </si>
  <si>
    <t>Generated: 2026-05-16 | Sources: DPIIT, PIB, SIPRI, ICRA, IEEFA, Ministry of Commerce</t>
  </si>
  <si>
    <t>India Import Dependency Matrix by Source Country (FY 2024-25)</t>
  </si>
  <si>
    <t>Values = Approx. % share of imports from that country for each sector | Source: UN Comtrade, DGFT, Ministry of Commerce</t>
  </si>
  <si>
    <t>China</t>
  </si>
  <si>
    <t>Russia / CIS</t>
  </si>
  <si>
    <t>Middle East</t>
  </si>
  <si>
    <t>Europe (incl. Switzerland)</t>
  </si>
  <si>
    <t>ASEAN / SE Asia</t>
  </si>
  <si>
    <t>Americas (USA/Brazil etc.)</t>
  </si>
  <si>
    <t>&lt;2%</t>
  </si>
  <si>
    <t>35-36%</t>
  </si>
  <si>
    <t>42-43%</t>
  </si>
  <si>
    <t>~3%</t>
  </si>
  <si>
    <t>~2%</t>
  </si>
  <si>
    <t>~5%</t>
  </si>
  <si>
    <t>~44%</t>
  </si>
  <si>
    <t>~0%</t>
  </si>
  <si>
    <t>~8%</t>
  </si>
  <si>
    <t>~20%</t>
  </si>
  <si>
    <t>Industrial Machinery</t>
  </si>
  <si>
    <t>~30%</t>
  </si>
  <si>
    <t>~1%</t>
  </si>
  <si>
    <t>~22%</t>
  </si>
  <si>
    <t>~16%</t>
  </si>
  <si>
    <t>~52%</t>
  </si>
  <si>
    <t>~73.7%</t>
  </si>
  <si>
    <t>~6%</t>
  </si>
  <si>
    <t>Edible Oils &amp; Fertilizers</t>
  </si>
  <si>
    <t>~12%</t>
  </si>
  <si>
    <t>~38%</t>
  </si>
  <si>
    <t>~15%</t>
  </si>
  <si>
    <t>Automotive &amp; EV Chain</t>
  </si>
  <si>
    <t>~40%</t>
  </si>
  <si>
    <t>~65%</t>
  </si>
  <si>
    <t>~18%</t>
  </si>
  <si>
    <t>&lt;1%</t>
  </si>
  <si>
    <t>~36%</t>
  </si>
  <si>
    <t>~37%</t>
  </si>
  <si>
    <t>Import Substitution Opportunities — Key Sectors</t>
  </si>
  <si>
    <t>Source: PIB, NITI Aayog, Make in India, PLI Scheme Reports 2024-25</t>
  </si>
  <si>
    <t>Key Imported Product</t>
  </si>
  <si>
    <t>Current Import Dependency</t>
  </si>
  <si>
    <t>Domestic Capability</t>
  </si>
  <si>
    <t>Investment Potential</t>
  </si>
  <si>
    <t>Govt Support / Scheme</t>
  </si>
  <si>
    <t>Timeline (Years)</t>
  </si>
  <si>
    <t>Semiconductor chips, displays, PCBs</t>
  </si>
  <si>
    <t>~44% from China; ~88% ICs from China</t>
  </si>
  <si>
    <t>Nascent — Micron, TATA fab in progress</t>
  </si>
  <si>
    <t>VERY HIGH — $50Bn+ market by 2030</t>
  </si>
  <si>
    <t>India Semiconductor Mission, PLI Electronics</t>
  </si>
  <si>
    <t>5–10</t>
  </si>
  <si>
    <t>Bulk APIs for antibiotics, oncology etc</t>
  </si>
  <si>
    <t>73.7% from China</t>
  </si>
  <si>
    <t>38 APIs under PLI domestic production</t>
  </si>
  <si>
    <t>HIGH — $8–10Bn substitution potential</t>
  </si>
  <si>
    <t>PLI Bulk Drugs (₹6,940 Cr), 3 Bulk Drug Parks</t>
  </si>
  <si>
    <t>3–7</t>
  </si>
  <si>
    <t>Renewable Energy (Solar)</t>
  </si>
  <si>
    <t>Solar cells, wafers, PV modules</t>
  </si>
  <si>
    <t>65% modules from China (down from 90%)</t>
  </si>
  <si>
    <t>Rapidly expanding — Waaree, Tata, Adani</t>
  </si>
  <si>
    <t>VERY HIGH — 500GW target by 2030</t>
  </si>
  <si>
    <t>PLI Solar PV, ALMM Mandate, Solar Parks</t>
  </si>
  <si>
    <t>2–5</t>
  </si>
  <si>
    <t>Automotive &amp; EV Batteries</t>
  </si>
  <si>
    <t>Li-ion battery cells, cathode materials</t>
  </si>
  <si>
    <t>~94% Li batteries from China</t>
  </si>
  <si>
    <t>10–20% battery pack localisation</t>
  </si>
  <si>
    <t>HIGH — EV market $200Bn by 2035</t>
  </si>
  <si>
    <t>PLI Advanced Cell Chemistry (ACC), FAME III</t>
  </si>
  <si>
    <t>Critical Minerals</t>
  </si>
  <si>
    <t>Lithium, cobalt, nickel, graphite</t>
  </si>
  <si>
    <t>100% import dep. for Li, Co, Ni</t>
  </si>
  <si>
    <t>KABIL overseas mining; zero domestic production</t>
  </si>
  <si>
    <t>CRITICAL — Long-term strategic</t>
  </si>
  <si>
    <t>NCMM (National Critical Mineral Mission 2025)</t>
  </si>
  <si>
    <t>10–15</t>
  </si>
  <si>
    <t>CNC machines, turbines, precision tools</t>
  </si>
  <si>
    <t>30% from China; 22% from Europe</t>
  </si>
  <si>
    <t>Moderate — medium-tech segments</t>
  </si>
  <si>
    <t>HIGH — capital goods market</t>
  </si>
  <si>
    <t>PLI Capital Goods (₹1,207 Cr), EPCG scheme</t>
  </si>
  <si>
    <t>5–8</t>
  </si>
  <si>
    <t>Edible Oils</t>
  </si>
  <si>
    <t>Palm oil, sunflower oil</t>
  </si>
  <si>
    <t>~60% of consumption imported</t>
  </si>
  <si>
    <t>Low — oilseed output insufficient</t>
  </si>
  <si>
    <t>MEDIUM — domestic agri expansion</t>
  </si>
  <si>
    <t>₹10,103 Cr National Mission on Edible Oils</t>
  </si>
  <si>
    <t>7–10</t>
  </si>
  <si>
    <t>Defense Aerospace</t>
  </si>
  <si>
    <t>Jet engines, radar, submarines, missiles</t>
  </si>
  <si>
    <t>36% Russia, 28% France</t>
  </si>
  <si>
    <t>Growing — DRDO, HAL, private sector</t>
  </si>
  <si>
    <t>HIGH — ₹1.72L Cr production FY24</t>
  </si>
  <si>
    <t>75% domestic procurement, SRIJAN Portal, iDEX</t>
  </si>
  <si>
    <t>7–15</t>
  </si>
  <si>
    <t>Telecom Equipment</t>
  </si>
  <si>
    <t>5G base stations, optical fiber, CPE</t>
  </si>
  <si>
    <t>Historically 90%+ China; now ~40%</t>
  </si>
  <si>
    <t>60% import sub achieved under PLI</t>
  </si>
  <si>
    <t>HIGH — Digital India backbone</t>
  </si>
  <si>
    <t>PLI Telecom &amp; Networking Products</t>
  </si>
  <si>
    <t>Notes: KABIL = Khanij Bidesh India Limited | ALMM = Approved List of Models &amp; Manufacturers | NCMM = National Critical Mineral Mission</t>
  </si>
  <si>
    <t>India Import Trend Analysis (FY 2015–16 to FY 2025–26)</t>
  </si>
  <si>
    <t>Source: Ministry of Commerce &amp; Industry, RBI, UN Comtrade | Values in USD Billion</t>
  </si>
  <si>
    <t>A. Total Merchandise Imports &amp; Trade Deficit</t>
  </si>
  <si>
    <t>Fiscal Year</t>
  </si>
  <si>
    <t>Total Imports (USD Bn)</t>
  </si>
  <si>
    <t>Exports (USD Bn)</t>
  </si>
  <si>
    <t>Trade Deficit (USD Bn)</t>
  </si>
  <si>
    <t>YoY Growth (%)</t>
  </si>
  <si>
    <t>FY 2015-16</t>
  </si>
  <si>
    <t>FY 2016-17</t>
  </si>
  <si>
    <t>FY 2017-18</t>
  </si>
  <si>
    <t>FY 2018-19</t>
  </si>
  <si>
    <t>FY 2019-20</t>
  </si>
  <si>
    <t>FY 2020-21</t>
  </si>
  <si>
    <t>FY 2021-22</t>
  </si>
  <si>
    <t>FY 2022-23</t>
  </si>
  <si>
    <t>FY 2023-24</t>
  </si>
  <si>
    <t>FY 2024-25</t>
  </si>
  <si>
    <t>FY 2025-26*</t>
  </si>
  <si>
    <t>*FY 2025-26 estimated | Source: PIB April 2025 data extrapolated</t>
  </si>
  <si>
    <t>B. Key Sector Import Trends (USD Bn)</t>
  </si>
  <si>
    <t>FY16</t>
  </si>
  <si>
    <t>FY18</t>
  </si>
  <si>
    <t>FY20</t>
  </si>
  <si>
    <t>FY22</t>
  </si>
  <si>
    <t>FY23</t>
  </si>
  <si>
    <t>FY24</t>
  </si>
  <si>
    <t>FY25</t>
  </si>
  <si>
    <t>CAGR (FY16–25)</t>
  </si>
  <si>
    <t>Electronics &amp; Semicon.</t>
  </si>
  <si>
    <t>Machinery &amp; Capital Goods</t>
  </si>
  <si>
    <t>Precious Metals</t>
  </si>
  <si>
    <t>Pharma &amp; Chemicals</t>
  </si>
  <si>
    <t>China Total Imports</t>
  </si>
  <si>
    <t>India Import Dependency — Visual Analytics</t>
  </si>
  <si>
    <t>Russia</t>
  </si>
  <si>
    <t>UAE</t>
  </si>
  <si>
    <t>USA</t>
  </si>
  <si>
    <t>Switzerland</t>
  </si>
  <si>
    <t>Agri &amp; Edible Oils</t>
  </si>
  <si>
    <t>Saudi Arabia</t>
  </si>
  <si>
    <t>Automotive &amp; EV</t>
  </si>
  <si>
    <t>Iraq</t>
  </si>
  <si>
    <t>Renewable Energy</t>
  </si>
  <si>
    <t>Indonesia</t>
  </si>
  <si>
    <t>Germany</t>
  </si>
  <si>
    <t>South Korea</t>
  </si>
  <si>
    <t>Others</t>
  </si>
  <si>
    <t>Strategic Dependency Heatmap — India's Import Vulnerability Index</t>
  </si>
  <si>
    <t>Scale: 1 (Low) → 5 (Critical) | Source: Ministry of Commerce, SIPRI, IEEFA, ICRA, PIB</t>
  </si>
  <si>
    <t>Supply Concentration</t>
  </si>
  <si>
    <t>China Exposure</t>
  </si>
  <si>
    <t>Strategic Sensitivity</t>
  </si>
  <si>
    <t>Domestic Alt. Availability</t>
  </si>
  <si>
    <t>Overall Risk Score</t>
  </si>
  <si>
    <t>Score Legend:</t>
  </si>
  <si>
    <t>1 = Low</t>
  </si>
  <si>
    <t>2 = Moderate</t>
  </si>
  <si>
    <t>3 = High</t>
  </si>
  <si>
    <t>4 = Very High</t>
  </si>
  <si>
    <t>5 =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</si>
</sst>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+0.0%;\-0.0%;\-"/>
    <numFmt numFmtId="166" formatCode="0.0%"/>
    <numFmt numFmtId="167" formatCode="0.0"/>
  </numFmts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14"/>
      <color rgb="FFFFFFFF"/>
      <name val="Calibri"/>
      <family val="2"/>
    </font>
    <font>
      <sz val="9"/>
      <color rgb="FFBDD7EE"/>
      <name val="Calibri"/>
      <family val="2"/>
    </font>
    <font>
      <b/>
      <u/>
      <sz val="10"/>
      <color rgb="FF70D5FF"/>
      <name val="Calibri"/>
      <family val="2"/>
    </font>
    <font>
      <i/>
      <sz val="9"/>
      <color rgb="FFBDD7EE"/>
      <name val="Calibri"/>
      <family val="2"/>
    </font>
    <font>
      <i/>
      <sz val="8"/>
      <color rgb="FF59595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63BE7B"/>
      </patternFill>
    </fill>
    <fill>
      <patternFill patternType="solid">
        <fgColor rgb="FF90EE90"/>
      </patternFill>
    </fill>
    <fill>
      <patternFill patternType="solid">
        <fgColor rgb="FFFFEB84"/>
      </patternFill>
    </fill>
    <fill>
      <patternFill patternType="solid">
        <fgColor rgb="FFF8696B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3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166" fontId="4" fillId="5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9" fontId="4" fillId="5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9" fontId="13" fillId="12" borderId="0" xfId="0" applyNumberFormat="1" applyFont="1" applyFill="1" applyAlignment="1">
      <alignment horizontal="center" vertical="center"/>
    </xf>
    <xf numFmtId="10" fontId="13" fillId="12" borderId="0" xfId="0" applyNumberFormat="1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/>
    </xf>
    <xf numFmtId="0" fontId="17" fillId="13" borderId="0" xfId="0" applyFont="1" applyFill="1"/>
    <xf numFmtId="0" fontId="12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China's Share in India's Sector Imports (%)</a:t>
            </a:r>
          </a:p>
        </c:rich>
      </c:tx>
      <c:layout>
        <c:manualLayout>
          <c:xMode val="edge"/>
          <c:yMode val="edge"/>
          <c:x val="0.31944151234567902"/>
          <c:y val="1.97095665668994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9197530864197534E-2"/>
          <c:y val="7.738831615120273E-2"/>
          <c:w val="0.64074444444444456"/>
          <c:h val="0.86381531980933379"/>
        </c:manualLayout>
      </c:layout>
      <c:barChart>
        <c:barDir val="bar"/>
        <c:grouping val="clustered"/>
        <c:varyColors val="1"/>
        <c:ser>
          <c:idx val="0"/>
          <c:order val="0"/>
          <c:tx>
            <c:v>China Share %</c:v>
          </c:tx>
          <c:spPr>
            <a:ln>
              <a:prstDash val="solid"/>
            </a:ln>
          </c:spPr>
          <c:invertIfNegative val="1"/>
          <c:cat>
            <c:strRef>
              <c:f>'Country Dependency Matrix'!$B$20:$B$29</c:f>
              <c:strCache>
                <c:ptCount val="10"/>
                <c:pt idx="0">
                  <c:v>Energy &amp; Petroleum</c:v>
                </c:pt>
                <c:pt idx="1">
                  <c:v>Electronics &amp; Semiconductors</c:v>
                </c:pt>
                <c:pt idx="2">
                  <c:v>Industrial Machinery</c:v>
                </c:pt>
                <c:pt idx="3">
                  <c:v>Precious Metals (Gold/Silver)</c:v>
                </c:pt>
                <c:pt idx="4">
                  <c:v>Chemicals &amp; Pharma APIs</c:v>
                </c:pt>
                <c:pt idx="5">
                  <c:v>Edible Oils &amp; Fertilizers</c:v>
                </c:pt>
                <c:pt idx="6">
                  <c:v>Automotive &amp; EV Chain</c:v>
                </c:pt>
                <c:pt idx="7">
                  <c:v>Renewable Energy Components</c:v>
                </c:pt>
                <c:pt idx="8">
                  <c:v>Defense &amp; Aerospace</c:v>
                </c:pt>
                <c:pt idx="9">
                  <c:v>Critical Minerals &amp; Metals</c:v>
                </c:pt>
              </c:strCache>
            </c:strRef>
          </c:cat>
          <c:val>
            <c:numRef>
              <c:f>'Country Dependency Matrix'!$C$20:$C$29</c:f>
              <c:numCache>
                <c:formatCode>General</c:formatCode>
                <c:ptCount val="10"/>
                <c:pt idx="0">
                  <c:v>2</c:v>
                </c:pt>
                <c:pt idx="1">
                  <c:v>44</c:v>
                </c:pt>
                <c:pt idx="2">
                  <c:v>30</c:v>
                </c:pt>
                <c:pt idx="3">
                  <c:v>2</c:v>
                </c:pt>
                <c:pt idx="4">
                  <c:v>73.7</c:v>
                </c:pt>
                <c:pt idx="5">
                  <c:v>10</c:v>
                </c:pt>
                <c:pt idx="6">
                  <c:v>40</c:v>
                </c:pt>
                <c:pt idx="7">
                  <c:v>65</c:v>
                </c:pt>
                <c:pt idx="8">
                  <c:v>1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A-924B-BE63-BBBE6FCDB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China Share (%)</a:t>
                </a:r>
              </a:p>
            </c:rich>
          </c:tx>
          <c:layout>
            <c:manualLayout>
              <c:xMode val="edge"/>
              <c:yMode val="edge"/>
              <c:x val="1.9598765432098765E-3"/>
              <c:y val="0.3896539351851852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Sector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India Total Imports &amp; Trade Deficit Trend (FY 2015–2026)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5242851222544546E-2"/>
          <c:y val="8.6021505376344093E-2"/>
          <c:w val="0.75329268545379191"/>
          <c:h val="0.86290322580645151"/>
        </c:manualLayout>
      </c:layout>
      <c:lineChart>
        <c:grouping val="standard"/>
        <c:varyColors val="1"/>
        <c:ser>
          <c:idx val="0"/>
          <c:order val="0"/>
          <c:tx>
            <c:strRef>
              <c:f>'Trend Analysis'!$C$6</c:f>
              <c:strCache>
                <c:ptCount val="1"/>
                <c:pt idx="0">
                  <c:v>Total Imports (USD Bn)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'Trend Analysis'!$B$7:$B$17</c:f>
              <c:strCache>
                <c:ptCount val="11"/>
                <c:pt idx="0">
                  <c:v>FY 2015-16</c:v>
                </c:pt>
                <c:pt idx="1">
                  <c:v>FY 2016-17</c:v>
                </c:pt>
                <c:pt idx="2">
                  <c:v>FY 2017-18</c:v>
                </c:pt>
                <c:pt idx="3">
                  <c:v>FY 2018-19</c:v>
                </c:pt>
                <c:pt idx="4">
                  <c:v>FY 2019-20</c:v>
                </c:pt>
                <c:pt idx="5">
                  <c:v>FY 2020-21</c:v>
                </c:pt>
                <c:pt idx="6">
                  <c:v>FY 2021-22</c:v>
                </c:pt>
                <c:pt idx="7">
                  <c:v>FY 2022-23</c:v>
                </c:pt>
                <c:pt idx="8">
                  <c:v>FY 2023-24</c:v>
                </c:pt>
                <c:pt idx="9">
                  <c:v>FY 2024-25</c:v>
                </c:pt>
                <c:pt idx="10">
                  <c:v>FY 2025-26*</c:v>
                </c:pt>
              </c:strCache>
            </c:strRef>
          </c:cat>
          <c:val>
            <c:numRef>
              <c:f>'Trend Analysis'!$C$7:$C$17</c:f>
              <c:numCache>
                <c:formatCode>#,##0.0</c:formatCode>
                <c:ptCount val="11"/>
                <c:pt idx="0">
                  <c:v>380.8</c:v>
                </c:pt>
                <c:pt idx="1">
                  <c:v>359</c:v>
                </c:pt>
                <c:pt idx="2">
                  <c:v>447</c:v>
                </c:pt>
                <c:pt idx="3">
                  <c:v>507.4</c:v>
                </c:pt>
                <c:pt idx="4">
                  <c:v>474.7</c:v>
                </c:pt>
                <c:pt idx="5">
                  <c:v>394.4</c:v>
                </c:pt>
                <c:pt idx="6">
                  <c:v>612.5</c:v>
                </c:pt>
                <c:pt idx="7">
                  <c:v>714.2</c:v>
                </c:pt>
                <c:pt idx="8">
                  <c:v>677.2</c:v>
                </c:pt>
                <c:pt idx="9">
                  <c:v>678.7</c:v>
                </c:pt>
                <c:pt idx="10">
                  <c:v>710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73-894B-AF7C-0B141E84739F}"/>
            </c:ext>
          </c:extLst>
        </c:ser>
        <c:ser>
          <c:idx val="1"/>
          <c:order val="1"/>
          <c:tx>
            <c:strRef>
              <c:f>'Trend Analysis'!$D$6</c:f>
              <c:strCache>
                <c:ptCount val="1"/>
                <c:pt idx="0">
                  <c:v>Exports (USD Bn)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'Trend Analysis'!$B$7:$B$17</c:f>
              <c:strCache>
                <c:ptCount val="11"/>
                <c:pt idx="0">
                  <c:v>FY 2015-16</c:v>
                </c:pt>
                <c:pt idx="1">
                  <c:v>FY 2016-17</c:v>
                </c:pt>
                <c:pt idx="2">
                  <c:v>FY 2017-18</c:v>
                </c:pt>
                <c:pt idx="3">
                  <c:v>FY 2018-19</c:v>
                </c:pt>
                <c:pt idx="4">
                  <c:v>FY 2019-20</c:v>
                </c:pt>
                <c:pt idx="5">
                  <c:v>FY 2020-21</c:v>
                </c:pt>
                <c:pt idx="6">
                  <c:v>FY 2021-22</c:v>
                </c:pt>
                <c:pt idx="7">
                  <c:v>FY 2022-23</c:v>
                </c:pt>
                <c:pt idx="8">
                  <c:v>FY 2023-24</c:v>
                </c:pt>
                <c:pt idx="9">
                  <c:v>FY 2024-25</c:v>
                </c:pt>
                <c:pt idx="10">
                  <c:v>FY 2025-26*</c:v>
                </c:pt>
              </c:strCache>
            </c:strRef>
          </c:cat>
          <c:val>
            <c:numRef>
              <c:f>'Trend Analysis'!$D$7:$D$17</c:f>
              <c:numCache>
                <c:formatCode>#,##0.0</c:formatCode>
                <c:ptCount val="11"/>
                <c:pt idx="0">
                  <c:v>261.10000000000002</c:v>
                </c:pt>
                <c:pt idx="1">
                  <c:v>275.89999999999998</c:v>
                </c:pt>
                <c:pt idx="2">
                  <c:v>302.89999999999998</c:v>
                </c:pt>
                <c:pt idx="3">
                  <c:v>330.1</c:v>
                </c:pt>
                <c:pt idx="4">
                  <c:v>313.39999999999998</c:v>
                </c:pt>
                <c:pt idx="5">
                  <c:v>290.60000000000002</c:v>
                </c:pt>
                <c:pt idx="6">
                  <c:v>422</c:v>
                </c:pt>
                <c:pt idx="7">
                  <c:v>451.1</c:v>
                </c:pt>
                <c:pt idx="8">
                  <c:v>437.1</c:v>
                </c:pt>
                <c:pt idx="9">
                  <c:v>437.4</c:v>
                </c:pt>
                <c:pt idx="10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73-894B-AF7C-0B141E84739F}"/>
            </c:ext>
          </c:extLst>
        </c:ser>
        <c:ser>
          <c:idx val="2"/>
          <c:order val="2"/>
          <c:tx>
            <c:strRef>
              <c:f>'Trend Analysis'!$E$6</c:f>
              <c:strCache>
                <c:ptCount val="1"/>
                <c:pt idx="0">
                  <c:v>Trade Deficit (USD Bn)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'Trend Analysis'!$B$7:$B$17</c:f>
              <c:strCache>
                <c:ptCount val="11"/>
                <c:pt idx="0">
                  <c:v>FY 2015-16</c:v>
                </c:pt>
                <c:pt idx="1">
                  <c:v>FY 2016-17</c:v>
                </c:pt>
                <c:pt idx="2">
                  <c:v>FY 2017-18</c:v>
                </c:pt>
                <c:pt idx="3">
                  <c:v>FY 2018-19</c:v>
                </c:pt>
                <c:pt idx="4">
                  <c:v>FY 2019-20</c:v>
                </c:pt>
                <c:pt idx="5">
                  <c:v>FY 2020-21</c:v>
                </c:pt>
                <c:pt idx="6">
                  <c:v>FY 2021-22</c:v>
                </c:pt>
                <c:pt idx="7">
                  <c:v>FY 2022-23</c:v>
                </c:pt>
                <c:pt idx="8">
                  <c:v>FY 2023-24</c:v>
                </c:pt>
                <c:pt idx="9">
                  <c:v>FY 2024-25</c:v>
                </c:pt>
                <c:pt idx="10">
                  <c:v>FY 2025-26*</c:v>
                </c:pt>
              </c:strCache>
            </c:strRef>
          </c:cat>
          <c:val>
            <c:numRef>
              <c:f>'Trend Analysis'!$E$7:$E$17</c:f>
              <c:numCache>
                <c:formatCode>#,##0.0</c:formatCode>
                <c:ptCount val="11"/>
                <c:pt idx="0">
                  <c:v>118.7</c:v>
                </c:pt>
                <c:pt idx="1">
                  <c:v>110.5</c:v>
                </c:pt>
                <c:pt idx="2">
                  <c:v>144.1</c:v>
                </c:pt>
                <c:pt idx="3">
                  <c:v>177.3</c:v>
                </c:pt>
                <c:pt idx="4">
                  <c:v>161.30000000000001</c:v>
                </c:pt>
                <c:pt idx="5">
                  <c:v>102.6</c:v>
                </c:pt>
                <c:pt idx="6">
                  <c:v>190.7</c:v>
                </c:pt>
                <c:pt idx="7">
                  <c:v>263</c:v>
                </c:pt>
                <c:pt idx="8">
                  <c:v>240.1</c:v>
                </c:pt>
                <c:pt idx="9">
                  <c:v>241.3</c:v>
                </c:pt>
                <c:pt idx="10">
                  <c:v>260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73-894B-AF7C-0B141E8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Fiscal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USD Billion</a:t>
                </a:r>
              </a:p>
            </c:rich>
          </c:tx>
          <c:layout>
            <c:manualLayout>
              <c:xMode val="edge"/>
              <c:yMode val="edge"/>
              <c:x val="1.8657273104019892E-2"/>
              <c:y val="0.44222440944881886"/>
            </c:manualLayout>
          </c:layout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09925404061333"/>
          <c:y val="0.46203115739564815"/>
          <c:w val="0.19690074595938667"/>
          <c:h val="0.1458299466598933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Sector Import CAGR FY2016-FY2025 (%)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1291301461722912E-2"/>
          <c:y val="7.1943586165653342E-2"/>
          <c:w val="0.73147757291680782"/>
          <c:h val="0.8635712149905312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'Trend Analysis'!$B$50:$B$55</c:f>
              <c:strCache>
                <c:ptCount val="6"/>
                <c:pt idx="0">
                  <c:v>Energy &amp; Petroleum</c:v>
                </c:pt>
                <c:pt idx="1">
                  <c:v>Electronics &amp; Semicon.</c:v>
                </c:pt>
                <c:pt idx="2">
                  <c:v>Machinery &amp; Capital Goods</c:v>
                </c:pt>
                <c:pt idx="3">
                  <c:v>Precious Metals</c:v>
                </c:pt>
                <c:pt idx="4">
                  <c:v>Pharma &amp; Chemicals</c:v>
                </c:pt>
                <c:pt idx="5">
                  <c:v>China Total Imports</c:v>
                </c:pt>
              </c:strCache>
            </c:strRef>
          </c:cat>
          <c:val>
            <c:numRef>
              <c:f>'Trend Analysis'!$C$50:$C$55</c:f>
              <c:numCache>
                <c:formatCode>General</c:formatCode>
                <c:ptCount val="6"/>
                <c:pt idx="0">
                  <c:v>6.8</c:v>
                </c:pt>
                <c:pt idx="1">
                  <c:v>8.8000000000000007</c:v>
                </c:pt>
                <c:pt idx="2">
                  <c:v>4.4000000000000004</c:v>
                </c:pt>
                <c:pt idx="3">
                  <c:v>5</c:v>
                </c:pt>
                <c:pt idx="4">
                  <c:v>10.6</c:v>
                </c:pt>
                <c:pt idx="5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F-A440-A6D7-9E234330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CAGR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Sector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Sector-wise Share of India's Total Imports (FY 2024-25)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Charts!$B$5:$B$15</c:f>
              <c:strCache>
                <c:ptCount val="11"/>
                <c:pt idx="0">
                  <c:v>Energy &amp; Petroleum</c:v>
                </c:pt>
                <c:pt idx="1">
                  <c:v>Electronics &amp; Semicon.</c:v>
                </c:pt>
                <c:pt idx="2">
                  <c:v>Machinery &amp; Capital Goods</c:v>
                </c:pt>
                <c:pt idx="3">
                  <c:v>Precious Metals</c:v>
                </c:pt>
                <c:pt idx="4">
                  <c:v>Pharma &amp; Chemicals</c:v>
                </c:pt>
                <c:pt idx="5">
                  <c:v>Agri &amp; Edible Oils</c:v>
                </c:pt>
                <c:pt idx="6">
                  <c:v>Automotive &amp; EV</c:v>
                </c:pt>
                <c:pt idx="7">
                  <c:v>Renewable Energy</c:v>
                </c:pt>
                <c:pt idx="8">
                  <c:v>Defense &amp; Aerospace</c:v>
                </c:pt>
                <c:pt idx="9">
                  <c:v>Critical Minerals</c:v>
                </c:pt>
                <c:pt idx="10">
                  <c:v>Others</c:v>
                </c:pt>
              </c:strCache>
            </c:strRef>
          </c:cat>
          <c:val>
            <c:numRef>
              <c:f>Charts!$C$5:$C$15</c:f>
              <c:numCache>
                <c:formatCode>General</c:formatCode>
                <c:ptCount val="11"/>
                <c:pt idx="0">
                  <c:v>220.6</c:v>
                </c:pt>
                <c:pt idx="1">
                  <c:v>89.8</c:v>
                </c:pt>
                <c:pt idx="2">
                  <c:v>56.2</c:v>
                </c:pt>
                <c:pt idx="3">
                  <c:v>60.5</c:v>
                </c:pt>
                <c:pt idx="4">
                  <c:v>28.4</c:v>
                </c:pt>
                <c:pt idx="5">
                  <c:v>26.8</c:v>
                </c:pt>
                <c:pt idx="6">
                  <c:v>18.5</c:v>
                </c:pt>
                <c:pt idx="7">
                  <c:v>6.2</c:v>
                </c:pt>
                <c:pt idx="8">
                  <c:v>5.5</c:v>
                </c:pt>
                <c:pt idx="9">
                  <c:v>4.0999999999999996</c:v>
                </c:pt>
                <c:pt idx="10">
                  <c:v>104.6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1-0D42-A6E5-3046DF805445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Source Countries — India's Imports (USD Bn, FY 2024-25)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4478527607361963E-2"/>
          <c:y val="7.4340527577937646E-2"/>
          <c:w val="0.8254067436355732"/>
          <c:h val="0.8585131894484412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Charts!$E$5:$E$14</c:f>
              <c:strCache>
                <c:ptCount val="10"/>
                <c:pt idx="0">
                  <c:v>China</c:v>
                </c:pt>
                <c:pt idx="1">
                  <c:v>Russia</c:v>
                </c:pt>
                <c:pt idx="2">
                  <c:v>UAE</c:v>
                </c:pt>
                <c:pt idx="3">
                  <c:v>USA</c:v>
                </c:pt>
                <c:pt idx="4">
                  <c:v>Switzerland</c:v>
                </c:pt>
                <c:pt idx="5">
                  <c:v>Saudi Arabia</c:v>
                </c:pt>
                <c:pt idx="6">
                  <c:v>Iraq</c:v>
                </c:pt>
                <c:pt idx="7">
                  <c:v>Indonesia</c:v>
                </c:pt>
                <c:pt idx="8">
                  <c:v>Germany</c:v>
                </c:pt>
                <c:pt idx="9">
                  <c:v>South Korea</c:v>
                </c:pt>
              </c:strCache>
            </c:strRef>
          </c:cat>
          <c:val>
            <c:numRef>
              <c:f>Charts!$F$5:$F$14</c:f>
              <c:numCache>
                <c:formatCode>General</c:formatCode>
                <c:ptCount val="10"/>
                <c:pt idx="0">
                  <c:v>113.5</c:v>
                </c:pt>
                <c:pt idx="1">
                  <c:v>61.6</c:v>
                </c:pt>
                <c:pt idx="2">
                  <c:v>40.799999999999997</c:v>
                </c:pt>
                <c:pt idx="3">
                  <c:v>40.5</c:v>
                </c:pt>
                <c:pt idx="4">
                  <c:v>21</c:v>
                </c:pt>
                <c:pt idx="5">
                  <c:v>33</c:v>
                </c:pt>
                <c:pt idx="6">
                  <c:v>27.5</c:v>
                </c:pt>
                <c:pt idx="7">
                  <c:v>15.5</c:v>
                </c:pt>
                <c:pt idx="8">
                  <c:v>12</c:v>
                </c:pt>
                <c:pt idx="9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A-2D4C-9B10-7C9B3763F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Import Value (USD Bn)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254000</xdr:colOff>
      <xdr:row>16</xdr:row>
      <xdr:rowOff>177800</xdr:rowOff>
    </xdr:from>
    <xdr:ext cx="6480000" cy="4510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368300</xdr:colOff>
      <xdr:row>6</xdr:row>
      <xdr:rowOff>190500</xdr:rowOff>
    </xdr:from>
    <xdr:ext cx="9652000" cy="4724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546100</xdr:colOff>
      <xdr:row>30</xdr:row>
      <xdr:rowOff>114300</xdr:rowOff>
    </xdr:from>
    <xdr:ext cx="7381700" cy="401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79121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165100</xdr:colOff>
      <xdr:row>2</xdr:row>
      <xdr:rowOff>88900</xdr:rowOff>
    </xdr:from>
    <xdr:ext cx="8280400" cy="5295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7"/>
  <sheetViews>
    <sheetView showGridLines="0" zoomScale="150" workbookViewId="0">
      <selection activeCell="D13" sqref="D13:J13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3" width="2" customWidth="1"/>
    <col min="4" max="4" width="18" customWidth="1"/>
    <col min="5" max="5" width="2" customWidth="1"/>
    <col min="6" max="6" width="18" customWidth="1"/>
    <col min="7" max="7" width="2" customWidth="1"/>
    <col min="8" max="8" width="18" customWidth="1"/>
    <col min="9" max="9" width="2" customWidth="1"/>
    <col min="10" max="10" width="18" customWidth="1"/>
    <col min="11" max="11" width="2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0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5" customHeight="1" x14ac:dyDescent="0.2">
      <c r="A3" s="1"/>
      <c r="B3" s="39" t="s">
        <v>0</v>
      </c>
      <c r="C3" s="37"/>
      <c r="D3" s="37"/>
      <c r="E3" s="37"/>
      <c r="F3" s="37"/>
      <c r="G3" s="37"/>
      <c r="H3" s="37"/>
      <c r="I3" s="37"/>
      <c r="J3" s="37"/>
      <c r="K3" s="1"/>
    </row>
    <row r="4" spans="1:11" ht="25" customHeight="1" x14ac:dyDescent="0.2">
      <c r="A4" s="1"/>
      <c r="B4" s="43" t="s">
        <v>1</v>
      </c>
      <c r="C4" s="37"/>
      <c r="D4" s="37"/>
      <c r="E4" s="37"/>
      <c r="F4" s="37"/>
      <c r="G4" s="37"/>
      <c r="H4" s="37"/>
      <c r="I4" s="37"/>
      <c r="J4" s="37"/>
      <c r="K4" s="1"/>
    </row>
    <row r="5" spans="1:11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 x14ac:dyDescent="0.2">
      <c r="A6" s="1"/>
      <c r="B6" s="2" t="s">
        <v>2</v>
      </c>
      <c r="C6" s="1"/>
      <c r="D6" s="2" t="s">
        <v>3</v>
      </c>
      <c r="E6" s="1"/>
      <c r="F6" s="2" t="s">
        <v>4</v>
      </c>
      <c r="G6" s="1"/>
      <c r="H6" s="34">
        <v>1</v>
      </c>
      <c r="I6" s="1"/>
      <c r="J6" s="35">
        <v>8.3000000000000004E-2</v>
      </c>
      <c r="K6" s="1"/>
    </row>
    <row r="7" spans="1:11" ht="25" customHeight="1" x14ac:dyDescent="0.2">
      <c r="A7" s="1"/>
      <c r="B7" s="3" t="s">
        <v>5</v>
      </c>
      <c r="C7" s="1"/>
      <c r="D7" s="3" t="s">
        <v>6</v>
      </c>
      <c r="E7" s="1"/>
      <c r="F7" s="3" t="s">
        <v>7</v>
      </c>
      <c r="G7" s="1"/>
      <c r="H7" s="3" t="s">
        <v>8</v>
      </c>
      <c r="I7" s="1"/>
      <c r="J7" s="3" t="s">
        <v>9</v>
      </c>
      <c r="K7" s="1"/>
    </row>
    <row r="8" spans="1:11" ht="10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2" customHeight="1" x14ac:dyDescent="0.2">
      <c r="A9" s="1"/>
      <c r="B9" s="44" t="s">
        <v>10</v>
      </c>
      <c r="C9" s="37"/>
      <c r="D9" s="37"/>
      <c r="E9" s="37"/>
      <c r="F9" s="37"/>
      <c r="G9" s="1"/>
      <c r="H9" s="1"/>
      <c r="I9" s="1"/>
      <c r="J9" s="1"/>
      <c r="K9" s="1"/>
    </row>
    <row r="10" spans="1:11" ht="22" customHeight="1" x14ac:dyDescent="0.2">
      <c r="A10" s="1"/>
      <c r="B10" s="40" t="s">
        <v>11</v>
      </c>
      <c r="C10" s="37"/>
      <c r="D10" s="41" t="s">
        <v>12</v>
      </c>
      <c r="E10" s="37"/>
      <c r="F10" s="37"/>
      <c r="G10" s="37"/>
      <c r="H10" s="37"/>
      <c r="I10" s="37"/>
      <c r="J10" s="37"/>
      <c r="K10" s="1"/>
    </row>
    <row r="11" spans="1:11" ht="22" customHeight="1" x14ac:dyDescent="0.2">
      <c r="A11" s="1"/>
      <c r="B11" s="40" t="s">
        <v>13</v>
      </c>
      <c r="C11" s="37"/>
      <c r="D11" s="41" t="s">
        <v>14</v>
      </c>
      <c r="E11" s="37"/>
      <c r="F11" s="37"/>
      <c r="G11" s="37"/>
      <c r="H11" s="37"/>
      <c r="I11" s="37"/>
      <c r="J11" s="37"/>
      <c r="K11" s="1"/>
    </row>
    <row r="12" spans="1:11" ht="22" customHeight="1" x14ac:dyDescent="0.2">
      <c r="A12" s="1"/>
      <c r="B12" s="40" t="s">
        <v>15</v>
      </c>
      <c r="C12" s="37"/>
      <c r="D12" s="41" t="s">
        <v>16</v>
      </c>
      <c r="E12" s="37"/>
      <c r="F12" s="37"/>
      <c r="G12" s="37"/>
      <c r="H12" s="37"/>
      <c r="I12" s="37"/>
      <c r="J12" s="37"/>
      <c r="K12" s="1"/>
    </row>
    <row r="13" spans="1:11" ht="22" customHeight="1" x14ac:dyDescent="0.2">
      <c r="A13" s="1"/>
      <c r="B13" s="40" t="s">
        <v>17</v>
      </c>
      <c r="C13" s="37"/>
      <c r="D13" s="41" t="s">
        <v>18</v>
      </c>
      <c r="E13" s="37"/>
      <c r="F13" s="37"/>
      <c r="G13" s="37"/>
      <c r="H13" s="37"/>
      <c r="I13" s="37"/>
      <c r="J13" s="37"/>
      <c r="K13" s="1"/>
    </row>
    <row r="14" spans="1:11" ht="22" customHeight="1" x14ac:dyDescent="0.2">
      <c r="A14" s="1"/>
      <c r="B14" s="40" t="s">
        <v>19</v>
      </c>
      <c r="C14" s="37"/>
      <c r="D14" s="41" t="s">
        <v>20</v>
      </c>
      <c r="E14" s="37"/>
      <c r="F14" s="37"/>
      <c r="G14" s="37"/>
      <c r="H14" s="37"/>
      <c r="I14" s="37"/>
      <c r="J14" s="37"/>
      <c r="K14" s="1"/>
    </row>
    <row r="15" spans="1:11" ht="22" customHeight="1" x14ac:dyDescent="0.2">
      <c r="A15" s="1"/>
      <c r="B15" s="40" t="s">
        <v>21</v>
      </c>
      <c r="C15" s="37"/>
      <c r="D15" s="41" t="s">
        <v>22</v>
      </c>
      <c r="E15" s="37"/>
      <c r="F15" s="37"/>
      <c r="G15" s="37"/>
      <c r="H15" s="37"/>
      <c r="I15" s="37"/>
      <c r="J15" s="37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" customHeight="1" x14ac:dyDescent="0.2">
      <c r="A17" s="1"/>
      <c r="B17" s="42" t="s">
        <v>23</v>
      </c>
      <c r="C17" s="37"/>
      <c r="D17" s="37"/>
      <c r="E17" s="37"/>
      <c r="F17" s="37"/>
      <c r="G17" s="37"/>
      <c r="H17" s="37"/>
      <c r="I17" s="37"/>
      <c r="J17" s="37"/>
      <c r="K17" s="1"/>
    </row>
  </sheetData>
  <mergeCells count="16">
    <mergeCell ref="B17:J17"/>
    <mergeCell ref="B14:C14"/>
    <mergeCell ref="D10:J10"/>
    <mergeCell ref="B4:J4"/>
    <mergeCell ref="D15:J15"/>
    <mergeCell ref="D11:J11"/>
    <mergeCell ref="B9:F9"/>
    <mergeCell ref="B12:C12"/>
    <mergeCell ref="B13:C13"/>
    <mergeCell ref="D14:J14"/>
    <mergeCell ref="B3:J3"/>
    <mergeCell ref="B15:C15"/>
    <mergeCell ref="B11:C11"/>
    <mergeCell ref="D12:J12"/>
    <mergeCell ref="B10:C10"/>
    <mergeCell ref="D13:J13"/>
  </mergeCells>
  <hyperlinks>
    <hyperlink ref="B10" location="'Sector Summary'!B2" display="→  Sector Summary" xr:uid="{00000000-0004-0000-0000-000000000000}"/>
    <hyperlink ref="B11" location="'Country Dependency Matrix'!B2" display="→  Country Dependency Matrix" xr:uid="{00000000-0004-0000-0000-000001000000}"/>
    <hyperlink ref="B12" location="'Import Substitution'!B2" display="→  Import Substitution" xr:uid="{00000000-0004-0000-0000-000002000000}"/>
    <hyperlink ref="B13" location="'Trend Analysis'!B2" display="→  Trend Analysis" xr:uid="{00000000-0004-0000-0000-000003000000}"/>
    <hyperlink ref="B14" location="'Charts'!B4" display="→  Charts" xr:uid="{00000000-0004-0000-0000-000004000000}"/>
    <hyperlink ref="B15" location="'Dependency Heatmap'!B2" display="→  Dependency Heatmap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I20"/>
  <sheetViews>
    <sheetView showGridLines="0" zoomScale="140" workbookViewId="0">
      <selection pane="topRight"/>
      <selection pane="bottomLeft"/>
      <selection pane="bottomRight" activeCell="I17" sqref="I17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18" customWidth="1"/>
    <col min="4" max="4" width="16" customWidth="1"/>
    <col min="5" max="6" width="20" customWidth="1"/>
    <col min="7" max="8" width="15" customWidth="1"/>
    <col min="9" max="9" width="13" customWidth="1"/>
  </cols>
  <sheetData>
    <row r="1" spans="2:9" ht="10" customHeight="1" x14ac:dyDescent="0.2"/>
    <row r="2" spans="2:9" ht="30" customHeight="1" x14ac:dyDescent="0.2">
      <c r="B2" s="38" t="s">
        <v>24</v>
      </c>
      <c r="C2" s="37"/>
      <c r="D2" s="37"/>
      <c r="E2" s="37"/>
      <c r="F2" s="37"/>
      <c r="G2" s="37"/>
      <c r="H2" s="37"/>
      <c r="I2" s="37"/>
    </row>
    <row r="3" spans="2:9" ht="20" customHeight="1" x14ac:dyDescent="0.2"/>
    <row r="4" spans="2:9" ht="18" customHeight="1" x14ac:dyDescent="0.2">
      <c r="B4" s="36" t="s">
        <v>25</v>
      </c>
      <c r="C4" s="37"/>
      <c r="D4" s="37"/>
      <c r="E4" s="37"/>
      <c r="F4" s="37"/>
      <c r="G4" s="37"/>
      <c r="H4" s="37"/>
      <c r="I4" s="37"/>
    </row>
    <row r="6" spans="2:9" ht="35" customHeight="1" x14ac:dyDescent="0.2"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</row>
    <row r="7" spans="2:9" ht="22" customHeight="1" x14ac:dyDescent="0.2">
      <c r="B7" s="5" t="s">
        <v>34</v>
      </c>
      <c r="C7" s="6">
        <v>220.6</v>
      </c>
      <c r="D7" s="6" t="s">
        <v>35</v>
      </c>
      <c r="E7" s="6" t="s">
        <v>36</v>
      </c>
      <c r="F7" s="6" t="s">
        <v>37</v>
      </c>
      <c r="G7" s="7" t="s">
        <v>38</v>
      </c>
      <c r="H7" s="8" t="s">
        <v>39</v>
      </c>
      <c r="I7" s="6" t="s">
        <v>40</v>
      </c>
    </row>
    <row r="8" spans="2:9" ht="22" customHeight="1" x14ac:dyDescent="0.2">
      <c r="B8" s="9" t="s">
        <v>41</v>
      </c>
      <c r="C8" s="10">
        <v>89.8</v>
      </c>
      <c r="D8" s="10" t="s">
        <v>42</v>
      </c>
      <c r="E8" s="10" t="s">
        <v>43</v>
      </c>
      <c r="F8" s="10" t="s">
        <v>44</v>
      </c>
      <c r="G8" s="11" t="s">
        <v>45</v>
      </c>
      <c r="H8" s="11" t="s">
        <v>45</v>
      </c>
      <c r="I8" s="31">
        <v>0.44</v>
      </c>
    </row>
    <row r="9" spans="2:9" ht="22" customHeight="1" x14ac:dyDescent="0.2">
      <c r="B9" s="5" t="s">
        <v>46</v>
      </c>
      <c r="C9" s="6">
        <v>56.2</v>
      </c>
      <c r="D9" s="6" t="s">
        <v>47</v>
      </c>
      <c r="E9" s="6" t="s">
        <v>48</v>
      </c>
      <c r="F9" s="6" t="s">
        <v>49</v>
      </c>
      <c r="G9" s="8" t="s">
        <v>39</v>
      </c>
      <c r="H9" s="8" t="s">
        <v>39</v>
      </c>
      <c r="I9" s="32">
        <v>0.3</v>
      </c>
    </row>
    <row r="10" spans="2:9" ht="22" customHeight="1" x14ac:dyDescent="0.2">
      <c r="B10" s="9" t="s">
        <v>50</v>
      </c>
      <c r="C10" s="10">
        <v>60.5</v>
      </c>
      <c r="D10" s="10" t="s">
        <v>51</v>
      </c>
      <c r="E10" s="10" t="s">
        <v>52</v>
      </c>
      <c r="F10" s="10" t="s">
        <v>53</v>
      </c>
      <c r="G10" s="8" t="s">
        <v>39</v>
      </c>
      <c r="H10" s="12" t="s">
        <v>54</v>
      </c>
      <c r="I10" s="10" t="s">
        <v>55</v>
      </c>
    </row>
    <row r="11" spans="2:9" ht="22" customHeight="1" x14ac:dyDescent="0.2">
      <c r="B11" s="5" t="s">
        <v>56</v>
      </c>
      <c r="C11" s="6">
        <v>28.4</v>
      </c>
      <c r="D11" s="6" t="s">
        <v>57</v>
      </c>
      <c r="E11" s="6" t="s">
        <v>58</v>
      </c>
      <c r="F11" s="6" t="s">
        <v>59</v>
      </c>
      <c r="G11" s="11" t="s">
        <v>45</v>
      </c>
      <c r="H11" s="8" t="s">
        <v>39</v>
      </c>
      <c r="I11" s="33">
        <v>0.73699999999999999</v>
      </c>
    </row>
    <row r="12" spans="2:9" ht="22" customHeight="1" x14ac:dyDescent="0.2">
      <c r="B12" s="9" t="s">
        <v>60</v>
      </c>
      <c r="C12" s="10">
        <v>26.8</v>
      </c>
      <c r="D12" s="10" t="s">
        <v>61</v>
      </c>
      <c r="E12" s="10" t="s">
        <v>62</v>
      </c>
      <c r="F12" s="10" t="s">
        <v>63</v>
      </c>
      <c r="G12" s="8" t="s">
        <v>39</v>
      </c>
      <c r="H12" s="8" t="s">
        <v>39</v>
      </c>
      <c r="I12" s="10" t="s">
        <v>64</v>
      </c>
    </row>
    <row r="13" spans="2:9" ht="22" customHeight="1" x14ac:dyDescent="0.2">
      <c r="B13" s="5" t="s">
        <v>65</v>
      </c>
      <c r="C13" s="6">
        <v>18.5</v>
      </c>
      <c r="D13" s="6" t="s">
        <v>66</v>
      </c>
      <c r="E13" s="6" t="s">
        <v>67</v>
      </c>
      <c r="F13" s="6" t="s">
        <v>68</v>
      </c>
      <c r="G13" s="8" t="s">
        <v>39</v>
      </c>
      <c r="H13" s="8" t="s">
        <v>39</v>
      </c>
      <c r="I13" s="32">
        <v>0.4</v>
      </c>
    </row>
    <row r="14" spans="2:9" ht="22" customHeight="1" x14ac:dyDescent="0.2">
      <c r="B14" s="9" t="s">
        <v>69</v>
      </c>
      <c r="C14" s="10">
        <v>6.2</v>
      </c>
      <c r="D14" s="10" t="s">
        <v>70</v>
      </c>
      <c r="E14" s="10" t="s">
        <v>71</v>
      </c>
      <c r="F14" s="10" t="s">
        <v>72</v>
      </c>
      <c r="G14" s="11" t="s">
        <v>45</v>
      </c>
      <c r="H14" s="11" t="s">
        <v>45</v>
      </c>
      <c r="I14" s="31">
        <v>0.65</v>
      </c>
    </row>
    <row r="15" spans="2:9" ht="22" customHeight="1" x14ac:dyDescent="0.2">
      <c r="B15" s="5" t="s">
        <v>73</v>
      </c>
      <c r="C15" s="6">
        <v>5.5</v>
      </c>
      <c r="D15" s="6" t="s">
        <v>74</v>
      </c>
      <c r="E15" s="6" t="s">
        <v>75</v>
      </c>
      <c r="F15" s="6" t="s">
        <v>76</v>
      </c>
      <c r="G15" s="8" t="s">
        <v>39</v>
      </c>
      <c r="H15" s="11" t="s">
        <v>45</v>
      </c>
      <c r="I15" s="6" t="s">
        <v>77</v>
      </c>
    </row>
    <row r="16" spans="2:9" ht="22" customHeight="1" x14ac:dyDescent="0.2">
      <c r="B16" s="9" t="s">
        <v>78</v>
      </c>
      <c r="C16" s="10">
        <v>4.0999999999999996</v>
      </c>
      <c r="D16" s="10" t="s">
        <v>79</v>
      </c>
      <c r="E16" s="10" t="s">
        <v>80</v>
      </c>
      <c r="F16" s="10" t="s">
        <v>81</v>
      </c>
      <c r="G16" s="7" t="s">
        <v>38</v>
      </c>
      <c r="H16" s="7" t="s">
        <v>38</v>
      </c>
      <c r="I16" s="10" t="s">
        <v>82</v>
      </c>
    </row>
    <row r="19" spans="2:9" x14ac:dyDescent="0.2">
      <c r="B19" s="36" t="s">
        <v>83</v>
      </c>
      <c r="C19" s="37"/>
      <c r="D19" s="37"/>
      <c r="E19" s="37"/>
      <c r="F19" s="37"/>
      <c r="G19" s="37"/>
      <c r="H19" s="37"/>
      <c r="I19" s="37"/>
    </row>
    <row r="20" spans="2:9" x14ac:dyDescent="0.2">
      <c r="B20" s="36" t="s">
        <v>84</v>
      </c>
      <c r="C20" s="37"/>
      <c r="D20" s="37"/>
      <c r="E20" s="37"/>
      <c r="F20" s="37"/>
      <c r="G20" s="37"/>
      <c r="H20" s="37"/>
      <c r="I20" s="37"/>
    </row>
  </sheetData>
  <mergeCells count="4">
    <mergeCell ref="B20:I20"/>
    <mergeCell ref="B19:I19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H29"/>
  <sheetViews>
    <sheetView showGridLines="0" workbookViewId="0">
      <selection pane="topRight"/>
      <selection pane="bottomLeft"/>
      <selection pane="bottomRight" activeCell="B21" sqref="B21"/>
    </sheetView>
  </sheetViews>
  <sheetFormatPr baseColWidth="10" defaultColWidth="8.83203125" defaultRowHeight="15" x14ac:dyDescent="0.2"/>
  <cols>
    <col min="1" max="1" width="3" customWidth="1"/>
    <col min="2" max="2" width="26" customWidth="1"/>
    <col min="3" max="3" width="12" customWidth="1"/>
    <col min="4" max="5" width="14" customWidth="1"/>
    <col min="6" max="6" width="22" customWidth="1"/>
    <col min="7" max="7" width="16" customWidth="1"/>
    <col min="8" max="8" width="18" customWidth="1"/>
  </cols>
  <sheetData>
    <row r="1" spans="2:8" ht="10" customHeight="1" x14ac:dyDescent="0.2"/>
    <row r="2" spans="2:8" ht="30" customHeight="1" x14ac:dyDescent="0.2">
      <c r="B2" s="38" t="s">
        <v>85</v>
      </c>
      <c r="C2" s="37"/>
      <c r="D2" s="37"/>
      <c r="E2" s="37"/>
      <c r="F2" s="37"/>
      <c r="G2" s="37"/>
      <c r="H2" s="37"/>
    </row>
    <row r="3" spans="2:8" x14ac:dyDescent="0.2">
      <c r="B3" s="36" t="s">
        <v>86</v>
      </c>
      <c r="C3" s="37"/>
      <c r="D3" s="37"/>
      <c r="E3" s="37"/>
      <c r="F3" s="37"/>
      <c r="G3" s="37"/>
      <c r="H3" s="37"/>
    </row>
    <row r="5" spans="2:8" ht="40" customHeight="1" x14ac:dyDescent="0.2">
      <c r="B5" s="4" t="s">
        <v>26</v>
      </c>
      <c r="C5" s="4" t="s">
        <v>87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</row>
    <row r="6" spans="2:8" ht="22" customHeight="1" x14ac:dyDescent="0.2">
      <c r="B6" s="13" t="s">
        <v>34</v>
      </c>
      <c r="C6" s="14" t="s">
        <v>93</v>
      </c>
      <c r="D6" s="14" t="s">
        <v>94</v>
      </c>
      <c r="E6" s="14" t="s">
        <v>95</v>
      </c>
      <c r="F6" s="14" t="s">
        <v>96</v>
      </c>
      <c r="G6" s="14" t="s">
        <v>97</v>
      </c>
      <c r="H6" s="14" t="s">
        <v>98</v>
      </c>
    </row>
    <row r="7" spans="2:8" ht="22" customHeight="1" x14ac:dyDescent="0.2">
      <c r="B7" s="13" t="s">
        <v>41</v>
      </c>
      <c r="C7" s="14" t="s">
        <v>99</v>
      </c>
      <c r="D7" s="14" t="s">
        <v>100</v>
      </c>
      <c r="E7" s="14" t="s">
        <v>97</v>
      </c>
      <c r="F7" s="14" t="s">
        <v>101</v>
      </c>
      <c r="G7" s="14" t="s">
        <v>102</v>
      </c>
      <c r="H7" s="14" t="s">
        <v>98</v>
      </c>
    </row>
    <row r="8" spans="2:8" ht="22" customHeight="1" x14ac:dyDescent="0.2">
      <c r="B8" s="13" t="s">
        <v>103</v>
      </c>
      <c r="C8" s="14" t="s">
        <v>104</v>
      </c>
      <c r="D8" s="14" t="s">
        <v>97</v>
      </c>
      <c r="E8" s="14" t="s">
        <v>105</v>
      </c>
      <c r="F8" s="14" t="s">
        <v>106</v>
      </c>
      <c r="G8" s="14" t="s">
        <v>64</v>
      </c>
      <c r="H8" s="14" t="s">
        <v>101</v>
      </c>
    </row>
    <row r="9" spans="2:8" ht="22" customHeight="1" x14ac:dyDescent="0.2">
      <c r="B9" s="13" t="s">
        <v>50</v>
      </c>
      <c r="C9" s="14" t="s">
        <v>97</v>
      </c>
      <c r="D9" s="14" t="s">
        <v>96</v>
      </c>
      <c r="E9" s="14" t="s">
        <v>107</v>
      </c>
      <c r="F9" s="14" t="s">
        <v>108</v>
      </c>
      <c r="G9" s="14" t="s">
        <v>98</v>
      </c>
      <c r="H9" s="14" t="s">
        <v>101</v>
      </c>
    </row>
    <row r="10" spans="2:8" ht="22" customHeight="1" x14ac:dyDescent="0.2">
      <c r="B10" s="13" t="s">
        <v>56</v>
      </c>
      <c r="C10" s="14" t="s">
        <v>109</v>
      </c>
      <c r="D10" s="14" t="s">
        <v>97</v>
      </c>
      <c r="E10" s="14" t="s">
        <v>96</v>
      </c>
      <c r="F10" s="14" t="s">
        <v>64</v>
      </c>
      <c r="G10" s="14" t="s">
        <v>110</v>
      </c>
      <c r="H10" s="14" t="s">
        <v>98</v>
      </c>
    </row>
    <row r="11" spans="2:8" ht="22" customHeight="1" x14ac:dyDescent="0.2">
      <c r="B11" s="13" t="s">
        <v>111</v>
      </c>
      <c r="C11" s="14" t="s">
        <v>64</v>
      </c>
      <c r="D11" s="14" t="s">
        <v>102</v>
      </c>
      <c r="E11" s="14" t="s">
        <v>112</v>
      </c>
      <c r="F11" s="14" t="s">
        <v>98</v>
      </c>
      <c r="G11" s="14" t="s">
        <v>113</v>
      </c>
      <c r="H11" s="14" t="s">
        <v>114</v>
      </c>
    </row>
    <row r="12" spans="2:8" ht="22" customHeight="1" x14ac:dyDescent="0.2">
      <c r="B12" s="13" t="s">
        <v>115</v>
      </c>
      <c r="C12" s="14" t="s">
        <v>116</v>
      </c>
      <c r="D12" s="14" t="s">
        <v>97</v>
      </c>
      <c r="E12" s="14" t="s">
        <v>96</v>
      </c>
      <c r="F12" s="14" t="s">
        <v>112</v>
      </c>
      <c r="G12" s="14" t="s">
        <v>106</v>
      </c>
      <c r="H12" s="14" t="s">
        <v>64</v>
      </c>
    </row>
    <row r="13" spans="2:8" ht="22" customHeight="1" x14ac:dyDescent="0.2">
      <c r="B13" s="13" t="s">
        <v>69</v>
      </c>
      <c r="C13" s="14" t="s">
        <v>117</v>
      </c>
      <c r="D13" s="14" t="s">
        <v>100</v>
      </c>
      <c r="E13" s="14" t="s">
        <v>100</v>
      </c>
      <c r="F13" s="14" t="s">
        <v>101</v>
      </c>
      <c r="G13" s="14" t="s">
        <v>118</v>
      </c>
      <c r="H13" s="14" t="s">
        <v>98</v>
      </c>
    </row>
    <row r="14" spans="2:8" ht="22" customHeight="1" x14ac:dyDescent="0.2">
      <c r="B14" s="13" t="s">
        <v>73</v>
      </c>
      <c r="C14" s="14" t="s">
        <v>119</v>
      </c>
      <c r="D14" s="14" t="s">
        <v>120</v>
      </c>
      <c r="E14" s="14" t="s">
        <v>97</v>
      </c>
      <c r="F14" s="14" t="s">
        <v>116</v>
      </c>
      <c r="G14" s="14" t="s">
        <v>97</v>
      </c>
      <c r="H14" s="14" t="s">
        <v>114</v>
      </c>
    </row>
    <row r="15" spans="2:8" ht="22" customHeight="1" x14ac:dyDescent="0.2">
      <c r="B15" s="13" t="s">
        <v>78</v>
      </c>
      <c r="C15" s="14" t="s">
        <v>82</v>
      </c>
      <c r="D15" s="14" t="s">
        <v>98</v>
      </c>
      <c r="E15" s="14" t="s">
        <v>98</v>
      </c>
      <c r="F15" s="14" t="s">
        <v>121</v>
      </c>
      <c r="G15" s="14" t="s">
        <v>64</v>
      </c>
      <c r="H15" s="14" t="s">
        <v>114</v>
      </c>
    </row>
    <row r="20" spans="2:3" ht="15" customHeight="1" x14ac:dyDescent="0.2">
      <c r="B20" s="15" t="s">
        <v>34</v>
      </c>
      <c r="C20" s="15">
        <v>2</v>
      </c>
    </row>
    <row r="21" spans="2:3" ht="15" customHeight="1" x14ac:dyDescent="0.2">
      <c r="B21" s="15" t="s">
        <v>41</v>
      </c>
      <c r="C21" s="15">
        <v>44</v>
      </c>
    </row>
    <row r="22" spans="2:3" ht="15" customHeight="1" x14ac:dyDescent="0.2">
      <c r="B22" s="15" t="s">
        <v>103</v>
      </c>
      <c r="C22" s="15">
        <v>30</v>
      </c>
    </row>
    <row r="23" spans="2:3" ht="15" customHeight="1" x14ac:dyDescent="0.2">
      <c r="B23" s="15" t="s">
        <v>50</v>
      </c>
      <c r="C23" s="15">
        <v>2</v>
      </c>
    </row>
    <row r="24" spans="2:3" ht="15" customHeight="1" x14ac:dyDescent="0.2">
      <c r="B24" s="15" t="s">
        <v>56</v>
      </c>
      <c r="C24" s="15">
        <v>73.7</v>
      </c>
    </row>
    <row r="25" spans="2:3" ht="15" customHeight="1" x14ac:dyDescent="0.2">
      <c r="B25" s="15" t="s">
        <v>111</v>
      </c>
      <c r="C25" s="15">
        <v>10</v>
      </c>
    </row>
    <row r="26" spans="2:3" ht="15" customHeight="1" x14ac:dyDescent="0.2">
      <c r="B26" s="15" t="s">
        <v>115</v>
      </c>
      <c r="C26" s="15">
        <v>40</v>
      </c>
    </row>
    <row r="27" spans="2:3" ht="15" customHeight="1" x14ac:dyDescent="0.2">
      <c r="B27" s="15" t="s">
        <v>69</v>
      </c>
      <c r="C27" s="15">
        <v>65</v>
      </c>
    </row>
    <row r="28" spans="2:3" ht="15" customHeight="1" x14ac:dyDescent="0.2">
      <c r="B28" s="15" t="s">
        <v>73</v>
      </c>
      <c r="C28" s="15">
        <v>1</v>
      </c>
    </row>
    <row r="29" spans="2:3" ht="15" customHeight="1" x14ac:dyDescent="0.2">
      <c r="B29" s="15" t="s">
        <v>78</v>
      </c>
      <c r="C29" s="15">
        <v>23</v>
      </c>
    </row>
  </sheetData>
  <mergeCells count="2">
    <mergeCell ref="B3:H3"/>
    <mergeCell ref="B2:H2"/>
  </mergeCells>
  <conditionalFormatting sqref="C6:C15">
    <cfRule type="colorScale" priority="1">
      <colorScale>
        <cfvo type="min"/>
        <cfvo type="max"/>
        <color rgb="FFFFFFFF"/>
        <color rgb="FFFF0000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1:H16"/>
  <sheetViews>
    <sheetView showGridLines="0" workbookViewId="0"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5" customWidth="1"/>
    <col min="3" max="3" width="26" customWidth="1"/>
    <col min="4" max="6" width="22" customWidth="1"/>
    <col min="7" max="7" width="28" customWidth="1"/>
    <col min="8" max="8" width="14" customWidth="1"/>
  </cols>
  <sheetData>
    <row r="1" spans="2:8" ht="10" customHeight="1" x14ac:dyDescent="0.2"/>
    <row r="2" spans="2:8" ht="30" customHeight="1" x14ac:dyDescent="0.2">
      <c r="B2" s="38" t="s">
        <v>122</v>
      </c>
      <c r="C2" s="37"/>
      <c r="D2" s="37"/>
      <c r="E2" s="37"/>
      <c r="F2" s="37"/>
      <c r="G2" s="37"/>
      <c r="H2" s="37"/>
    </row>
    <row r="3" spans="2:8" x14ac:dyDescent="0.2">
      <c r="B3" s="36" t="s">
        <v>123</v>
      </c>
      <c r="C3" s="37"/>
      <c r="D3" s="37"/>
      <c r="E3" s="37"/>
      <c r="F3" s="37"/>
      <c r="G3" s="37"/>
      <c r="H3" s="37"/>
    </row>
    <row r="5" spans="2:8" ht="40" customHeight="1" x14ac:dyDescent="0.2">
      <c r="B5" s="4" t="s">
        <v>26</v>
      </c>
      <c r="C5" s="4" t="s">
        <v>124</v>
      </c>
      <c r="D5" s="4" t="s">
        <v>125</v>
      </c>
      <c r="E5" s="4" t="s">
        <v>126</v>
      </c>
      <c r="F5" s="4" t="s">
        <v>127</v>
      </c>
      <c r="G5" s="4" t="s">
        <v>128</v>
      </c>
      <c r="H5" s="4" t="s">
        <v>129</v>
      </c>
    </row>
    <row r="6" spans="2:8" ht="35" customHeight="1" x14ac:dyDescent="0.2">
      <c r="B6" s="5" t="s">
        <v>41</v>
      </c>
      <c r="C6" s="5" t="s">
        <v>130</v>
      </c>
      <c r="D6" s="5" t="s">
        <v>131</v>
      </c>
      <c r="E6" s="5" t="s">
        <v>132</v>
      </c>
      <c r="F6" s="5" t="s">
        <v>133</v>
      </c>
      <c r="G6" s="5" t="s">
        <v>134</v>
      </c>
      <c r="H6" s="5" t="s">
        <v>135</v>
      </c>
    </row>
    <row r="7" spans="2:8" ht="35" customHeight="1" x14ac:dyDescent="0.2">
      <c r="B7" s="9" t="s">
        <v>56</v>
      </c>
      <c r="C7" s="9" t="s">
        <v>136</v>
      </c>
      <c r="D7" s="9" t="s">
        <v>137</v>
      </c>
      <c r="E7" s="9" t="s">
        <v>138</v>
      </c>
      <c r="F7" s="9" t="s">
        <v>139</v>
      </c>
      <c r="G7" s="9" t="s">
        <v>140</v>
      </c>
      <c r="H7" s="9" t="s">
        <v>141</v>
      </c>
    </row>
    <row r="8" spans="2:8" ht="35" customHeight="1" x14ac:dyDescent="0.2">
      <c r="B8" s="5" t="s">
        <v>142</v>
      </c>
      <c r="C8" s="5" t="s">
        <v>143</v>
      </c>
      <c r="D8" s="5" t="s">
        <v>144</v>
      </c>
      <c r="E8" s="5" t="s">
        <v>145</v>
      </c>
      <c r="F8" s="5" t="s">
        <v>146</v>
      </c>
      <c r="G8" s="5" t="s">
        <v>147</v>
      </c>
      <c r="H8" s="5" t="s">
        <v>148</v>
      </c>
    </row>
    <row r="9" spans="2:8" ht="35" customHeight="1" x14ac:dyDescent="0.2">
      <c r="B9" s="9" t="s">
        <v>149</v>
      </c>
      <c r="C9" s="9" t="s">
        <v>150</v>
      </c>
      <c r="D9" s="9" t="s">
        <v>151</v>
      </c>
      <c r="E9" s="9" t="s">
        <v>152</v>
      </c>
      <c r="F9" s="9" t="s">
        <v>153</v>
      </c>
      <c r="G9" s="9" t="s">
        <v>154</v>
      </c>
      <c r="H9" s="9" t="s">
        <v>135</v>
      </c>
    </row>
    <row r="10" spans="2:8" ht="35" customHeight="1" x14ac:dyDescent="0.2">
      <c r="B10" s="5" t="s">
        <v>155</v>
      </c>
      <c r="C10" s="5" t="s">
        <v>156</v>
      </c>
      <c r="D10" s="5" t="s">
        <v>157</v>
      </c>
      <c r="E10" s="5" t="s">
        <v>158</v>
      </c>
      <c r="F10" s="5" t="s">
        <v>159</v>
      </c>
      <c r="G10" s="5" t="s">
        <v>160</v>
      </c>
      <c r="H10" s="5" t="s">
        <v>161</v>
      </c>
    </row>
    <row r="11" spans="2:8" ht="35" customHeight="1" x14ac:dyDescent="0.2">
      <c r="B11" s="9" t="s">
        <v>103</v>
      </c>
      <c r="C11" s="9" t="s">
        <v>162</v>
      </c>
      <c r="D11" s="9" t="s">
        <v>163</v>
      </c>
      <c r="E11" s="9" t="s">
        <v>164</v>
      </c>
      <c r="F11" s="9" t="s">
        <v>165</v>
      </c>
      <c r="G11" s="9" t="s">
        <v>166</v>
      </c>
      <c r="H11" s="9" t="s">
        <v>167</v>
      </c>
    </row>
    <row r="12" spans="2:8" ht="35" customHeight="1" x14ac:dyDescent="0.2">
      <c r="B12" s="5" t="s">
        <v>168</v>
      </c>
      <c r="C12" s="5" t="s">
        <v>169</v>
      </c>
      <c r="D12" s="5" t="s">
        <v>170</v>
      </c>
      <c r="E12" s="5" t="s">
        <v>171</v>
      </c>
      <c r="F12" s="5" t="s">
        <v>172</v>
      </c>
      <c r="G12" s="5" t="s">
        <v>173</v>
      </c>
      <c r="H12" s="5" t="s">
        <v>174</v>
      </c>
    </row>
    <row r="13" spans="2:8" ht="35" customHeight="1" x14ac:dyDescent="0.2">
      <c r="B13" s="9" t="s">
        <v>175</v>
      </c>
      <c r="C13" s="9" t="s">
        <v>176</v>
      </c>
      <c r="D13" s="9" t="s">
        <v>177</v>
      </c>
      <c r="E13" s="9" t="s">
        <v>178</v>
      </c>
      <c r="F13" s="9" t="s">
        <v>179</v>
      </c>
      <c r="G13" s="9" t="s">
        <v>180</v>
      </c>
      <c r="H13" s="9" t="s">
        <v>181</v>
      </c>
    </row>
    <row r="14" spans="2:8" ht="35" customHeight="1" x14ac:dyDescent="0.2">
      <c r="B14" s="5" t="s">
        <v>182</v>
      </c>
      <c r="C14" s="5" t="s">
        <v>183</v>
      </c>
      <c r="D14" s="5" t="s">
        <v>184</v>
      </c>
      <c r="E14" s="5" t="s">
        <v>185</v>
      </c>
      <c r="F14" s="5" t="s">
        <v>186</v>
      </c>
      <c r="G14" s="5" t="s">
        <v>187</v>
      </c>
      <c r="H14" s="5" t="s">
        <v>148</v>
      </c>
    </row>
    <row r="16" spans="2:8" x14ac:dyDescent="0.2">
      <c r="B16" s="36" t="s">
        <v>188</v>
      </c>
      <c r="C16" s="37"/>
      <c r="D16" s="37"/>
      <c r="E16" s="37"/>
      <c r="F16" s="37"/>
      <c r="G16" s="37"/>
      <c r="H16" s="37"/>
    </row>
  </sheetData>
  <mergeCells count="3">
    <mergeCell ref="B16:H16"/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B1:J55"/>
  <sheetViews>
    <sheetView showGridLines="0" tabSelected="1" workbookViewId="0">
      <selection pane="topRight"/>
      <selection pane="bottomLeft"/>
      <selection pane="bottomRight" activeCell="C1" sqref="C1:C1048576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11.6640625" bestFit="1" customWidth="1"/>
    <col min="4" max="4" width="7.6640625" bestFit="1" customWidth="1"/>
    <col min="5" max="5" width="11.33203125" bestFit="1" customWidth="1"/>
    <col min="6" max="6" width="9.6640625" bestFit="1" customWidth="1"/>
    <col min="7" max="9" width="9" customWidth="1"/>
    <col min="10" max="10" width="14" customWidth="1"/>
  </cols>
  <sheetData>
    <row r="1" spans="2:10" ht="10" customHeight="1" x14ac:dyDescent="0.2"/>
    <row r="2" spans="2:10" ht="30" customHeight="1" x14ac:dyDescent="0.2">
      <c r="B2" s="38" t="s">
        <v>189</v>
      </c>
      <c r="C2" s="37"/>
      <c r="D2" s="37"/>
      <c r="E2" s="37"/>
      <c r="F2" s="37"/>
      <c r="G2" s="37"/>
      <c r="H2" s="37"/>
      <c r="I2" s="37"/>
      <c r="J2" s="37"/>
    </row>
    <row r="3" spans="2:10" x14ac:dyDescent="0.2">
      <c r="B3" s="36" t="s">
        <v>190</v>
      </c>
      <c r="C3" s="37"/>
      <c r="D3" s="37"/>
      <c r="E3" s="37"/>
      <c r="F3" s="37"/>
      <c r="G3" s="37"/>
      <c r="H3" s="37"/>
      <c r="I3" s="37"/>
      <c r="J3" s="37"/>
    </row>
    <row r="5" spans="2:10" x14ac:dyDescent="0.2">
      <c r="B5" s="45" t="s">
        <v>191</v>
      </c>
      <c r="C5" s="37"/>
      <c r="D5" s="37"/>
      <c r="E5" s="37"/>
      <c r="F5" s="37"/>
    </row>
    <row r="6" spans="2:10" ht="35" customHeight="1" x14ac:dyDescent="0.2">
      <c r="B6" s="4" t="s">
        <v>192</v>
      </c>
      <c r="C6" s="4" t="s">
        <v>193</v>
      </c>
      <c r="D6" s="4" t="s">
        <v>194</v>
      </c>
      <c r="E6" s="4" t="s">
        <v>195</v>
      </c>
      <c r="F6" s="4" t="s">
        <v>196</v>
      </c>
    </row>
    <row r="7" spans="2:10" ht="18" customHeight="1" x14ac:dyDescent="0.2">
      <c r="B7" s="14" t="s">
        <v>197</v>
      </c>
      <c r="C7" s="16">
        <v>380.8</v>
      </c>
      <c r="D7" s="16">
        <v>261.10000000000002</v>
      </c>
      <c r="E7" s="16">
        <v>118.7</v>
      </c>
      <c r="F7" s="14"/>
    </row>
    <row r="8" spans="2:10" ht="18" customHeight="1" x14ac:dyDescent="0.2">
      <c r="B8" s="17" t="s">
        <v>198</v>
      </c>
      <c r="C8" s="18">
        <v>359</v>
      </c>
      <c r="D8" s="18">
        <v>275.89999999999998</v>
      </c>
      <c r="E8" s="18">
        <v>110.5</v>
      </c>
      <c r="F8" s="19">
        <v>-5.7</v>
      </c>
    </row>
    <row r="9" spans="2:10" ht="18" customHeight="1" x14ac:dyDescent="0.2">
      <c r="B9" s="14" t="s">
        <v>199</v>
      </c>
      <c r="C9" s="16">
        <v>447</v>
      </c>
      <c r="D9" s="16">
        <v>302.89999999999998</v>
      </c>
      <c r="E9" s="16">
        <v>144.1</v>
      </c>
      <c r="F9" s="20">
        <v>24.5</v>
      </c>
    </row>
    <row r="10" spans="2:10" ht="18" customHeight="1" x14ac:dyDescent="0.2">
      <c r="B10" s="17" t="s">
        <v>200</v>
      </c>
      <c r="C10" s="18">
        <v>507.4</v>
      </c>
      <c r="D10" s="18">
        <v>330.1</v>
      </c>
      <c r="E10" s="18">
        <v>177.3</v>
      </c>
      <c r="F10" s="19">
        <v>13.5</v>
      </c>
    </row>
    <row r="11" spans="2:10" ht="18" customHeight="1" x14ac:dyDescent="0.2">
      <c r="B11" s="14" t="s">
        <v>201</v>
      </c>
      <c r="C11" s="16">
        <v>474.7</v>
      </c>
      <c r="D11" s="16">
        <v>313.39999999999998</v>
      </c>
      <c r="E11" s="16">
        <v>161.30000000000001</v>
      </c>
      <c r="F11" s="20">
        <v>-6.4</v>
      </c>
    </row>
    <row r="12" spans="2:10" ht="18" customHeight="1" x14ac:dyDescent="0.2">
      <c r="B12" s="17" t="s">
        <v>202</v>
      </c>
      <c r="C12" s="18">
        <v>394.4</v>
      </c>
      <c r="D12" s="18">
        <v>290.60000000000002</v>
      </c>
      <c r="E12" s="18">
        <v>102.6</v>
      </c>
      <c r="F12" s="19">
        <v>-16.899999999999999</v>
      </c>
    </row>
    <row r="13" spans="2:10" ht="18" customHeight="1" x14ac:dyDescent="0.2">
      <c r="B13" s="14" t="s">
        <v>203</v>
      </c>
      <c r="C13" s="16">
        <v>612.5</v>
      </c>
      <c r="D13" s="16">
        <v>422</v>
      </c>
      <c r="E13" s="16">
        <v>190.7</v>
      </c>
      <c r="F13" s="20">
        <v>55.3</v>
      </c>
    </row>
    <row r="14" spans="2:10" ht="18" customHeight="1" x14ac:dyDescent="0.2">
      <c r="B14" s="17" t="s">
        <v>204</v>
      </c>
      <c r="C14" s="18">
        <v>714.2</v>
      </c>
      <c r="D14" s="18">
        <v>451.1</v>
      </c>
      <c r="E14" s="18">
        <v>263</v>
      </c>
      <c r="F14" s="19">
        <v>16.600000000000001</v>
      </c>
    </row>
    <row r="15" spans="2:10" ht="18" customHeight="1" x14ac:dyDescent="0.2">
      <c r="B15" s="14" t="s">
        <v>205</v>
      </c>
      <c r="C15" s="16">
        <v>677.2</v>
      </c>
      <c r="D15" s="16">
        <v>437.1</v>
      </c>
      <c r="E15" s="16">
        <v>240.1</v>
      </c>
      <c r="F15" s="20">
        <v>-5.2</v>
      </c>
    </row>
    <row r="16" spans="2:10" ht="18" customHeight="1" x14ac:dyDescent="0.2">
      <c r="B16" s="17" t="s">
        <v>206</v>
      </c>
      <c r="C16" s="18">
        <v>678.7</v>
      </c>
      <c r="D16" s="18">
        <v>437.4</v>
      </c>
      <c r="E16" s="18">
        <v>241.3</v>
      </c>
      <c r="F16" s="19">
        <v>0.2</v>
      </c>
    </row>
    <row r="17" spans="2:6" ht="18" customHeight="1" x14ac:dyDescent="0.2">
      <c r="B17" s="14" t="s">
        <v>207</v>
      </c>
      <c r="C17" s="16">
        <v>710</v>
      </c>
      <c r="D17" s="16">
        <v>450</v>
      </c>
      <c r="E17" s="16">
        <v>260</v>
      </c>
      <c r="F17" s="20">
        <v>4.5999999999999996</v>
      </c>
    </row>
    <row r="18" spans="2:6" x14ac:dyDescent="0.2">
      <c r="B18" s="36" t="s">
        <v>208</v>
      </c>
      <c r="C18" s="37"/>
      <c r="D18" s="37"/>
      <c r="E18" s="37"/>
      <c r="F18" s="37"/>
    </row>
    <row r="37" spans="2:10" ht="10" customHeight="1" x14ac:dyDescent="0.2"/>
    <row r="38" spans="2:10" x14ac:dyDescent="0.2">
      <c r="B38" s="45" t="s">
        <v>209</v>
      </c>
      <c r="C38" s="37"/>
      <c r="D38" s="37"/>
      <c r="E38" s="37"/>
      <c r="F38" s="37"/>
      <c r="G38" s="37"/>
      <c r="H38" s="37"/>
      <c r="I38" s="37"/>
      <c r="J38" s="37"/>
    </row>
    <row r="39" spans="2:10" ht="35" customHeight="1" x14ac:dyDescent="0.2">
      <c r="B39" s="4" t="s">
        <v>26</v>
      </c>
      <c r="C39" s="4" t="s">
        <v>210</v>
      </c>
      <c r="D39" s="4" t="s">
        <v>211</v>
      </c>
      <c r="E39" s="4" t="s">
        <v>212</v>
      </c>
      <c r="F39" s="4" t="s">
        <v>213</v>
      </c>
      <c r="G39" s="4" t="s">
        <v>214</v>
      </c>
      <c r="H39" s="4" t="s">
        <v>215</v>
      </c>
      <c r="I39" s="4" t="s">
        <v>216</v>
      </c>
      <c r="J39" s="4" t="s">
        <v>217</v>
      </c>
    </row>
    <row r="40" spans="2:10" ht="20" customHeight="1" x14ac:dyDescent="0.2">
      <c r="B40" s="13" t="s">
        <v>34</v>
      </c>
      <c r="C40" s="16">
        <v>122.1</v>
      </c>
      <c r="D40" s="16">
        <v>150.80000000000001</v>
      </c>
      <c r="E40" s="16">
        <v>130.6</v>
      </c>
      <c r="F40" s="16">
        <v>223.3</v>
      </c>
      <c r="G40" s="16">
        <v>260.39999999999998</v>
      </c>
      <c r="H40" s="16">
        <v>215.8</v>
      </c>
      <c r="I40" s="16">
        <v>220.6</v>
      </c>
      <c r="J40" s="21" t="str">
        <f t="shared" ref="J40:J45" ca="1" si="0">((J40/C40)^(1/9))-1</f>
        <v/>
      </c>
    </row>
    <row r="41" spans="2:10" ht="20" customHeight="1" x14ac:dyDescent="0.2">
      <c r="B41" s="22" t="s">
        <v>218</v>
      </c>
      <c r="C41" s="18">
        <v>42.1</v>
      </c>
      <c r="D41" s="18">
        <v>54</v>
      </c>
      <c r="E41" s="18">
        <v>55.3</v>
      </c>
      <c r="F41" s="18">
        <v>72</v>
      </c>
      <c r="G41" s="18">
        <v>80.3</v>
      </c>
      <c r="H41" s="18">
        <v>85</v>
      </c>
      <c r="I41" s="18">
        <v>89.8</v>
      </c>
      <c r="J41" s="23" t="str">
        <f t="shared" ca="1" si="0"/>
        <v/>
      </c>
    </row>
    <row r="42" spans="2:10" ht="20" customHeight="1" x14ac:dyDescent="0.2">
      <c r="B42" s="13" t="s">
        <v>219</v>
      </c>
      <c r="C42" s="16">
        <v>38</v>
      </c>
      <c r="D42" s="16">
        <v>44.5</v>
      </c>
      <c r="E42" s="16">
        <v>40.299999999999997</v>
      </c>
      <c r="F42" s="16">
        <v>55</v>
      </c>
      <c r="G42" s="16">
        <v>57.8</v>
      </c>
      <c r="H42" s="16">
        <v>54.1</v>
      </c>
      <c r="I42" s="16">
        <v>56.2</v>
      </c>
      <c r="J42" s="21" t="str">
        <f t="shared" ca="1" si="0"/>
        <v/>
      </c>
    </row>
    <row r="43" spans="2:10" ht="20" customHeight="1" x14ac:dyDescent="0.2">
      <c r="B43" s="22" t="s">
        <v>220</v>
      </c>
      <c r="C43" s="18">
        <v>39</v>
      </c>
      <c r="D43" s="18">
        <v>33.700000000000003</v>
      </c>
      <c r="E43" s="18">
        <v>40</v>
      </c>
      <c r="F43" s="18">
        <v>46.2</v>
      </c>
      <c r="G43" s="18">
        <v>45.8</v>
      </c>
      <c r="H43" s="18">
        <v>48.5</v>
      </c>
      <c r="I43" s="18">
        <v>60.5</v>
      </c>
      <c r="J43" s="23" t="str">
        <f t="shared" ca="1" si="0"/>
        <v/>
      </c>
    </row>
    <row r="44" spans="2:10" ht="20" customHeight="1" x14ac:dyDescent="0.2">
      <c r="B44" s="13" t="s">
        <v>221</v>
      </c>
      <c r="C44" s="16">
        <v>11.5</v>
      </c>
      <c r="D44" s="16">
        <v>15.2</v>
      </c>
      <c r="E44" s="16">
        <v>18</v>
      </c>
      <c r="F44" s="16">
        <v>25</v>
      </c>
      <c r="G44" s="16">
        <v>27</v>
      </c>
      <c r="H44" s="16">
        <v>27.5</v>
      </c>
      <c r="I44" s="16">
        <v>28.4</v>
      </c>
      <c r="J44" s="21" t="str">
        <f t="shared" ca="1" si="0"/>
        <v/>
      </c>
    </row>
    <row r="45" spans="2:10" ht="20" customHeight="1" x14ac:dyDescent="0.2">
      <c r="B45" s="22" t="s">
        <v>222</v>
      </c>
      <c r="C45" s="18">
        <v>60</v>
      </c>
      <c r="D45" s="18">
        <v>76.5</v>
      </c>
      <c r="E45" s="18">
        <v>65.3</v>
      </c>
      <c r="F45" s="18">
        <v>94.2</v>
      </c>
      <c r="G45" s="18">
        <v>98.5</v>
      </c>
      <c r="H45" s="18">
        <v>101.7</v>
      </c>
      <c r="I45" s="18">
        <v>113.5</v>
      </c>
      <c r="J45" s="23" t="str">
        <f t="shared" ca="1" si="0"/>
        <v/>
      </c>
    </row>
    <row r="50" spans="2:3" ht="15" customHeight="1" x14ac:dyDescent="0.2">
      <c r="B50" s="15" t="s">
        <v>34</v>
      </c>
      <c r="C50" s="15">
        <v>6.8</v>
      </c>
    </row>
    <row r="51" spans="2:3" ht="15" customHeight="1" x14ac:dyDescent="0.2">
      <c r="B51" s="15" t="s">
        <v>218</v>
      </c>
      <c r="C51" s="15">
        <v>8.8000000000000007</v>
      </c>
    </row>
    <row r="52" spans="2:3" ht="15" customHeight="1" x14ac:dyDescent="0.2">
      <c r="B52" s="15" t="s">
        <v>219</v>
      </c>
      <c r="C52" s="15">
        <v>4.4000000000000004</v>
      </c>
    </row>
    <row r="53" spans="2:3" ht="15" customHeight="1" x14ac:dyDescent="0.2">
      <c r="B53" s="15" t="s">
        <v>220</v>
      </c>
      <c r="C53" s="15">
        <v>5</v>
      </c>
    </row>
    <row r="54" spans="2:3" ht="15" customHeight="1" x14ac:dyDescent="0.2">
      <c r="B54" s="15" t="s">
        <v>221</v>
      </c>
      <c r="C54" s="15">
        <v>10.6</v>
      </c>
    </row>
    <row r="55" spans="2:3" ht="15" customHeight="1" x14ac:dyDescent="0.2">
      <c r="B55" s="15" t="s">
        <v>222</v>
      </c>
      <c r="C55" s="15">
        <v>7.3</v>
      </c>
    </row>
  </sheetData>
  <mergeCells count="5">
    <mergeCell ref="B3:J3"/>
    <mergeCell ref="B5:F5"/>
    <mergeCell ref="B18:F18"/>
    <mergeCell ref="B38:J38"/>
    <mergeCell ref="B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L15"/>
  <sheetViews>
    <sheetView showGridLines="0" workbookViewId="0"/>
  </sheetViews>
  <sheetFormatPr baseColWidth="10" defaultColWidth="8.83203125" defaultRowHeight="15" x14ac:dyDescent="0.2"/>
  <cols>
    <col min="1" max="1" width="3" customWidth="1"/>
  </cols>
  <sheetData>
    <row r="1" spans="2:12" ht="10" customHeight="1" x14ac:dyDescent="0.2"/>
    <row r="2" spans="2:12" ht="30" customHeight="1" x14ac:dyDescent="0.2">
      <c r="B2" s="38" t="s">
        <v>223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5" spans="2:12" ht="15" customHeight="1" x14ac:dyDescent="0.2">
      <c r="B5" s="15" t="s">
        <v>34</v>
      </c>
      <c r="C5" s="15">
        <v>220.6</v>
      </c>
      <c r="E5" s="15" t="s">
        <v>87</v>
      </c>
      <c r="F5" s="15">
        <v>113.5</v>
      </c>
    </row>
    <row r="6" spans="2:12" ht="15" customHeight="1" x14ac:dyDescent="0.2">
      <c r="B6" s="15" t="s">
        <v>218</v>
      </c>
      <c r="C6" s="15">
        <v>89.8</v>
      </c>
      <c r="E6" s="15" t="s">
        <v>224</v>
      </c>
      <c r="F6" s="15">
        <v>61.6</v>
      </c>
    </row>
    <row r="7" spans="2:12" ht="15" customHeight="1" x14ac:dyDescent="0.2">
      <c r="B7" s="15" t="s">
        <v>219</v>
      </c>
      <c r="C7" s="15">
        <v>56.2</v>
      </c>
      <c r="E7" s="15" t="s">
        <v>225</v>
      </c>
      <c r="F7" s="15">
        <v>40.799999999999997</v>
      </c>
    </row>
    <row r="8" spans="2:12" ht="15" customHeight="1" x14ac:dyDescent="0.2">
      <c r="B8" s="15" t="s">
        <v>220</v>
      </c>
      <c r="C8" s="15">
        <v>60.5</v>
      </c>
      <c r="E8" s="15" t="s">
        <v>226</v>
      </c>
      <c r="F8" s="15">
        <v>40.5</v>
      </c>
    </row>
    <row r="9" spans="2:12" ht="15" customHeight="1" x14ac:dyDescent="0.2">
      <c r="B9" s="15" t="s">
        <v>221</v>
      </c>
      <c r="C9" s="15">
        <v>28.4</v>
      </c>
      <c r="E9" s="15" t="s">
        <v>227</v>
      </c>
      <c r="F9" s="15">
        <v>21</v>
      </c>
    </row>
    <row r="10" spans="2:12" ht="15" customHeight="1" x14ac:dyDescent="0.2">
      <c r="B10" s="15" t="s">
        <v>228</v>
      </c>
      <c r="C10" s="15">
        <v>26.8</v>
      </c>
      <c r="E10" s="15" t="s">
        <v>229</v>
      </c>
      <c r="F10" s="15">
        <v>33</v>
      </c>
    </row>
    <row r="11" spans="2:12" ht="15" customHeight="1" x14ac:dyDescent="0.2">
      <c r="B11" s="15" t="s">
        <v>230</v>
      </c>
      <c r="C11" s="15">
        <v>18.5</v>
      </c>
      <c r="E11" s="15" t="s">
        <v>231</v>
      </c>
      <c r="F11" s="15">
        <v>27.5</v>
      </c>
    </row>
    <row r="12" spans="2:12" ht="15" customHeight="1" x14ac:dyDescent="0.2">
      <c r="B12" s="15" t="s">
        <v>232</v>
      </c>
      <c r="C12" s="15">
        <v>6.2</v>
      </c>
      <c r="E12" s="15" t="s">
        <v>233</v>
      </c>
      <c r="F12" s="15">
        <v>15.5</v>
      </c>
    </row>
    <row r="13" spans="2:12" ht="15" customHeight="1" x14ac:dyDescent="0.2">
      <c r="B13" s="15" t="s">
        <v>73</v>
      </c>
      <c r="C13" s="15">
        <v>5.5</v>
      </c>
      <c r="E13" s="15" t="s">
        <v>234</v>
      </c>
      <c r="F13" s="15">
        <v>12</v>
      </c>
    </row>
    <row r="14" spans="2:12" ht="15" customHeight="1" x14ac:dyDescent="0.2">
      <c r="B14" s="15" t="s">
        <v>155</v>
      </c>
      <c r="C14" s="15">
        <v>4.0999999999999996</v>
      </c>
      <c r="E14" s="15" t="s">
        <v>235</v>
      </c>
      <c r="F14" s="15">
        <v>11.5</v>
      </c>
    </row>
    <row r="15" spans="2:12" ht="15" customHeight="1" x14ac:dyDescent="0.2">
      <c r="B15" s="15" t="s">
        <v>236</v>
      </c>
      <c r="C15" s="15">
        <v>104.6</v>
      </c>
    </row>
  </sheetData>
  <mergeCells count="1">
    <mergeCell ref="B2:L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B1:H17"/>
  <sheetViews>
    <sheetView showGridLines="0" zoomScale="125" workbookViewId="0">
      <selection pane="topRight"/>
      <selection pane="bottomLeft"/>
      <selection pane="bottomRight" activeCell="F9" sqref="F9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18" customWidth="1"/>
    <col min="4" max="4" width="15" customWidth="1"/>
    <col min="5" max="5" width="18" customWidth="1"/>
    <col min="6" max="6" width="22" customWidth="1"/>
    <col min="7" max="7" width="16" customWidth="1"/>
  </cols>
  <sheetData>
    <row r="1" spans="2:8" ht="10" customHeight="1" x14ac:dyDescent="0.2"/>
    <row r="2" spans="2:8" ht="30" customHeight="1" x14ac:dyDescent="0.2">
      <c r="B2" s="38" t="s">
        <v>237</v>
      </c>
      <c r="C2" s="37"/>
      <c r="D2" s="37"/>
      <c r="E2" s="37"/>
      <c r="F2" s="37"/>
      <c r="G2" s="37"/>
      <c r="H2" s="37"/>
    </row>
    <row r="3" spans="2:8" x14ac:dyDescent="0.2">
      <c r="B3" s="36" t="s">
        <v>238</v>
      </c>
      <c r="C3" s="37"/>
      <c r="D3" s="37"/>
      <c r="E3" s="37"/>
      <c r="F3" s="37"/>
      <c r="G3" s="37"/>
      <c r="H3" s="37"/>
    </row>
    <row r="5" spans="2:8" ht="40" customHeight="1" x14ac:dyDescent="0.2">
      <c r="B5" s="4" t="s">
        <v>26</v>
      </c>
      <c r="C5" s="4" t="s">
        <v>239</v>
      </c>
      <c r="D5" s="4" t="s">
        <v>240</v>
      </c>
      <c r="E5" s="4" t="s">
        <v>241</v>
      </c>
      <c r="F5" s="4" t="s">
        <v>242</v>
      </c>
      <c r="G5" s="4" t="s">
        <v>243</v>
      </c>
    </row>
    <row r="6" spans="2:8" ht="22" customHeight="1" x14ac:dyDescent="0.2">
      <c r="B6" s="13" t="s">
        <v>34</v>
      </c>
      <c r="C6" s="14">
        <v>4</v>
      </c>
      <c r="D6" s="14">
        <v>1</v>
      </c>
      <c r="E6" s="14">
        <v>5</v>
      </c>
      <c r="F6" s="14">
        <v>3</v>
      </c>
      <c r="G6" s="24">
        <f t="shared" ref="G6:G15" si="0">AVERAGE(C6:F6)</f>
        <v>3.25</v>
      </c>
    </row>
    <row r="7" spans="2:8" ht="22" customHeight="1" x14ac:dyDescent="0.2">
      <c r="B7" s="13" t="s">
        <v>41</v>
      </c>
      <c r="C7" s="14">
        <v>4</v>
      </c>
      <c r="D7" s="14">
        <v>5</v>
      </c>
      <c r="E7" s="14">
        <v>4</v>
      </c>
      <c r="F7" s="14">
        <v>2</v>
      </c>
      <c r="G7" s="24">
        <f t="shared" si="0"/>
        <v>3.75</v>
      </c>
    </row>
    <row r="8" spans="2:8" ht="22" customHeight="1" x14ac:dyDescent="0.2">
      <c r="B8" s="13" t="s">
        <v>103</v>
      </c>
      <c r="C8" s="14">
        <v>3</v>
      </c>
      <c r="D8" s="14">
        <v>4</v>
      </c>
      <c r="E8" s="14">
        <v>3</v>
      </c>
      <c r="F8" s="14">
        <v>3</v>
      </c>
      <c r="G8" s="24">
        <f t="shared" si="0"/>
        <v>3.25</v>
      </c>
    </row>
    <row r="9" spans="2:8" ht="22" customHeight="1" x14ac:dyDescent="0.2">
      <c r="B9" s="13" t="s">
        <v>220</v>
      </c>
      <c r="C9" s="14">
        <v>3</v>
      </c>
      <c r="D9" s="14">
        <v>1</v>
      </c>
      <c r="E9" s="14">
        <v>2</v>
      </c>
      <c r="F9" s="14">
        <v>2</v>
      </c>
      <c r="G9" s="24">
        <f t="shared" si="0"/>
        <v>2</v>
      </c>
    </row>
    <row r="10" spans="2:8" ht="22" customHeight="1" x14ac:dyDescent="0.2">
      <c r="B10" s="13" t="s">
        <v>56</v>
      </c>
      <c r="C10" s="14">
        <v>5</v>
      </c>
      <c r="D10" s="14">
        <v>5</v>
      </c>
      <c r="E10" s="14">
        <v>4</v>
      </c>
      <c r="F10" s="14">
        <v>3</v>
      </c>
      <c r="G10" s="24">
        <f t="shared" si="0"/>
        <v>4.25</v>
      </c>
    </row>
    <row r="11" spans="2:8" ht="22" customHeight="1" x14ac:dyDescent="0.2">
      <c r="B11" s="13" t="s">
        <v>111</v>
      </c>
      <c r="C11" s="14">
        <v>4</v>
      </c>
      <c r="D11" s="14">
        <v>2</v>
      </c>
      <c r="E11" s="14">
        <v>4</v>
      </c>
      <c r="F11" s="14">
        <v>2</v>
      </c>
      <c r="G11" s="24">
        <f t="shared" si="0"/>
        <v>3</v>
      </c>
    </row>
    <row r="12" spans="2:8" ht="22" customHeight="1" x14ac:dyDescent="0.2">
      <c r="B12" s="13" t="s">
        <v>65</v>
      </c>
      <c r="C12" s="14">
        <v>3</v>
      </c>
      <c r="D12" s="14">
        <v>4</v>
      </c>
      <c r="E12" s="14">
        <v>3</v>
      </c>
      <c r="F12" s="14">
        <v>3</v>
      </c>
      <c r="G12" s="24">
        <f t="shared" si="0"/>
        <v>3.25</v>
      </c>
    </row>
    <row r="13" spans="2:8" ht="22" customHeight="1" x14ac:dyDescent="0.2">
      <c r="B13" s="13" t="s">
        <v>69</v>
      </c>
      <c r="C13" s="14">
        <v>4</v>
      </c>
      <c r="D13" s="14">
        <v>5</v>
      </c>
      <c r="E13" s="14">
        <v>3</v>
      </c>
      <c r="F13" s="14">
        <v>3</v>
      </c>
      <c r="G13" s="24">
        <f t="shared" si="0"/>
        <v>3.75</v>
      </c>
    </row>
    <row r="14" spans="2:8" ht="22" customHeight="1" x14ac:dyDescent="0.2">
      <c r="B14" s="13" t="s">
        <v>73</v>
      </c>
      <c r="C14" s="14">
        <v>3</v>
      </c>
      <c r="D14" s="14">
        <v>1</v>
      </c>
      <c r="E14" s="14">
        <v>5</v>
      </c>
      <c r="F14" s="14">
        <v>3</v>
      </c>
      <c r="G14" s="24">
        <f t="shared" si="0"/>
        <v>3</v>
      </c>
    </row>
    <row r="15" spans="2:8" ht="22" customHeight="1" x14ac:dyDescent="0.2">
      <c r="B15" s="13" t="s">
        <v>155</v>
      </c>
      <c r="C15" s="14">
        <v>5</v>
      </c>
      <c r="D15" s="14">
        <v>3</v>
      </c>
      <c r="E15" s="14">
        <v>5</v>
      </c>
      <c r="F15" s="14">
        <v>1</v>
      </c>
      <c r="G15" s="24">
        <f t="shared" si="0"/>
        <v>3.5</v>
      </c>
    </row>
    <row r="17" spans="2:7" x14ac:dyDescent="0.2">
      <c r="B17" s="25" t="s">
        <v>244</v>
      </c>
      <c r="C17" s="26" t="s">
        <v>245</v>
      </c>
      <c r="D17" s="27" t="s">
        <v>246</v>
      </c>
      <c r="E17" s="28" t="s">
        <v>247</v>
      </c>
      <c r="F17" s="29" t="s">
        <v>248</v>
      </c>
      <c r="G17" s="30" t="s">
        <v>249</v>
      </c>
    </row>
  </sheetData>
  <mergeCells count="2">
    <mergeCell ref="B3:H3"/>
    <mergeCell ref="B2:H2"/>
  </mergeCells>
  <conditionalFormatting sqref="C6:C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&amp; Navigation</vt:lpstr>
      <vt:lpstr>Sector Summary</vt:lpstr>
      <vt:lpstr>Country Dependency Matrix</vt:lpstr>
      <vt:lpstr>Import Substitution</vt:lpstr>
      <vt:lpstr>Trend Analysis</vt:lpstr>
      <vt:lpstr>Charts</vt:lpstr>
      <vt:lpstr>Dependency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Mukherjee</cp:lastModifiedBy>
  <dcterms:created xsi:type="dcterms:W3CDTF">2026-05-16T13:58:49Z</dcterms:created>
  <dcterms:modified xsi:type="dcterms:W3CDTF">2026-05-16T14:43:32Z</dcterms:modified>
</cp:coreProperties>
</file>