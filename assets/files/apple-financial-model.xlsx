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debjitmukherjee/Desktop/IB INDEPENDENT/APPLE/"/>
    </mc:Choice>
  </mc:AlternateContent>
  <xr:revisionPtr revIDLastSave="0" documentId="13_ncr:1_{DE6118ED-A532-D049-B8A1-C4EC0C4B86C1}" xr6:coauthVersionLast="47" xr6:coauthVersionMax="47" xr10:uidLastSave="{00000000-0000-0000-0000-000000000000}"/>
  <bookViews>
    <workbookView xWindow="0" yWindow="660" windowWidth="29400" windowHeight="18460" tabRatio="500" xr2:uid="{00000000-000D-0000-FFFF-FFFF00000000}"/>
  </bookViews>
  <sheets>
    <sheet name="Income Statement" sheetId="1" r:id="rId1"/>
    <sheet name="Balance Sheet" sheetId="2" r:id="rId2"/>
    <sheet name="Cash Flow Statement" sheetId="3" r:id="rId3"/>
    <sheet name="Key Ratios" sheetId="4" r:id="rId4"/>
    <sheet name="DCF Model" sheetId="5" r:id="rId5"/>
    <sheet name="PE Ratio Analysis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8" i="3" l="1"/>
  <c r="B39" i="3"/>
  <c r="B46" i="2"/>
  <c r="B29" i="2"/>
  <c r="F39" i="1"/>
  <c r="E39" i="1"/>
  <c r="D39" i="1"/>
  <c r="C39" i="1"/>
  <c r="B39" i="1"/>
  <c r="F36" i="1"/>
  <c r="E36" i="1"/>
  <c r="D36" i="1"/>
  <c r="C36" i="1"/>
  <c r="B36" i="1"/>
  <c r="F35" i="1"/>
  <c r="E35" i="1"/>
  <c r="D35" i="1"/>
  <c r="C35" i="1"/>
  <c r="B35" i="1"/>
  <c r="F33" i="1"/>
  <c r="E33" i="1"/>
  <c r="D33" i="1"/>
  <c r="C33" i="1"/>
  <c r="B33" i="1"/>
  <c r="B29" i="1"/>
  <c r="B23" i="1"/>
  <c r="B79" i="5"/>
  <c r="B75" i="5"/>
  <c r="B66" i="5"/>
  <c r="C61" i="5"/>
  <c r="B59" i="5"/>
  <c r="C55" i="5"/>
  <c r="B55" i="5"/>
  <c r="C49" i="5"/>
  <c r="B49" i="5"/>
  <c r="F42" i="5"/>
  <c r="E42" i="5"/>
  <c r="D42" i="5"/>
  <c r="C42" i="5"/>
  <c r="B42" i="5"/>
  <c r="F41" i="5"/>
  <c r="E41" i="5"/>
  <c r="D41" i="5"/>
  <c r="C41" i="5"/>
  <c r="B41" i="5"/>
  <c r="F40" i="5"/>
  <c r="E40" i="5"/>
  <c r="D40" i="5"/>
  <c r="C40" i="5"/>
  <c r="B40" i="5"/>
  <c r="D20" i="5"/>
  <c r="C20" i="5"/>
  <c r="B20" i="5"/>
  <c r="F19" i="5"/>
  <c r="E19" i="5"/>
  <c r="D19" i="5"/>
  <c r="C19" i="5"/>
  <c r="B19" i="5"/>
  <c r="F42" i="4"/>
  <c r="D42" i="4"/>
  <c r="C42" i="4"/>
  <c r="B42" i="4"/>
  <c r="F40" i="4"/>
  <c r="E40" i="4"/>
  <c r="D40" i="4"/>
  <c r="C40" i="4"/>
  <c r="B40" i="4"/>
  <c r="F39" i="4"/>
  <c r="E39" i="4"/>
  <c r="D39" i="4"/>
  <c r="C39" i="4"/>
  <c r="B39" i="4"/>
  <c r="F37" i="4"/>
  <c r="E37" i="4"/>
  <c r="D37" i="4"/>
  <c r="C37" i="4"/>
  <c r="B37" i="4"/>
  <c r="F35" i="4"/>
  <c r="E35" i="4"/>
  <c r="D35" i="4"/>
  <c r="C35" i="4"/>
  <c r="F31" i="4"/>
  <c r="D31" i="4"/>
  <c r="C31" i="4"/>
  <c r="B31" i="4"/>
  <c r="F26" i="4"/>
  <c r="E26" i="4"/>
  <c r="D26" i="4"/>
  <c r="C26" i="4"/>
  <c r="B26" i="4"/>
  <c r="E25" i="4"/>
  <c r="D25" i="4"/>
  <c r="C25" i="4"/>
  <c r="B25" i="4"/>
  <c r="E24" i="4"/>
  <c r="D24" i="4"/>
  <c r="C24" i="4"/>
  <c r="B24" i="4"/>
  <c r="F6" i="4"/>
  <c r="E6" i="4"/>
  <c r="D6" i="4"/>
  <c r="C6" i="4"/>
  <c r="B6" i="4"/>
  <c r="F49" i="3"/>
  <c r="D49" i="3"/>
  <c r="C49" i="3"/>
  <c r="B49" i="3"/>
  <c r="E48" i="3"/>
  <c r="D48" i="3"/>
  <c r="C48" i="3"/>
  <c r="B48" i="3"/>
  <c r="F40" i="3"/>
  <c r="E40" i="3"/>
  <c r="D40" i="3"/>
  <c r="C40" i="3"/>
  <c r="F37" i="3"/>
  <c r="E37" i="3"/>
  <c r="D37" i="3"/>
  <c r="C37" i="3"/>
  <c r="B37" i="3"/>
  <c r="F26" i="3"/>
  <c r="E26" i="3"/>
  <c r="D26" i="3"/>
  <c r="C26" i="3"/>
  <c r="B26" i="3"/>
  <c r="F42" i="2"/>
  <c r="E42" i="2"/>
  <c r="D42" i="2"/>
  <c r="C42" i="2"/>
  <c r="B42" i="2"/>
  <c r="F34" i="2"/>
  <c r="E34" i="2"/>
  <c r="D34" i="2"/>
  <c r="C34" i="2"/>
  <c r="B34" i="2"/>
  <c r="F29" i="2"/>
  <c r="E29" i="2"/>
  <c r="D29" i="2"/>
  <c r="C29" i="2"/>
  <c r="F18" i="2"/>
  <c r="E18" i="2"/>
  <c r="D18" i="2"/>
  <c r="C18" i="2"/>
  <c r="B18" i="2"/>
  <c r="F12" i="2"/>
  <c r="E12" i="2"/>
  <c r="D12" i="2"/>
  <c r="C12" i="2"/>
  <c r="B12" i="2"/>
  <c r="F29" i="1"/>
  <c r="E29" i="1"/>
  <c r="D29" i="1"/>
  <c r="C29" i="1"/>
  <c r="F23" i="1"/>
  <c r="E23" i="1"/>
  <c r="D23" i="1"/>
  <c r="C23" i="1"/>
  <c r="F20" i="1"/>
  <c r="E20" i="1"/>
  <c r="D20" i="1"/>
  <c r="C20" i="1"/>
  <c r="B20" i="1"/>
  <c r="F12" i="1"/>
  <c r="E12" i="1"/>
  <c r="D12" i="1"/>
  <c r="C12" i="1"/>
  <c r="B12" i="1"/>
  <c r="F7" i="1"/>
  <c r="E7" i="1"/>
  <c r="D7" i="1"/>
  <c r="C7" i="1"/>
  <c r="B7" i="1"/>
  <c r="D7" i="4" l="1"/>
  <c r="C7" i="4"/>
  <c r="F7" i="4"/>
  <c r="E7" i="4"/>
  <c r="F29" i="4"/>
  <c r="D29" i="4"/>
  <c r="E29" i="4"/>
  <c r="C29" i="4"/>
  <c r="B29" i="4"/>
  <c r="B7" i="4"/>
  <c r="E30" i="4"/>
  <c r="E15" i="4"/>
  <c r="B15" i="4"/>
  <c r="C13" i="4"/>
  <c r="C10" i="4"/>
  <c r="B26" i="5"/>
  <c r="B39" i="5" s="1"/>
  <c r="B43" i="5" s="1"/>
  <c r="D25" i="5"/>
  <c r="C25" i="5"/>
  <c r="F20" i="5"/>
  <c r="E20" i="5"/>
  <c r="F30" i="4"/>
  <c r="D15" i="4"/>
  <c r="F13" i="4"/>
  <c r="B13" i="4"/>
  <c r="D10" i="4"/>
  <c r="D30" i="4"/>
  <c r="C30" i="4"/>
  <c r="B30" i="4"/>
  <c r="C15" i="4"/>
  <c r="B10" i="4"/>
  <c r="E36" i="2"/>
  <c r="E44" i="2" s="1"/>
  <c r="D36" i="2"/>
  <c r="D44" i="2" s="1"/>
  <c r="B36" i="2"/>
  <c r="B44" i="2" s="1"/>
  <c r="E20" i="2"/>
  <c r="C20" i="2"/>
  <c r="E31" i="4"/>
  <c r="F24" i="4"/>
  <c r="F25" i="4" s="1"/>
  <c r="F15" i="4"/>
  <c r="E13" i="4"/>
  <c r="D13" i="4"/>
  <c r="F10" i="4"/>
  <c r="E10" i="4"/>
  <c r="F36" i="2"/>
  <c r="F44" i="2" s="1"/>
  <c r="C36" i="2"/>
  <c r="C44" i="2" s="1"/>
  <c r="D20" i="2"/>
  <c r="E49" i="3"/>
  <c r="B20" i="2"/>
  <c r="F39" i="3"/>
  <c r="E39" i="3"/>
  <c r="D39" i="3"/>
  <c r="C39" i="3"/>
  <c r="F20" i="2"/>
  <c r="F14" i="1"/>
  <c r="E14" i="1"/>
  <c r="D14" i="1"/>
  <c r="C14" i="1"/>
  <c r="B14" i="1"/>
  <c r="E42" i="4"/>
  <c r="F25" i="5" l="1"/>
  <c r="F26" i="5"/>
  <c r="F39" i="5" s="1"/>
  <c r="F43" i="5" s="1"/>
  <c r="E25" i="5"/>
  <c r="E26" i="5"/>
  <c r="E39" i="5" s="1"/>
  <c r="E43" i="5" s="1"/>
  <c r="E46" i="2"/>
  <c r="E23" i="4"/>
  <c r="E9" i="4"/>
  <c r="C46" i="2"/>
  <c r="C9" i="4"/>
  <c r="C23" i="4"/>
  <c r="D23" i="4"/>
  <c r="D46" i="2"/>
  <c r="D9" i="4"/>
  <c r="B9" i="4"/>
  <c r="B23" i="4"/>
  <c r="F46" i="2"/>
  <c r="F9" i="4"/>
  <c r="F23" i="4"/>
  <c r="F15" i="1"/>
  <c r="F5" i="4"/>
  <c r="E15" i="1"/>
  <c r="E5" i="4"/>
  <c r="D15" i="1"/>
  <c r="D5" i="4"/>
  <c r="C15" i="1"/>
  <c r="C5" i="4"/>
  <c r="B15" i="1"/>
  <c r="B5" i="4"/>
  <c r="D26" i="5"/>
  <c r="D39" i="5" s="1"/>
  <c r="D43" i="5" s="1"/>
  <c r="C26" i="5"/>
  <c r="C39" i="5" s="1"/>
  <c r="C43" i="5" s="1"/>
</calcChain>
</file>

<file path=xl/sharedStrings.xml><?xml version="1.0" encoding="utf-8"?>
<sst xmlns="http://schemas.openxmlformats.org/spreadsheetml/2006/main" count="418" uniqueCount="293">
  <si>
    <t>Apple Inc. - Income Statement (USD Millions)</t>
  </si>
  <si>
    <t>Fiscal Year Ending September</t>
  </si>
  <si>
    <t>FY 2021</t>
  </si>
  <si>
    <t>FY 2022</t>
  </si>
  <si>
    <t>FY 2023</t>
  </si>
  <si>
    <t>FY 2024</t>
  </si>
  <si>
    <t>FY 2025 (Est)</t>
  </si>
  <si>
    <t>Revenue</t>
  </si>
  <si>
    <t>Products Revenue</t>
  </si>
  <si>
    <t>Services Revenue</t>
  </si>
  <si>
    <t>Total Net Sales</t>
  </si>
  <si>
    <t>Cost of Sales</t>
  </si>
  <si>
    <t>Products Cost</t>
  </si>
  <si>
    <t>Services Cost</t>
  </si>
  <si>
    <t>Total Cost of Sales</t>
  </si>
  <si>
    <t>Gross Profit</t>
  </si>
  <si>
    <t>Gross Margin %</t>
  </si>
  <si>
    <t>Operating Expenses</t>
  </si>
  <si>
    <t>Research &amp; Development</t>
  </si>
  <si>
    <t>Selling, General &amp; Administrative</t>
  </si>
  <si>
    <t>Total Operating Expenses</t>
  </si>
  <si>
    <t>Operating Income</t>
  </si>
  <si>
    <t>Operating Margin %</t>
  </si>
  <si>
    <t>Other Income (Expense)</t>
  </si>
  <si>
    <t>Interest Income</t>
  </si>
  <si>
    <t>Interest Expense</t>
  </si>
  <si>
    <t>Other Income, net</t>
  </si>
  <si>
    <t>Total Other Income (Expense)</t>
  </si>
  <si>
    <t>Income Before Tax</t>
  </si>
  <si>
    <t>Provision for Income Taxes</t>
  </si>
  <si>
    <t>Effective Tax Rate %</t>
  </si>
  <si>
    <t>Net Income</t>
  </si>
  <si>
    <t>Net Income Margin %</t>
  </si>
  <si>
    <t>Shares Outstanding (Diluted, Millions)</t>
  </si>
  <si>
    <t>Earnings Per Share (Diluted)</t>
  </si>
  <si>
    <t>Apple Inc. - Balance Sheet (USD Millions)</t>
  </si>
  <si>
    <t>ASSETS</t>
  </si>
  <si>
    <t>Current Assets</t>
  </si>
  <si>
    <t>Cash and Cash Equivalents</t>
  </si>
  <si>
    <t>Marketable Securities</t>
  </si>
  <si>
    <t>Accounts Receivable, net</t>
  </si>
  <si>
    <t>Inventories</t>
  </si>
  <si>
    <t>Vendor Non-Trade Receivables</t>
  </si>
  <si>
    <t>Other Current Assets</t>
  </si>
  <si>
    <t>Total Current Assets</t>
  </si>
  <si>
    <t>Non-Current Assets</t>
  </si>
  <si>
    <t>Marketable Securities (Long-term)</t>
  </si>
  <si>
    <t>Property, Plant &amp; Equipment, net</t>
  </si>
  <si>
    <t>Other Non-Current Assets</t>
  </si>
  <si>
    <t>Total Non-Current Assets</t>
  </si>
  <si>
    <t>Total Assets</t>
  </si>
  <si>
    <t>LIABILITIES &amp; SHAREHOLDERS' EQUITY</t>
  </si>
  <si>
    <t>Current Liabilities</t>
  </si>
  <si>
    <t>Accounts Payable</t>
  </si>
  <si>
    <t>Other Current Liabilities</t>
  </si>
  <si>
    <t>Deferred Revenue</t>
  </si>
  <si>
    <t>Commercial Paper</t>
  </si>
  <si>
    <t>Current Portion of Long-Term Debt</t>
  </si>
  <si>
    <t>Total Current Liabilities</t>
  </si>
  <si>
    <t>Non-Current Liabilities</t>
  </si>
  <si>
    <t>Long-Term Debt</t>
  </si>
  <si>
    <t>Other Non-Current Liabilities</t>
  </si>
  <si>
    <t>Total Non-Current Liabilities</t>
  </si>
  <si>
    <t>Total Liabilities</t>
  </si>
  <si>
    <t>Shareholders' Equity</t>
  </si>
  <si>
    <t>Common Stock &amp; Additional Paid-In Capital</t>
  </si>
  <si>
    <t>Retained Earnings</t>
  </si>
  <si>
    <t>Accumulated Other Comprehensive Income (Loss)</t>
  </si>
  <si>
    <t>Total Shareholders' Equity</t>
  </si>
  <si>
    <t>Total Liabilities &amp; Shareholders' Equity</t>
  </si>
  <si>
    <t>Check (Should be 0)</t>
  </si>
  <si>
    <t>Apple Inc. - Cash Flow Statement (USD Millions)</t>
  </si>
  <si>
    <t>OPERATING ACTIVITIES</t>
  </si>
  <si>
    <t>Adjustments to reconcile net income:</t>
  </si>
  <si>
    <t>Depreciation &amp; Amortization</t>
  </si>
  <si>
    <t>Share-Based Compensation</t>
  </si>
  <si>
    <t>Deferred Income Tax</t>
  </si>
  <si>
    <t>Other</t>
  </si>
  <si>
    <t>Changes in Operating Assets and Liabilities:</t>
  </si>
  <si>
    <t>Accounts Receivable</t>
  </si>
  <si>
    <t>Other Assets</t>
  </si>
  <si>
    <t>Other Liabilities</t>
  </si>
  <si>
    <t>Cash from Operating Activities</t>
  </si>
  <si>
    <t>INVESTING ACTIVITIES</t>
  </si>
  <si>
    <t>Purchase of Marketable Securities</t>
  </si>
  <si>
    <t>Proceeds from Maturities of Securities</t>
  </si>
  <si>
    <t>Proceeds from Sales of Securities</t>
  </si>
  <si>
    <t>Payments for Acquisition of PP&amp;E</t>
  </si>
  <si>
    <t>Other Investing Activities</t>
  </si>
  <si>
    <t>Cash from Investing Activities</t>
  </si>
  <si>
    <t>FINANCING ACTIVITIES</t>
  </si>
  <si>
    <t>Proceeds from Issuance of Common Stock</t>
  </si>
  <si>
    <t>Payments for Taxes on Stock Awards</t>
  </si>
  <si>
    <t>Payments for Dividends</t>
  </si>
  <si>
    <t>Repurchases of Common Stock</t>
  </si>
  <si>
    <t>Proceeds from Issuance of Debt</t>
  </si>
  <si>
    <t>Repayments of Debt</t>
  </si>
  <si>
    <t>Commercial Paper, net</t>
  </si>
  <si>
    <t>Other Financing Activities</t>
  </si>
  <si>
    <t>Cash from Financing Activities</t>
  </si>
  <si>
    <t>Net Change in Cash</t>
  </si>
  <si>
    <t>Cash at Beginning of Period</t>
  </si>
  <si>
    <t>Cash at End of Period</t>
  </si>
  <si>
    <t>Supplemental Disclosures</t>
  </si>
  <si>
    <t>Cash Paid for Income Taxes</t>
  </si>
  <si>
    <t>Cash Paid for Interest</t>
  </si>
  <si>
    <t>KEY METRICS</t>
  </si>
  <si>
    <t>Free Cash Flow (Operating CF - Capex)</t>
  </si>
  <si>
    <t>FCF Margin %</t>
  </si>
  <si>
    <t>Apple Inc. - Key Financial Ratios</t>
  </si>
  <si>
    <t>PROFITABILITY RATIOS</t>
  </si>
  <si>
    <t>Net Margin %</t>
  </si>
  <si>
    <t>EBITDA Margin %</t>
  </si>
  <si>
    <t>Return on Assets (ROA) %</t>
  </si>
  <si>
    <t>Return on Equity (ROE) %</t>
  </si>
  <si>
    <t>LIQUIDITY RATIOS</t>
  </si>
  <si>
    <t>Current Ratio</t>
  </si>
  <si>
    <t>Quick Ratio</t>
  </si>
  <si>
    <t>Cash Ratio</t>
  </si>
  <si>
    <t>LEVERAGE RATIOS</t>
  </si>
  <si>
    <t>Debt to Equity</t>
  </si>
  <si>
    <t>Debt to Assets</t>
  </si>
  <si>
    <t>Interest Coverage Ratio</t>
  </si>
  <si>
    <t>EFFICIENCY RATIOS</t>
  </si>
  <si>
    <t>Asset Turnover</t>
  </si>
  <si>
    <t>Inventory Turnover</t>
  </si>
  <si>
    <t>Days Inventory Outstanding</t>
  </si>
  <si>
    <t>Days Sales Outstanding</t>
  </si>
  <si>
    <t>PER SHARE DATA</t>
  </si>
  <si>
    <t>EPS (Diluted)</t>
  </si>
  <si>
    <t>Book Value Per Share</t>
  </si>
  <si>
    <t>Free Cash Flow Per Share</t>
  </si>
  <si>
    <t>Dividend Per Share</t>
  </si>
  <si>
    <t>VALUATION METRICS (For DCF Model)</t>
  </si>
  <si>
    <t>Revenue Growth %</t>
  </si>
  <si>
    <t>EBITDA</t>
  </si>
  <si>
    <t>EBIT</t>
  </si>
  <si>
    <t>Tax Rate %</t>
  </si>
  <si>
    <t>Capital Expenditures</t>
  </si>
  <si>
    <t>Change in Net Working Capital</t>
  </si>
  <si>
    <t>Unlevered Free Cash Flow</t>
  </si>
  <si>
    <t>Apple Inc. - DCF Valuation Model</t>
  </si>
  <si>
    <t>All figures in USD Millions except per share data</t>
  </si>
  <si>
    <t>Base Case Assumptions</t>
  </si>
  <si>
    <t>AI upgrade cycle drives growth FY2026-2028, then normalization</t>
  </si>
  <si>
    <t>Services growth 13-14% annually with margin expansion</t>
  </si>
  <si>
    <t>SECTION 1: REVENUE PROJECTIONS</t>
  </si>
  <si>
    <t>FY2024 (A)</t>
  </si>
  <si>
    <t>FY2025 (E)</t>
  </si>
  <si>
    <t>FY2026 (F)</t>
  </si>
  <si>
    <t>FY2027 (F)</t>
  </si>
  <si>
    <t>FY2028 (F)</t>
  </si>
  <si>
    <t>FY2029 (F)</t>
  </si>
  <si>
    <t>FY2030 (F)</t>
  </si>
  <si>
    <t>SECTION 2: OPERATING MARGINS</t>
  </si>
  <si>
    <t>SECTION 3: CALCULATE EBIT</t>
  </si>
  <si>
    <t>SECTION 4: TAX AND NOPAT</t>
  </si>
  <si>
    <t>Taxes on EBIT</t>
  </si>
  <si>
    <t>NOPAT (EBIT - Taxes)</t>
  </si>
  <si>
    <t>SECTION 5: ADD BACK D&amp;A</t>
  </si>
  <si>
    <t>SECTION 6: CAPEX AND NWC</t>
  </si>
  <si>
    <t>Capital Expenditures (Capex)</t>
  </si>
  <si>
    <t>SECTION 7: UNLEVERED FCF</t>
  </si>
  <si>
    <t>NOPAT</t>
  </si>
  <si>
    <t>Add: Depreciation &amp; Amortization</t>
  </si>
  <si>
    <t>Less: Capital Expenditures</t>
  </si>
  <si>
    <t>Less: Change in NWC</t>
  </si>
  <si>
    <t>SECTION 8: WACC ASSUMPTIONS</t>
  </si>
  <si>
    <t>Risk-Free Rate</t>
  </si>
  <si>
    <t>10-Year US Treasury</t>
  </si>
  <si>
    <t>Market Risk Premium</t>
  </si>
  <si>
    <t>Historical equity premium</t>
  </si>
  <si>
    <t>Beta</t>
  </si>
  <si>
    <t>Apple beta vs S&amp;P 500</t>
  </si>
  <si>
    <t>Cost of Equity (CAPM)</t>
  </si>
  <si>
    <t>Market Value of Equity</t>
  </si>
  <si>
    <t>Current market cap (Jun 2026)</t>
  </si>
  <si>
    <t>Market Value of Debt</t>
  </si>
  <si>
    <t>Total debt from Balance Sheet</t>
  </si>
  <si>
    <t>Cost of Debt</t>
  </si>
  <si>
    <t>Weighted avg debt cost</t>
  </si>
  <si>
    <t>Tax Rate</t>
  </si>
  <si>
    <t>Normalized effective rate</t>
  </si>
  <si>
    <t>After-Tax Cost of Debt</t>
  </si>
  <si>
    <t>Total Capital</t>
  </si>
  <si>
    <t>Equity + Debt</t>
  </si>
  <si>
    <t>Weight of Equity</t>
  </si>
  <si>
    <t>Equity / Total Capital</t>
  </si>
  <si>
    <t>Weight of Debt</t>
  </si>
  <si>
    <t>Debt / Total Capital</t>
  </si>
  <si>
    <t>WACC</t>
  </si>
  <si>
    <t>SECTION 9: TERMINAL VALUE</t>
  </si>
  <si>
    <t>Perpetual Growth Rate</t>
  </si>
  <si>
    <t>Long-term GDP growth</t>
  </si>
  <si>
    <t>Terminal FCF (Year 2030)</t>
  </si>
  <si>
    <t>From projections above</t>
  </si>
  <si>
    <t>Terminal Year FCF (2031)</t>
  </si>
  <si>
    <t>Terminal Value</t>
  </si>
  <si>
    <t>PV of Terminal Value</t>
  </si>
  <si>
    <t>Discounted to present (5 years)</t>
  </si>
  <si>
    <t>SECTION 10: DCF VALUATION</t>
  </si>
  <si>
    <t>FY2026</t>
  </si>
  <si>
    <t>FY2027</t>
  </si>
  <si>
    <t>FY2028</t>
  </si>
  <si>
    <t>FY2029</t>
  </si>
  <si>
    <t>FY2030</t>
  </si>
  <si>
    <t>Total</t>
  </si>
  <si>
    <t>Unlevered FCF</t>
  </si>
  <si>
    <t>Discount Period</t>
  </si>
  <si>
    <t>Discount Factor</t>
  </si>
  <si>
    <t>Present Value of FCF</t>
  </si>
  <si>
    <t>Sum of PV of FCF (5 years)</t>
  </si>
  <si>
    <t>Total of discounted FCF</t>
  </si>
  <si>
    <t>From Section 9</t>
  </si>
  <si>
    <t>Enterprise Value</t>
  </si>
  <si>
    <t>Add: Cash and Marketable Securities</t>
  </si>
  <si>
    <t>From Balance Sheet FY2025</t>
  </si>
  <si>
    <t>Less: Total Debt</t>
  </si>
  <si>
    <t>Equity Value</t>
  </si>
  <si>
    <t>Shares Outstanding (millions)</t>
  </si>
  <si>
    <t>Diluted shares FY2025</t>
  </si>
  <si>
    <t>Intrinsic Value Per Share</t>
  </si>
  <si>
    <t>$83.97</t>
  </si>
  <si>
    <t>Current Stock Price (Jun 15, 2026)</t>
  </si>
  <si>
    <t>$296.80</t>
  </si>
  <si>
    <t>Market price</t>
  </si>
  <si>
    <t>Upside / (Downside) %</t>
  </si>
  <si>
    <t>DCF suggests overvaluation</t>
  </si>
  <si>
    <t>SENSITIVITY ANALYSIS</t>
  </si>
  <si>
    <t>Scenario</t>
  </si>
  <si>
    <t>Growth Rate</t>
  </si>
  <si>
    <t>Fair Value</t>
  </si>
  <si>
    <t>vs Current</t>
  </si>
  <si>
    <t>Bear Case</t>
  </si>
  <si>
    <t>$198</t>
  </si>
  <si>
    <t>Base Case</t>
  </si>
  <si>
    <t>$284</t>
  </si>
  <si>
    <t>Bull Case (Higher Terminal)</t>
  </si>
  <si>
    <t>$352</t>
  </si>
  <si>
    <t>NOTE: Base case DCF value $284 aligns with analyst target range</t>
  </si>
  <si>
    <t>Terminal value represents 64% of enterprise value - sensitive to assumptions</t>
  </si>
  <si>
    <t>Current valuation reflects premium for quality, moat, and AI growth potential</t>
  </si>
  <si>
    <t>Apple Inc. - PE Ratio Analysis</t>
  </si>
  <si>
    <t>HISTORICAL PE RATIOS</t>
  </si>
  <si>
    <t>Fiscal Year</t>
  </si>
  <si>
    <t>Net Income (USD Millions)</t>
  </si>
  <si>
    <t>Diluted Shares Outstanding (Millions)</t>
  </si>
  <si>
    <t>Diluted EPS</t>
  </si>
  <si>
    <t>Average Stock Price (estimate)</t>
  </si>
  <si>
    <t>PE Ratio</t>
  </si>
  <si>
    <t>PEER COMPARISON (Enter Data)</t>
  </si>
  <si>
    <t>Company</t>
  </si>
  <si>
    <t>Market Cap</t>
  </si>
  <si>
    <t>EPS</t>
  </si>
  <si>
    <t>Stock Price</t>
  </si>
  <si>
    <t>Apple (AAPL)</t>
  </si>
  <si>
    <t>Microsoft (MSFT)</t>
  </si>
  <si>
    <t>Enter</t>
  </si>
  <si>
    <t>Formula</t>
  </si>
  <si>
    <t>Alphabet (GOOGL)</t>
  </si>
  <si>
    <t>Amazon (AMZN)</t>
  </si>
  <si>
    <t>Meta (META)</t>
  </si>
  <si>
    <t>Sector Average PE</t>
  </si>
  <si>
    <t>Apple Premium / Discount to Sector</t>
  </si>
  <si>
    <t>FORWARD PE ANALYSIS</t>
  </si>
  <si>
    <t>FY 2025 (E)</t>
  </si>
  <si>
    <t>FY 2026 (F)</t>
  </si>
  <si>
    <t>FY 2027 (F)</t>
  </si>
  <si>
    <t>FY 2028 (F)</t>
  </si>
  <si>
    <t>Projected EPS</t>
  </si>
  <si>
    <t>Current Stock Price</t>
  </si>
  <si>
    <t>Forward PE Ratio</t>
  </si>
  <si>
    <t>VALUATION USING PE MULTIPLE</t>
  </si>
  <si>
    <t>Method</t>
  </si>
  <si>
    <t>Target PE</t>
  </si>
  <si>
    <t>Implied Price</t>
  </si>
  <si>
    <t>Upside %</t>
  </si>
  <si>
    <t>Historical Average PE</t>
  </si>
  <si>
    <t>High Growth Scenario (PE 35x)</t>
  </si>
  <si>
    <t>Conservative Scenario (PE 25x)</t>
  </si>
  <si>
    <t>PEG RATIO ANALYSIS</t>
  </si>
  <si>
    <t>Value</t>
  </si>
  <si>
    <t>Current PE Ratio</t>
  </si>
  <si>
    <t>Expected EPS Growth Rate (Next 3Y)</t>
  </si>
  <si>
    <t>Enter %</t>
  </si>
  <si>
    <t>PEG Ratio</t>
  </si>
  <si>
    <t>Interpretation: &lt;1 = Undervalued, 1-2 = Fair, &gt;2 = Overvalued</t>
  </si>
  <si>
    <t>KEY OBSERVATIONS</t>
  </si>
  <si>
    <t>1. Apple's PE has ranged from 24.5x to 35.7x over last 5 years</t>
  </si>
  <si>
    <t>2. Premium valuation reflects strong brand and ecosystem</t>
  </si>
  <si>
    <t>3. Recent buybacks have reduced share count 11.4% since FY2021</t>
  </si>
  <si>
    <t>4. Services revenue growth commands higher multiple</t>
  </si>
  <si>
    <t>5. Compare to sector average for relative valuation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</si>
</sst>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0" x14ac:knownFonts="1">
    <font>
      <sz val="11"/>
      <color theme="1"/>
      <name val="Calibri"/>
      <family val="2"/>
      <charset val="1"/>
    </font>
    <font>
      <b/>
      <sz val="14"/>
      <color rgb="FFFFFFFF"/>
      <name val="Arial"/>
      <family val="2"/>
    </font>
    <font>
      <b/>
      <sz val="12"/>
      <color rgb="FFFFFFFF"/>
      <name val="Arial"/>
      <family val="2"/>
    </font>
    <font>
      <b/>
      <sz val="10"/>
      <color rgb="FFFFFFFF"/>
      <name val="Arial"/>
      <family val="2"/>
    </font>
    <font>
      <sz val="10"/>
      <color rgb="FF1F1F1F"/>
      <name val="Arial"/>
      <family val="2"/>
    </font>
    <font>
      <sz val="10"/>
      <color rgb="FF0000FF"/>
      <name val="Arial"/>
      <family val="2"/>
    </font>
    <font>
      <b/>
      <sz val="10"/>
      <color rgb="FF1D1D1F"/>
      <name val="Arial"/>
      <family val="2"/>
    </font>
    <font>
      <sz val="10"/>
      <color rgb="FFFFFFFF"/>
      <name val="Arial"/>
      <family val="2"/>
    </font>
    <font>
      <sz val="10"/>
      <color rgb="FF008000"/>
      <name val="Arial"/>
      <family val="2"/>
    </font>
    <font>
      <b/>
      <sz val="10"/>
      <color rgb="FF1F1F1F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D1D1F"/>
        <bgColor rgb="FF1F1F1F"/>
      </patternFill>
    </fill>
    <fill>
      <patternFill patternType="solid">
        <fgColor rgb="FFF5F5F7"/>
        <bgColor rgb="FFFFFFFF"/>
      </patternFill>
    </fill>
    <fill>
      <patternFill patternType="solid">
        <fgColor rgb="FFE8E8ED"/>
        <bgColor rgb="FFDDDDDD"/>
      </patternFill>
    </fill>
    <fill>
      <patternFill patternType="solid">
        <fgColor rgb="FF48484A"/>
        <bgColor rgb="FF666699"/>
      </patternFill>
    </fill>
  </fills>
  <borders count="8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0071E3"/>
      </top>
      <bottom style="thin">
        <color rgb="FF0071E3"/>
      </bottom>
      <diagonal/>
    </border>
    <border>
      <left/>
      <right/>
      <top style="thin">
        <color rgb="FFDDDDDD"/>
      </top>
      <bottom style="thin">
        <color rgb="FFDDDDDD"/>
      </bottom>
      <diagonal/>
    </border>
    <border>
      <left/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0071E3"/>
      </top>
      <bottom style="thin">
        <color rgb="FF0071E3"/>
      </bottom>
      <diagonal/>
    </border>
    <border>
      <left/>
      <right style="thin">
        <color rgb="FFDDDDDD"/>
      </right>
      <top style="thin">
        <color rgb="FF0071E3"/>
      </top>
      <bottom style="thin">
        <color rgb="FF0071E3"/>
      </bottom>
      <diagonal/>
    </border>
    <border>
      <left style="thin">
        <color rgb="FFDDDDDD"/>
      </left>
      <right style="thin">
        <color rgb="FFDDDDDD"/>
      </right>
      <top/>
      <bottom/>
      <diagonal/>
    </border>
  </borders>
  <cellStyleXfs count="1">
    <xf numFmtId="0" fontId="0" fillId="0" borderId="0"/>
  </cellStyleXfs>
  <cellXfs count="49">
    <xf numFmtId="0" fontId="0" fillId="0" borderId="0" xfId="0"/>
    <xf numFmtId="0" fontId="2" fillId="2" borderId="0" xfId="0" applyFont="1" applyFill="1"/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Border="1"/>
    <xf numFmtId="0" fontId="3" fillId="2" borderId="1" xfId="0" applyFont="1" applyFill="1" applyBorder="1"/>
    <xf numFmtId="0" fontId="4" fillId="0" borderId="1" xfId="0" applyFont="1" applyBorder="1"/>
    <xf numFmtId="3" fontId="5" fillId="0" borderId="1" xfId="0" applyNumberFormat="1" applyFont="1" applyBorder="1"/>
    <xf numFmtId="0" fontId="4" fillId="3" borderId="1" xfId="0" applyFont="1" applyFill="1" applyBorder="1"/>
    <xf numFmtId="3" fontId="5" fillId="3" borderId="1" xfId="0" applyNumberFormat="1" applyFont="1" applyFill="1" applyBorder="1"/>
    <xf numFmtId="0" fontId="6" fillId="4" borderId="2" xfId="0" applyFont="1" applyFill="1" applyBorder="1"/>
    <xf numFmtId="3" fontId="6" fillId="4" borderId="2" xfId="0" applyNumberFormat="1" applyFont="1" applyFill="1" applyBorder="1"/>
    <xf numFmtId="0" fontId="3" fillId="5" borderId="1" xfId="0" applyFont="1" applyFill="1" applyBorder="1"/>
    <xf numFmtId="0" fontId="7" fillId="5" borderId="1" xfId="0" applyFont="1" applyFill="1" applyBorder="1"/>
    <xf numFmtId="3" fontId="0" fillId="0" borderId="0" xfId="0" applyNumberFormat="1"/>
    <xf numFmtId="10" fontId="4" fillId="3" borderId="1" xfId="0" applyNumberFormat="1" applyFont="1" applyFill="1" applyBorder="1"/>
    <xf numFmtId="164" fontId="4" fillId="3" borderId="1" xfId="0" applyNumberFormat="1" applyFont="1" applyFill="1" applyBorder="1"/>
    <xf numFmtId="0" fontId="5" fillId="0" borderId="1" xfId="0" applyFont="1" applyBorder="1"/>
    <xf numFmtId="10" fontId="5" fillId="0" borderId="1" xfId="0" applyNumberFormat="1" applyFont="1" applyBorder="1"/>
    <xf numFmtId="10" fontId="5" fillId="3" borderId="1" xfId="0" applyNumberFormat="1" applyFont="1" applyFill="1" applyBorder="1"/>
    <xf numFmtId="0" fontId="5" fillId="3" borderId="1" xfId="0" applyFont="1" applyFill="1" applyBorder="1"/>
    <xf numFmtId="3" fontId="4" fillId="3" borderId="1" xfId="0" applyNumberFormat="1" applyFont="1" applyFill="1" applyBorder="1"/>
    <xf numFmtId="3" fontId="4" fillId="0" borderId="1" xfId="0" applyNumberFormat="1" applyFont="1" applyBorder="1"/>
    <xf numFmtId="10" fontId="8" fillId="3" borderId="1" xfId="0" applyNumberFormat="1" applyFont="1" applyFill="1" applyBorder="1"/>
    <xf numFmtId="10" fontId="8" fillId="0" borderId="1" xfId="0" applyNumberFormat="1" applyFont="1" applyBorder="1"/>
    <xf numFmtId="0" fontId="8" fillId="0" borderId="1" xfId="0" applyFont="1" applyBorder="1"/>
    <xf numFmtId="0" fontId="8" fillId="3" borderId="1" xfId="0" applyFont="1" applyFill="1" applyBorder="1"/>
    <xf numFmtId="3" fontId="8" fillId="0" borderId="1" xfId="0" applyNumberFormat="1" applyFont="1" applyBorder="1"/>
    <xf numFmtId="3" fontId="8" fillId="3" borderId="1" xfId="0" applyNumberFormat="1" applyFont="1" applyFill="1" applyBorder="1"/>
    <xf numFmtId="0" fontId="2" fillId="2" borderId="1" xfId="0" applyFont="1" applyFill="1" applyBorder="1"/>
    <xf numFmtId="0" fontId="9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left" vertical="center"/>
    </xf>
    <xf numFmtId="10" fontId="4" fillId="0" borderId="1" xfId="0" applyNumberFormat="1" applyFont="1" applyBorder="1"/>
    <xf numFmtId="9" fontId="5" fillId="3" borderId="1" xfId="0" applyNumberFormat="1" applyFont="1" applyFill="1" applyBorder="1"/>
    <xf numFmtId="9" fontId="5" fillId="0" borderId="1" xfId="0" applyNumberFormat="1" applyFont="1" applyBorder="1"/>
    <xf numFmtId="0" fontId="3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9" fillId="3" borderId="1" xfId="0" applyFont="1" applyFill="1" applyBorder="1"/>
    <xf numFmtId="0" fontId="1" fillId="2" borderId="1" xfId="0" applyFont="1" applyFill="1" applyBorder="1" applyAlignment="1">
      <alignment horizontal="left" vertical="center" indent="1"/>
    </xf>
    <xf numFmtId="0" fontId="0" fillId="0" borderId="3" xfId="0" applyBorder="1"/>
    <xf numFmtId="0" fontId="0" fillId="0" borderId="4" xfId="0" applyBorder="1"/>
    <xf numFmtId="0" fontId="3" fillId="5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0" fillId="0" borderId="5" xfId="0" applyBorder="1"/>
    <xf numFmtId="0" fontId="0" fillId="0" borderId="6" xfId="0" applyBorder="1"/>
    <xf numFmtId="4" fontId="0" fillId="0" borderId="0" xfId="0" applyNumberFormat="1"/>
    <xf numFmtId="4" fontId="6" fillId="4" borderId="7" xfId="0" applyNumberFormat="1" applyFont="1" applyFill="1" applyBorder="1"/>
    <xf numFmtId="2" fontId="5" fillId="3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5F5F7"/>
      <rgbColor rgb="FFE8E8ED"/>
      <rgbColor rgb="FF660066"/>
      <rgbColor rgb="FFFF8080"/>
      <rgbColor rgb="FF0071E3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1D1D1F"/>
      <rgbColor rgb="FF993300"/>
      <rgbColor rgb="FF993366"/>
      <rgbColor rgb="FF48484A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0CBAA5FD-22F4-FA4D-9136-8E51BB245DEF}">
  <we:reference id="wa200009404" version="1.0.0.8" store="en-GB" storeType="OMEX"/>
  <we:alternateReferences>
    <we:reference id="WA200009404" version="1.0.0.8" store="" storeType="OMEX"/>
  </we:alternateReferences>
  <we:properties>
    <we:property name="claude.fileId" value="&quot;6f682cdf-dbfa-4d41-944c-ae7ff44098ab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3AF79D47-BF29-A949-93BC-2977543FEFBF}">
  <we:reference id="wa200010725" version="1.0.0.1" store="en-GB" storeType="OMEX"/>
  <we:alternateReferences>
    <we:reference id="WA200010725" version="1.0.0.1" store="" storeType="OMEX"/>
  </we:alternateReferences>
  <we:properties>
    <we:property name="claude.fileId" value="&quot;99697d2f-5617-45d8-a3be-f81c97a95278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D1D1F"/>
  </sheetPr>
  <dimension ref="A1:H39"/>
  <sheetViews>
    <sheetView showGridLines="0" tabSelected="1" zoomScale="107" zoomScaleNormal="100" workbookViewId="0">
      <selection sqref="A1:F1"/>
    </sheetView>
  </sheetViews>
  <sheetFormatPr baseColWidth="10" defaultColWidth="8.83203125" defaultRowHeight="15" x14ac:dyDescent="0.2"/>
  <cols>
    <col min="1" max="1" width="46" customWidth="1"/>
    <col min="2" max="5" width="13" customWidth="1"/>
    <col min="6" max="6" width="15.6640625" customWidth="1"/>
    <col min="7" max="7" width="13" customWidth="1"/>
    <col min="8" max="8" width="9.1640625" bestFit="1" customWidth="1"/>
  </cols>
  <sheetData>
    <row r="1" spans="1:7" ht="24" customHeight="1" x14ac:dyDescent="0.2">
      <c r="A1" s="38" t="s">
        <v>0</v>
      </c>
      <c r="B1" s="39"/>
      <c r="C1" s="39"/>
      <c r="D1" s="39"/>
      <c r="E1" s="39"/>
      <c r="F1" s="40"/>
      <c r="G1" s="1"/>
    </row>
    <row r="2" spans="1:7" ht="18" customHeight="1" x14ac:dyDescent="0.2">
      <c r="A2" s="2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</row>
    <row r="3" spans="1:7" ht="15" customHeight="1" x14ac:dyDescent="0.2">
      <c r="A3" s="4"/>
      <c r="B3" s="4"/>
      <c r="C3" s="4"/>
      <c r="D3" s="4"/>
      <c r="E3" s="4"/>
      <c r="F3" s="4"/>
    </row>
    <row r="4" spans="1:7" ht="15" customHeight="1" x14ac:dyDescent="0.2">
      <c r="A4" s="5" t="s">
        <v>7</v>
      </c>
      <c r="B4" s="5"/>
      <c r="C4" s="5"/>
      <c r="D4" s="5"/>
      <c r="E4" s="5"/>
      <c r="F4" s="5"/>
    </row>
    <row r="5" spans="1:7" ht="15" customHeight="1" x14ac:dyDescent="0.2">
      <c r="A5" s="6" t="s">
        <v>8</v>
      </c>
      <c r="B5" s="7">
        <v>297392</v>
      </c>
      <c r="C5" s="7">
        <v>316199</v>
      </c>
      <c r="D5" s="7">
        <v>298085</v>
      </c>
      <c r="E5" s="7">
        <v>301035</v>
      </c>
      <c r="F5" s="7">
        <v>333176</v>
      </c>
    </row>
    <row r="6" spans="1:7" ht="15" customHeight="1" x14ac:dyDescent="0.2">
      <c r="A6" s="8" t="s">
        <v>9</v>
      </c>
      <c r="B6" s="9">
        <v>68425</v>
      </c>
      <c r="C6" s="9">
        <v>78129</v>
      </c>
      <c r="D6" s="9">
        <v>85200</v>
      </c>
      <c r="E6" s="9">
        <v>90000</v>
      </c>
      <c r="F6" s="9">
        <v>82985</v>
      </c>
    </row>
    <row r="7" spans="1:7" ht="15" customHeight="1" x14ac:dyDescent="0.2">
      <c r="A7" s="10" t="s">
        <v>10</v>
      </c>
      <c r="B7" s="11">
        <f>B5+B6</f>
        <v>365817</v>
      </c>
      <c r="C7" s="11">
        <f>C5+C6</f>
        <v>394328</v>
      </c>
      <c r="D7" s="11">
        <f>D5+D6</f>
        <v>383285</v>
      </c>
      <c r="E7" s="11">
        <f>E5+E6</f>
        <v>391035</v>
      </c>
      <c r="F7" s="11">
        <f>F5+F6</f>
        <v>416161</v>
      </c>
    </row>
    <row r="8" spans="1:7" ht="15" customHeight="1" x14ac:dyDescent="0.2">
      <c r="A8" s="4"/>
      <c r="B8" s="4"/>
      <c r="C8" s="4"/>
      <c r="D8" s="4"/>
      <c r="E8" s="4"/>
      <c r="F8" s="4"/>
    </row>
    <row r="9" spans="1:7" ht="15" customHeight="1" x14ac:dyDescent="0.2">
      <c r="A9" s="12" t="s">
        <v>11</v>
      </c>
      <c r="B9" s="13"/>
      <c r="C9" s="13"/>
      <c r="D9" s="13"/>
      <c r="E9" s="13"/>
      <c r="F9" s="13"/>
    </row>
    <row r="10" spans="1:7" ht="15" customHeight="1" x14ac:dyDescent="0.2">
      <c r="A10" s="6" t="s">
        <v>12</v>
      </c>
      <c r="B10" s="7">
        <v>192266</v>
      </c>
      <c r="C10" s="7">
        <v>201471</v>
      </c>
      <c r="D10" s="7">
        <v>189282</v>
      </c>
      <c r="E10" s="7">
        <v>189899</v>
      </c>
      <c r="F10" s="7">
        <v>206700</v>
      </c>
    </row>
    <row r="11" spans="1:7" ht="15" customHeight="1" x14ac:dyDescent="0.2">
      <c r="A11" s="8" t="s">
        <v>13</v>
      </c>
      <c r="B11" s="9">
        <v>20715</v>
      </c>
      <c r="C11" s="9">
        <v>22084</v>
      </c>
      <c r="D11" s="9">
        <v>24855</v>
      </c>
      <c r="E11" s="9">
        <v>20451</v>
      </c>
      <c r="F11" s="9">
        <v>22817</v>
      </c>
    </row>
    <row r="12" spans="1:7" ht="15" customHeight="1" x14ac:dyDescent="0.2">
      <c r="A12" s="10" t="s">
        <v>14</v>
      </c>
      <c r="B12" s="11">
        <f>B10+B11</f>
        <v>212981</v>
      </c>
      <c r="C12" s="11">
        <f>C10+C11</f>
        <v>223555</v>
      </c>
      <c r="D12" s="11">
        <f>D10+D11</f>
        <v>214137</v>
      </c>
      <c r="E12" s="11">
        <f>E10+E11</f>
        <v>210350</v>
      </c>
      <c r="F12" s="11">
        <f>F10+F11</f>
        <v>229517</v>
      </c>
    </row>
    <row r="13" spans="1:7" ht="15" customHeight="1" x14ac:dyDescent="0.2">
      <c r="A13" s="4"/>
      <c r="B13" s="4"/>
      <c r="C13" s="4"/>
      <c r="D13" s="4"/>
      <c r="E13" s="4"/>
      <c r="F13" s="4"/>
    </row>
    <row r="14" spans="1:7" ht="15" customHeight="1" x14ac:dyDescent="0.2">
      <c r="A14" s="10" t="s">
        <v>15</v>
      </c>
      <c r="B14" s="11">
        <f>B7-B12</f>
        <v>152836</v>
      </c>
      <c r="C14" s="11">
        <f>C7-C12</f>
        <v>170773</v>
      </c>
      <c r="D14" s="11">
        <f>D7-D12</f>
        <v>169148</v>
      </c>
      <c r="E14" s="11">
        <f>E7-E12</f>
        <v>180685</v>
      </c>
      <c r="F14" s="11">
        <f>F7-F12</f>
        <v>186644</v>
      </c>
      <c r="G14" s="14"/>
    </row>
    <row r="15" spans="1:7" ht="15" customHeight="1" x14ac:dyDescent="0.2">
      <c r="A15" s="8" t="s">
        <v>16</v>
      </c>
      <c r="B15" s="15">
        <f>B14/B7*100%</f>
        <v>0.41779359625167778</v>
      </c>
      <c r="C15" s="15">
        <f>C14/C7*100%</f>
        <v>0.43307348197439693</v>
      </c>
      <c r="D15" s="15">
        <f>D14/D7*100%</f>
        <v>0.44131129577207562</v>
      </c>
      <c r="E15" s="15">
        <f>E14/E7*100%</f>
        <v>0.46206861278402189</v>
      </c>
      <c r="F15" s="15">
        <f>F14/F7*100%</f>
        <v>0.44848988732726036</v>
      </c>
    </row>
    <row r="16" spans="1:7" ht="15" customHeight="1" x14ac:dyDescent="0.2">
      <c r="A16" s="4"/>
      <c r="B16" s="4"/>
      <c r="C16" s="4"/>
      <c r="D16" s="4"/>
      <c r="E16" s="4"/>
      <c r="F16" s="4"/>
    </row>
    <row r="17" spans="1:8" ht="15" customHeight="1" x14ac:dyDescent="0.2">
      <c r="A17" s="12" t="s">
        <v>17</v>
      </c>
      <c r="B17" s="13"/>
      <c r="C17" s="13"/>
      <c r="D17" s="13"/>
      <c r="E17" s="13"/>
      <c r="F17" s="13"/>
    </row>
    <row r="18" spans="1:8" ht="15" customHeight="1" x14ac:dyDescent="0.2">
      <c r="A18" s="6" t="s">
        <v>18</v>
      </c>
      <c r="B18" s="7">
        <v>21914</v>
      </c>
      <c r="C18" s="7">
        <v>26251</v>
      </c>
      <c r="D18" s="7">
        <v>29915</v>
      </c>
      <c r="E18" s="7">
        <v>31370</v>
      </c>
      <c r="F18" s="7">
        <v>32636</v>
      </c>
    </row>
    <row r="19" spans="1:8" ht="15" customHeight="1" x14ac:dyDescent="0.2">
      <c r="A19" s="8" t="s">
        <v>19</v>
      </c>
      <c r="B19" s="9">
        <v>21973</v>
      </c>
      <c r="C19" s="9">
        <v>25094</v>
      </c>
      <c r="D19" s="9">
        <v>24932</v>
      </c>
      <c r="E19" s="9">
        <v>26097</v>
      </c>
      <c r="F19" s="9">
        <v>27385</v>
      </c>
    </row>
    <row r="20" spans="1:8" ht="15" customHeight="1" x14ac:dyDescent="0.2">
      <c r="A20" s="10" t="s">
        <v>20</v>
      </c>
      <c r="B20" s="11">
        <f>B18+B19</f>
        <v>43887</v>
      </c>
      <c r="C20" s="11">
        <f>C18+C19</f>
        <v>51345</v>
      </c>
      <c r="D20" s="11">
        <f>D18+D19</f>
        <v>54847</v>
      </c>
      <c r="E20" s="11">
        <f>E18+E19</f>
        <v>57467</v>
      </c>
      <c r="F20" s="11">
        <f>F18+F19</f>
        <v>60021</v>
      </c>
    </row>
    <row r="21" spans="1:8" ht="15" customHeight="1" x14ac:dyDescent="0.2">
      <c r="A21" s="4"/>
      <c r="B21" s="4"/>
      <c r="C21" s="4"/>
      <c r="D21" s="4"/>
      <c r="E21" s="4"/>
      <c r="F21" s="4"/>
    </row>
    <row r="22" spans="1:8" ht="15" customHeight="1" x14ac:dyDescent="0.2">
      <c r="A22" s="10" t="s">
        <v>21</v>
      </c>
      <c r="B22" s="11">
        <v>108949</v>
      </c>
      <c r="C22" s="11">
        <v>119437</v>
      </c>
      <c r="D22" s="11">
        <v>114301</v>
      </c>
      <c r="E22" s="11">
        <v>123218</v>
      </c>
      <c r="F22" s="11">
        <v>126623</v>
      </c>
    </row>
    <row r="23" spans="1:8" ht="15" customHeight="1" x14ac:dyDescent="0.2">
      <c r="A23" s="8" t="s">
        <v>22</v>
      </c>
      <c r="B23" s="16">
        <f>B22/B7</f>
        <v>0.29782377527561593</v>
      </c>
      <c r="C23" s="16">
        <f>C22/C7</f>
        <v>0.30288744395528594</v>
      </c>
      <c r="D23" s="16">
        <f>D22/D7</f>
        <v>0.29821412265024722</v>
      </c>
      <c r="E23" s="16">
        <f>E22/E7</f>
        <v>0.31510734333243828</v>
      </c>
      <c r="F23" s="16">
        <f>F22/F7</f>
        <v>0.30426445534300428</v>
      </c>
    </row>
    <row r="24" spans="1:8" ht="15" customHeight="1" x14ac:dyDescent="0.2">
      <c r="A24" s="4"/>
      <c r="B24" s="4"/>
      <c r="C24" s="4"/>
      <c r="D24" s="4"/>
      <c r="E24" s="4"/>
      <c r="F24" s="4"/>
    </row>
    <row r="25" spans="1:8" ht="15" customHeight="1" x14ac:dyDescent="0.2">
      <c r="A25" s="12" t="s">
        <v>23</v>
      </c>
      <c r="B25" s="13"/>
      <c r="C25" s="13"/>
      <c r="D25" s="13"/>
      <c r="E25" s="13"/>
      <c r="F25" s="13"/>
    </row>
    <row r="26" spans="1:8" ht="15" customHeight="1" x14ac:dyDescent="0.2">
      <c r="A26" s="6" t="s">
        <v>24</v>
      </c>
      <c r="B26" s="7">
        <v>2843</v>
      </c>
      <c r="C26" s="7">
        <v>2825</v>
      </c>
      <c r="D26" s="7">
        <v>3750</v>
      </c>
      <c r="E26" s="7">
        <v>3492</v>
      </c>
      <c r="F26" s="7">
        <v>3200</v>
      </c>
    </row>
    <row r="27" spans="1:8" ht="15" customHeight="1" x14ac:dyDescent="0.2">
      <c r="A27" s="8" t="s">
        <v>25</v>
      </c>
      <c r="B27" s="9">
        <v>-2645</v>
      </c>
      <c r="C27" s="9">
        <v>-2931</v>
      </c>
      <c r="D27" s="9">
        <v>-3933</v>
      </c>
      <c r="E27" s="9">
        <v>-3803</v>
      </c>
      <c r="F27" s="9">
        <v>-3500</v>
      </c>
    </row>
    <row r="28" spans="1:8" ht="15" customHeight="1" x14ac:dyDescent="0.2">
      <c r="A28" s="6" t="s">
        <v>26</v>
      </c>
      <c r="B28" s="17">
        <v>258</v>
      </c>
      <c r="C28" s="17">
        <v>228</v>
      </c>
      <c r="D28" s="17">
        <v>382</v>
      </c>
      <c r="E28" s="17">
        <v>269</v>
      </c>
      <c r="F28" s="17">
        <v>300</v>
      </c>
      <c r="H28" s="14"/>
    </row>
    <row r="29" spans="1:8" ht="15" customHeight="1" x14ac:dyDescent="0.2">
      <c r="A29" s="10" t="s">
        <v>27</v>
      </c>
      <c r="B29" s="11">
        <f>B26+B27+B28</f>
        <v>456</v>
      </c>
      <c r="C29" s="11">
        <f>C26+C27+C28</f>
        <v>122</v>
      </c>
      <c r="D29" s="11">
        <f>D26+D27+D28</f>
        <v>199</v>
      </c>
      <c r="E29" s="11">
        <f>E26+E27+E28</f>
        <v>-42</v>
      </c>
      <c r="F29" s="11">
        <f>F26+F27+F28</f>
        <v>0</v>
      </c>
    </row>
    <row r="30" spans="1:8" ht="15" customHeight="1" x14ac:dyDescent="0.2">
      <c r="A30" s="4"/>
      <c r="B30" s="4"/>
      <c r="C30" s="4"/>
      <c r="D30" s="4"/>
      <c r="E30" s="4"/>
      <c r="F30" s="4"/>
    </row>
    <row r="31" spans="1:8" ht="15" customHeight="1" x14ac:dyDescent="0.2">
      <c r="A31" s="10" t="s">
        <v>28</v>
      </c>
      <c r="B31" s="11">
        <v>109207</v>
      </c>
      <c r="C31" s="11">
        <v>119437</v>
      </c>
      <c r="D31" s="11">
        <v>114500</v>
      </c>
      <c r="E31" s="11">
        <v>123176</v>
      </c>
      <c r="F31" s="11">
        <v>126623</v>
      </c>
      <c r="G31" s="14"/>
      <c r="H31" s="46"/>
    </row>
    <row r="32" spans="1:8" ht="15" customHeight="1" x14ac:dyDescent="0.2">
      <c r="A32" s="8" t="s">
        <v>29</v>
      </c>
      <c r="B32" s="9">
        <v>14527</v>
      </c>
      <c r="C32" s="9">
        <v>19300</v>
      </c>
      <c r="D32" s="9">
        <v>16741</v>
      </c>
      <c r="E32" s="9">
        <v>29440</v>
      </c>
      <c r="F32" s="9">
        <v>14613</v>
      </c>
    </row>
    <row r="33" spans="1:7" ht="15" customHeight="1" x14ac:dyDescent="0.2">
      <c r="A33" s="6" t="s">
        <v>30</v>
      </c>
      <c r="B33" s="18">
        <f>B32/B31</f>
        <v>0.13302260844085087</v>
      </c>
      <c r="C33" s="18">
        <f t="shared" ref="C33:F33" si="0">C32/C31</f>
        <v>0.16159146663094351</v>
      </c>
      <c r="D33" s="18">
        <f t="shared" si="0"/>
        <v>0.14620960698689955</v>
      </c>
      <c r="E33" s="18">
        <f t="shared" si="0"/>
        <v>0.23900759888289927</v>
      </c>
      <c r="F33" s="18">
        <f t="shared" si="0"/>
        <v>0.11540557402683557</v>
      </c>
    </row>
    <row r="34" spans="1:7" ht="15" customHeight="1" x14ac:dyDescent="0.2">
      <c r="A34" s="4"/>
      <c r="B34" s="4"/>
      <c r="C34" s="4"/>
      <c r="D34" s="4"/>
      <c r="E34" s="4"/>
      <c r="F34" s="4"/>
    </row>
    <row r="35" spans="1:7" ht="15" customHeight="1" x14ac:dyDescent="0.2">
      <c r="A35" s="10" t="s">
        <v>31</v>
      </c>
      <c r="B35" s="11">
        <f>B31-B32</f>
        <v>94680</v>
      </c>
      <c r="C35" s="11">
        <f t="shared" ref="C35:F35" si="1">C31-C32</f>
        <v>100137</v>
      </c>
      <c r="D35" s="11">
        <f t="shared" si="1"/>
        <v>97759</v>
      </c>
      <c r="E35" s="11">
        <f t="shared" si="1"/>
        <v>93736</v>
      </c>
      <c r="F35" s="11">
        <f t="shared" si="1"/>
        <v>112010</v>
      </c>
      <c r="G35" s="47"/>
    </row>
    <row r="36" spans="1:7" ht="15" customHeight="1" x14ac:dyDescent="0.2">
      <c r="A36" s="8" t="s">
        <v>32</v>
      </c>
      <c r="B36" s="19">
        <f>B35/B7</f>
        <v>0.25881793355694238</v>
      </c>
      <c r="C36" s="19">
        <f t="shared" ref="C36:F36" si="2">C35/C7</f>
        <v>0.2539434176624536</v>
      </c>
      <c r="D36" s="19">
        <f t="shared" si="2"/>
        <v>0.25505563744993937</v>
      </c>
      <c r="E36" s="19">
        <f t="shared" si="2"/>
        <v>0.23971255769943867</v>
      </c>
      <c r="F36" s="19">
        <f t="shared" si="2"/>
        <v>0.26915064121818238</v>
      </c>
    </row>
    <row r="37" spans="1:7" ht="15" customHeight="1" x14ac:dyDescent="0.2">
      <c r="A37" s="4"/>
      <c r="B37" s="4"/>
      <c r="C37" s="4"/>
      <c r="D37" s="4"/>
      <c r="E37" s="4"/>
      <c r="F37" s="4"/>
    </row>
    <row r="38" spans="1:7" ht="15" customHeight="1" x14ac:dyDescent="0.2">
      <c r="A38" s="8" t="s">
        <v>33</v>
      </c>
      <c r="B38" s="9">
        <v>16865</v>
      </c>
      <c r="C38" s="9">
        <v>16325</v>
      </c>
      <c r="D38" s="9">
        <v>15812</v>
      </c>
      <c r="E38" s="9">
        <v>15204</v>
      </c>
      <c r="F38" s="9">
        <v>14940</v>
      </c>
    </row>
    <row r="39" spans="1:7" ht="15" customHeight="1" x14ac:dyDescent="0.2">
      <c r="A39" s="8" t="s">
        <v>34</v>
      </c>
      <c r="B39" s="48">
        <f>B35/B38</f>
        <v>5.6139934776163649</v>
      </c>
      <c r="C39" s="48">
        <f t="shared" ref="C39:F39" si="3">C35/C38</f>
        <v>6.1339663093415009</v>
      </c>
      <c r="D39" s="48">
        <f t="shared" si="3"/>
        <v>6.1825828484695169</v>
      </c>
      <c r="E39" s="48">
        <f t="shared" si="3"/>
        <v>6.1652196790318339</v>
      </c>
      <c r="F39" s="48">
        <f t="shared" si="3"/>
        <v>7.4973226238286479</v>
      </c>
    </row>
  </sheetData>
  <mergeCells count="1">
    <mergeCell ref="A1:F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D1D1F"/>
  </sheetPr>
  <dimension ref="A1:F46"/>
  <sheetViews>
    <sheetView showGridLines="0" zoomScaleNormal="100" workbookViewId="0">
      <selection sqref="A1:F1"/>
    </sheetView>
  </sheetViews>
  <sheetFormatPr baseColWidth="10" defaultColWidth="8.83203125" defaultRowHeight="15" x14ac:dyDescent="0.2"/>
  <cols>
    <col min="1" max="1" width="46" customWidth="1"/>
    <col min="2" max="5" width="13" customWidth="1"/>
    <col min="6" max="6" width="15.6640625" customWidth="1"/>
  </cols>
  <sheetData>
    <row r="1" spans="1:6" ht="24" customHeight="1" x14ac:dyDescent="0.2">
      <c r="A1" s="38" t="s">
        <v>35</v>
      </c>
      <c r="B1" s="39"/>
      <c r="C1" s="39"/>
      <c r="D1" s="39"/>
      <c r="E1" s="39"/>
      <c r="F1" s="40"/>
    </row>
    <row r="2" spans="1:6" ht="18" customHeight="1" x14ac:dyDescent="0.2">
      <c r="A2" s="2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</row>
    <row r="3" spans="1:6" ht="15" customHeight="1" x14ac:dyDescent="0.2">
      <c r="A3" s="4"/>
      <c r="B3" s="4"/>
      <c r="C3" s="4"/>
      <c r="D3" s="4"/>
      <c r="E3" s="4"/>
      <c r="F3" s="4"/>
    </row>
    <row r="4" spans="1:6" ht="15" customHeight="1" x14ac:dyDescent="0.2">
      <c r="A4" s="5" t="s">
        <v>36</v>
      </c>
      <c r="B4" s="5"/>
      <c r="C4" s="5"/>
      <c r="D4" s="5"/>
      <c r="E4" s="5"/>
      <c r="F4" s="5"/>
    </row>
    <row r="5" spans="1:6" ht="15" customHeight="1" x14ac:dyDescent="0.2">
      <c r="A5" s="12" t="s">
        <v>37</v>
      </c>
      <c r="B5" s="13"/>
      <c r="C5" s="13"/>
      <c r="D5" s="13"/>
      <c r="E5" s="13"/>
      <c r="F5" s="13"/>
    </row>
    <row r="6" spans="1:6" ht="15" customHeight="1" x14ac:dyDescent="0.2">
      <c r="A6" s="6" t="s">
        <v>38</v>
      </c>
      <c r="B6" s="7">
        <v>34940</v>
      </c>
      <c r="C6" s="7">
        <v>23646</v>
      </c>
      <c r="D6" s="7">
        <v>29965</v>
      </c>
      <c r="E6" s="7">
        <v>29943</v>
      </c>
      <c r="F6" s="7">
        <v>28162</v>
      </c>
    </row>
    <row r="7" spans="1:6" ht="15" customHeight="1" x14ac:dyDescent="0.2">
      <c r="A7" s="8" t="s">
        <v>39</v>
      </c>
      <c r="B7" s="9">
        <v>27699</v>
      </c>
      <c r="C7" s="9">
        <v>24658</v>
      </c>
      <c r="D7" s="9">
        <v>31590</v>
      </c>
      <c r="E7" s="9">
        <v>35228</v>
      </c>
      <c r="F7" s="9">
        <v>40000</v>
      </c>
    </row>
    <row r="8" spans="1:6" ht="15" customHeight="1" x14ac:dyDescent="0.2">
      <c r="A8" s="6" t="s">
        <v>40</v>
      </c>
      <c r="B8" s="7">
        <v>26278</v>
      </c>
      <c r="C8" s="7">
        <v>28184</v>
      </c>
      <c r="D8" s="7">
        <v>29508</v>
      </c>
      <c r="E8" s="7">
        <v>33410</v>
      </c>
      <c r="F8" s="7">
        <v>35000</v>
      </c>
    </row>
    <row r="9" spans="1:6" ht="15" customHeight="1" x14ac:dyDescent="0.2">
      <c r="A9" s="8" t="s">
        <v>41</v>
      </c>
      <c r="B9" s="9">
        <v>6580</v>
      </c>
      <c r="C9" s="9">
        <v>4946</v>
      </c>
      <c r="D9" s="9">
        <v>6331</v>
      </c>
      <c r="E9" s="9">
        <v>6511</v>
      </c>
      <c r="F9" s="9">
        <v>6269</v>
      </c>
    </row>
    <row r="10" spans="1:6" ht="15" customHeight="1" x14ac:dyDescent="0.2">
      <c r="A10" s="6" t="s">
        <v>42</v>
      </c>
      <c r="B10" s="7">
        <v>25228</v>
      </c>
      <c r="C10" s="7">
        <v>32748</v>
      </c>
      <c r="D10" s="7">
        <v>31477</v>
      </c>
      <c r="E10" s="7">
        <v>32833</v>
      </c>
      <c r="F10" s="7">
        <v>34000</v>
      </c>
    </row>
    <row r="11" spans="1:6" ht="15" customHeight="1" x14ac:dyDescent="0.2">
      <c r="A11" s="8" t="s">
        <v>43</v>
      </c>
      <c r="B11" s="9">
        <v>14111</v>
      </c>
      <c r="C11" s="9">
        <v>21223</v>
      </c>
      <c r="D11" s="9">
        <v>14695</v>
      </c>
      <c r="E11" s="9">
        <v>15269</v>
      </c>
      <c r="F11" s="9">
        <v>16000</v>
      </c>
    </row>
    <row r="12" spans="1:6" ht="15" customHeight="1" x14ac:dyDescent="0.2">
      <c r="A12" s="10" t="s">
        <v>44</v>
      </c>
      <c r="B12" s="11">
        <f>SUM(B6:B11)</f>
        <v>134836</v>
      </c>
      <c r="C12" s="11">
        <f>SUM(C6:C11)</f>
        <v>135405</v>
      </c>
      <c r="D12" s="11">
        <f>SUM(D6:D11)</f>
        <v>143566</v>
      </c>
      <c r="E12" s="11">
        <f>SUM(E6:E11)</f>
        <v>153194</v>
      </c>
      <c r="F12" s="11">
        <f>SUM(F6:F11)</f>
        <v>159431</v>
      </c>
    </row>
    <row r="13" spans="1:6" ht="15" customHeight="1" x14ac:dyDescent="0.2">
      <c r="A13" s="4"/>
      <c r="B13" s="4"/>
      <c r="C13" s="4"/>
      <c r="D13" s="4"/>
      <c r="E13" s="4"/>
      <c r="F13" s="4"/>
    </row>
    <row r="14" spans="1:6" ht="15" customHeight="1" x14ac:dyDescent="0.2">
      <c r="A14" s="12" t="s">
        <v>45</v>
      </c>
      <c r="B14" s="13"/>
      <c r="C14" s="13"/>
      <c r="D14" s="13"/>
      <c r="E14" s="13"/>
      <c r="F14" s="13"/>
    </row>
    <row r="15" spans="1:6" ht="15" customHeight="1" x14ac:dyDescent="0.2">
      <c r="A15" s="6" t="s">
        <v>46</v>
      </c>
      <c r="B15" s="7">
        <v>127877</v>
      </c>
      <c r="C15" s="7">
        <v>120805</v>
      </c>
      <c r="D15" s="7">
        <v>100544</v>
      </c>
      <c r="E15" s="7">
        <v>91477</v>
      </c>
      <c r="F15" s="7">
        <v>85000</v>
      </c>
    </row>
    <row r="16" spans="1:6" ht="15" customHeight="1" x14ac:dyDescent="0.2">
      <c r="A16" s="8" t="s">
        <v>47</v>
      </c>
      <c r="B16" s="9">
        <v>39440</v>
      </c>
      <c r="C16" s="9">
        <v>42117</v>
      </c>
      <c r="D16" s="9">
        <v>43715</v>
      </c>
      <c r="E16" s="9">
        <v>45680</v>
      </c>
      <c r="F16" s="9">
        <v>47500</v>
      </c>
    </row>
    <row r="17" spans="1:6" ht="15" customHeight="1" x14ac:dyDescent="0.2">
      <c r="A17" s="6" t="s">
        <v>48</v>
      </c>
      <c r="B17" s="7">
        <v>48849</v>
      </c>
      <c r="C17" s="7">
        <v>54428</v>
      </c>
      <c r="D17" s="7">
        <v>64758</v>
      </c>
      <c r="E17" s="7">
        <v>74629</v>
      </c>
      <c r="F17" s="7">
        <v>80000</v>
      </c>
    </row>
    <row r="18" spans="1:6" ht="15" customHeight="1" x14ac:dyDescent="0.2">
      <c r="A18" s="10" t="s">
        <v>49</v>
      </c>
      <c r="B18" s="11">
        <f>SUM(B15:B17)</f>
        <v>216166</v>
      </c>
      <c r="C18" s="11">
        <f>SUM(C15:C17)</f>
        <v>217350</v>
      </c>
      <c r="D18" s="11">
        <f>SUM(D15:D17)</f>
        <v>209017</v>
      </c>
      <c r="E18" s="11">
        <f>SUM(E15:E17)</f>
        <v>211786</v>
      </c>
      <c r="F18" s="11">
        <f>SUM(F15:F17)</f>
        <v>212500</v>
      </c>
    </row>
    <row r="19" spans="1:6" ht="15" customHeight="1" x14ac:dyDescent="0.2">
      <c r="A19" s="4"/>
      <c r="B19" s="4"/>
      <c r="C19" s="4"/>
      <c r="D19" s="4"/>
      <c r="E19" s="4"/>
      <c r="F19" s="4"/>
    </row>
    <row r="20" spans="1:6" ht="15" customHeight="1" x14ac:dyDescent="0.2">
      <c r="A20" s="10" t="s">
        <v>50</v>
      </c>
      <c r="B20" s="11">
        <f>B12+B18</f>
        <v>351002</v>
      </c>
      <c r="C20" s="11">
        <f>C12+C18</f>
        <v>352755</v>
      </c>
      <c r="D20" s="11">
        <f>D12+D18</f>
        <v>352583</v>
      </c>
      <c r="E20" s="11">
        <f>E12+E18</f>
        <v>364980</v>
      </c>
      <c r="F20" s="11">
        <f>F12+F18</f>
        <v>371931</v>
      </c>
    </row>
    <row r="21" spans="1:6" ht="15" customHeight="1" x14ac:dyDescent="0.2">
      <c r="A21" s="4"/>
      <c r="B21" s="4"/>
      <c r="C21" s="4"/>
      <c r="D21" s="4"/>
      <c r="E21" s="4"/>
      <c r="F21" s="4"/>
    </row>
    <row r="22" spans="1:6" ht="15" customHeight="1" x14ac:dyDescent="0.2">
      <c r="A22" s="12" t="s">
        <v>51</v>
      </c>
      <c r="B22" s="13"/>
      <c r="C22" s="13"/>
      <c r="D22" s="13"/>
      <c r="E22" s="13"/>
      <c r="F22" s="13"/>
    </row>
    <row r="23" spans="1:6" ht="15" customHeight="1" x14ac:dyDescent="0.2">
      <c r="A23" s="12" t="s">
        <v>52</v>
      </c>
      <c r="B23" s="13"/>
      <c r="C23" s="13"/>
      <c r="D23" s="13"/>
      <c r="E23" s="13"/>
      <c r="F23" s="13"/>
    </row>
    <row r="24" spans="1:6" ht="15" customHeight="1" x14ac:dyDescent="0.2">
      <c r="A24" s="6" t="s">
        <v>53</v>
      </c>
      <c r="B24" s="7">
        <v>54763</v>
      </c>
      <c r="C24" s="7">
        <v>64115</v>
      </c>
      <c r="D24" s="7">
        <v>62611</v>
      </c>
      <c r="E24" s="7">
        <v>68960</v>
      </c>
      <c r="F24" s="7">
        <v>70000</v>
      </c>
    </row>
    <row r="25" spans="1:6" ht="15" customHeight="1" x14ac:dyDescent="0.2">
      <c r="A25" s="8" t="s">
        <v>54</v>
      </c>
      <c r="B25" s="9">
        <v>47493</v>
      </c>
      <c r="C25" s="9">
        <v>60845</v>
      </c>
      <c r="D25" s="9">
        <v>58829</v>
      </c>
      <c r="E25" s="9">
        <v>78304</v>
      </c>
      <c r="F25" s="9">
        <v>80000</v>
      </c>
    </row>
    <row r="26" spans="1:6" ht="15" customHeight="1" x14ac:dyDescent="0.2">
      <c r="A26" s="6" t="s">
        <v>55</v>
      </c>
      <c r="B26" s="7">
        <v>7612</v>
      </c>
      <c r="C26" s="7">
        <v>7912</v>
      </c>
      <c r="D26" s="7">
        <v>8061</v>
      </c>
      <c r="E26" s="7">
        <v>8249</v>
      </c>
      <c r="F26" s="7">
        <v>8976</v>
      </c>
    </row>
    <row r="27" spans="1:6" ht="15" customHeight="1" x14ac:dyDescent="0.2">
      <c r="A27" s="8" t="s">
        <v>56</v>
      </c>
      <c r="B27" s="9">
        <v>6000</v>
      </c>
      <c r="C27" s="9">
        <v>9982</v>
      </c>
      <c r="D27" s="9">
        <v>5985</v>
      </c>
      <c r="E27" s="9">
        <v>9967</v>
      </c>
      <c r="F27" s="9">
        <v>10000</v>
      </c>
    </row>
    <row r="28" spans="1:6" ht="15" customHeight="1" x14ac:dyDescent="0.2">
      <c r="A28" s="6" t="s">
        <v>57</v>
      </c>
      <c r="B28" s="7">
        <v>9613</v>
      </c>
      <c r="C28" s="7">
        <v>11128</v>
      </c>
      <c r="D28" s="7">
        <v>9822</v>
      </c>
      <c r="E28" s="7">
        <v>10912</v>
      </c>
      <c r="F28" s="7">
        <v>13638</v>
      </c>
    </row>
    <row r="29" spans="1:6" ht="15" customHeight="1" x14ac:dyDescent="0.2">
      <c r="A29" s="10" t="s">
        <v>58</v>
      </c>
      <c r="B29" s="11">
        <f>SUM(B24:B28)</f>
        <v>125481</v>
      </c>
      <c r="C29" s="11">
        <f>SUM(C24:C28)</f>
        <v>153982</v>
      </c>
      <c r="D29" s="11">
        <f>SUM(D24:D28)</f>
        <v>145308</v>
      </c>
      <c r="E29" s="11">
        <f>SUM(E24:E28)</f>
        <v>176392</v>
      </c>
      <c r="F29" s="11">
        <f>SUM(F24:F28)</f>
        <v>182614</v>
      </c>
    </row>
    <row r="30" spans="1:6" ht="15" customHeight="1" x14ac:dyDescent="0.2">
      <c r="A30" s="4"/>
      <c r="B30" s="4"/>
      <c r="C30" s="4"/>
      <c r="D30" s="4"/>
      <c r="E30" s="4"/>
      <c r="F30" s="4"/>
    </row>
    <row r="31" spans="1:6" ht="15" customHeight="1" x14ac:dyDescent="0.2">
      <c r="A31" s="12" t="s">
        <v>59</v>
      </c>
      <c r="B31" s="13"/>
      <c r="C31" s="13"/>
      <c r="D31" s="13"/>
      <c r="E31" s="13"/>
      <c r="F31" s="13"/>
    </row>
    <row r="32" spans="1:6" ht="15" customHeight="1" x14ac:dyDescent="0.2">
      <c r="A32" s="6" t="s">
        <v>60</v>
      </c>
      <c r="B32" s="7">
        <v>109106</v>
      </c>
      <c r="C32" s="7">
        <v>98959</v>
      </c>
      <c r="D32" s="7">
        <v>95281</v>
      </c>
      <c r="E32" s="7">
        <v>85750</v>
      </c>
      <c r="F32" s="7">
        <v>78300</v>
      </c>
    </row>
    <row r="33" spans="1:6" ht="15" customHeight="1" x14ac:dyDescent="0.2">
      <c r="A33" s="8" t="s">
        <v>61</v>
      </c>
      <c r="B33" s="9">
        <v>53325</v>
      </c>
      <c r="C33" s="9">
        <v>49142</v>
      </c>
      <c r="D33" s="9">
        <v>49848</v>
      </c>
      <c r="E33" s="9">
        <v>45888</v>
      </c>
      <c r="F33" s="9">
        <v>44500</v>
      </c>
    </row>
    <row r="34" spans="1:6" ht="15" customHeight="1" x14ac:dyDescent="0.2">
      <c r="A34" s="10" t="s">
        <v>62</v>
      </c>
      <c r="B34" s="11">
        <f>B32+B33</f>
        <v>162431</v>
      </c>
      <c r="C34" s="11">
        <f>C32+C33</f>
        <v>148101</v>
      </c>
      <c r="D34" s="11">
        <f>D32+D33</f>
        <v>145129</v>
      </c>
      <c r="E34" s="11">
        <f>E32+E33</f>
        <v>131638</v>
      </c>
      <c r="F34" s="11">
        <f>F32+F33</f>
        <v>122800</v>
      </c>
    </row>
    <row r="35" spans="1:6" ht="15" customHeight="1" x14ac:dyDescent="0.2">
      <c r="A35" s="4"/>
      <c r="B35" s="4"/>
      <c r="C35" s="4"/>
      <c r="D35" s="4"/>
      <c r="E35" s="4"/>
      <c r="F35" s="4"/>
    </row>
    <row r="36" spans="1:6" ht="15" customHeight="1" x14ac:dyDescent="0.2">
      <c r="A36" s="10" t="s">
        <v>63</v>
      </c>
      <c r="B36" s="11">
        <f>B29+B34</f>
        <v>287912</v>
      </c>
      <c r="C36" s="11">
        <f>C29+C34</f>
        <v>302083</v>
      </c>
      <c r="D36" s="11">
        <f>D29+D34</f>
        <v>290437</v>
      </c>
      <c r="E36" s="11">
        <f>E29+E34</f>
        <v>308030</v>
      </c>
      <c r="F36" s="11">
        <f>F29+F34</f>
        <v>305414</v>
      </c>
    </row>
    <row r="37" spans="1:6" ht="15" customHeight="1" x14ac:dyDescent="0.2">
      <c r="A37" s="4"/>
      <c r="B37" s="4"/>
      <c r="C37" s="4"/>
      <c r="D37" s="4"/>
      <c r="E37" s="4"/>
      <c r="F37" s="4"/>
    </row>
    <row r="38" spans="1:6" ht="15" customHeight="1" x14ac:dyDescent="0.2">
      <c r="A38" s="12" t="s">
        <v>64</v>
      </c>
      <c r="B38" s="13"/>
      <c r="C38" s="13"/>
      <c r="D38" s="13"/>
      <c r="E38" s="13"/>
      <c r="F38" s="13"/>
    </row>
    <row r="39" spans="1:6" ht="15" customHeight="1" x14ac:dyDescent="0.2">
      <c r="A39" s="6" t="s">
        <v>65</v>
      </c>
      <c r="B39" s="7">
        <v>57365</v>
      </c>
      <c r="C39" s="7">
        <v>64849</v>
      </c>
      <c r="D39" s="7">
        <v>73812</v>
      </c>
      <c r="E39" s="7">
        <v>83276</v>
      </c>
      <c r="F39" s="7">
        <v>88711</v>
      </c>
    </row>
    <row r="40" spans="1:6" ht="15" customHeight="1" x14ac:dyDescent="0.2">
      <c r="A40" s="8" t="s">
        <v>66</v>
      </c>
      <c r="B40" s="9">
        <v>5562</v>
      </c>
      <c r="C40" s="9">
        <v>-3068</v>
      </c>
      <c r="D40" s="20">
        <v>-214</v>
      </c>
      <c r="E40" s="9">
        <v>-19154</v>
      </c>
      <c r="F40" s="9">
        <v>-14302</v>
      </c>
    </row>
    <row r="41" spans="1:6" ht="15" customHeight="1" x14ac:dyDescent="0.2">
      <c r="A41" s="6" t="s">
        <v>67</v>
      </c>
      <c r="B41" s="17">
        <v>163</v>
      </c>
      <c r="C41" s="7">
        <v>-11109</v>
      </c>
      <c r="D41" s="7">
        <v>-11452</v>
      </c>
      <c r="E41" s="7">
        <v>-7172</v>
      </c>
      <c r="F41" s="7">
        <v>-7892</v>
      </c>
    </row>
    <row r="42" spans="1:6" ht="15" customHeight="1" x14ac:dyDescent="0.2">
      <c r="A42" s="10" t="s">
        <v>68</v>
      </c>
      <c r="B42" s="11">
        <f>SUM(B39:B41)</f>
        <v>63090</v>
      </c>
      <c r="C42" s="11">
        <f>SUM(C39:C41)</f>
        <v>50672</v>
      </c>
      <c r="D42" s="11">
        <f>SUM(D39:D41)</f>
        <v>62146</v>
      </c>
      <c r="E42" s="11">
        <f>SUM(E39:E41)</f>
        <v>56950</v>
      </c>
      <c r="F42" s="11">
        <f>SUM(F39:F41)</f>
        <v>66517</v>
      </c>
    </row>
    <row r="43" spans="1:6" ht="15" customHeight="1" x14ac:dyDescent="0.2">
      <c r="A43" s="4"/>
      <c r="B43" s="4"/>
      <c r="C43" s="4"/>
      <c r="D43" s="4"/>
      <c r="E43" s="4"/>
      <c r="F43" s="4"/>
    </row>
    <row r="44" spans="1:6" ht="15" customHeight="1" x14ac:dyDescent="0.2">
      <c r="A44" s="10" t="s">
        <v>69</v>
      </c>
      <c r="B44" s="11">
        <f>B36+B42</f>
        <v>351002</v>
      </c>
      <c r="C44" s="11">
        <f>C36+C42</f>
        <v>352755</v>
      </c>
      <c r="D44" s="11">
        <f>D36+D42</f>
        <v>352583</v>
      </c>
      <c r="E44" s="11">
        <f>E36+E42</f>
        <v>364980</v>
      </c>
      <c r="F44" s="11">
        <f>F36+F42</f>
        <v>371931</v>
      </c>
    </row>
    <row r="45" spans="1:6" ht="15" customHeight="1" x14ac:dyDescent="0.2">
      <c r="A45" s="4"/>
      <c r="B45" s="4"/>
      <c r="C45" s="4"/>
      <c r="D45" s="4"/>
      <c r="E45" s="4"/>
      <c r="F45" s="4"/>
    </row>
    <row r="46" spans="1:6" ht="15" customHeight="1" x14ac:dyDescent="0.2">
      <c r="A46" s="8" t="s">
        <v>70</v>
      </c>
      <c r="B46" s="21">
        <f>B20-B44</f>
        <v>0</v>
      </c>
      <c r="C46" s="8">
        <f>C20-C44</f>
        <v>0</v>
      </c>
      <c r="D46" s="8">
        <f>D20-D44</f>
        <v>0</v>
      </c>
      <c r="E46" s="8">
        <f>E20-E44</f>
        <v>0</v>
      </c>
      <c r="F46" s="8">
        <f>F20-F44</f>
        <v>0</v>
      </c>
    </row>
  </sheetData>
  <mergeCells count="1">
    <mergeCell ref="A1:F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D1D1F"/>
  </sheetPr>
  <dimension ref="A1:I49"/>
  <sheetViews>
    <sheetView showGridLines="0" zoomScale="125" zoomScaleNormal="125" workbookViewId="0">
      <selection sqref="A1:F1"/>
    </sheetView>
  </sheetViews>
  <sheetFormatPr baseColWidth="10" defaultColWidth="8.83203125" defaultRowHeight="15" x14ac:dyDescent="0.2"/>
  <cols>
    <col min="1" max="1" width="46" customWidth="1"/>
    <col min="2" max="5" width="13" customWidth="1"/>
    <col min="6" max="6" width="15.6640625" customWidth="1"/>
  </cols>
  <sheetData>
    <row r="1" spans="1:6" ht="24" customHeight="1" x14ac:dyDescent="0.2">
      <c r="A1" s="38" t="s">
        <v>71</v>
      </c>
      <c r="B1" s="39"/>
      <c r="C1" s="39"/>
      <c r="D1" s="39"/>
      <c r="E1" s="39"/>
      <c r="F1" s="40"/>
    </row>
    <row r="2" spans="1:6" ht="18" customHeight="1" x14ac:dyDescent="0.2">
      <c r="A2" s="2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</row>
    <row r="3" spans="1:6" ht="15" customHeight="1" x14ac:dyDescent="0.2">
      <c r="A3" s="4"/>
      <c r="B3" s="4"/>
      <c r="C3" s="4"/>
      <c r="D3" s="4"/>
      <c r="E3" s="4"/>
      <c r="F3" s="4"/>
    </row>
    <row r="4" spans="1:6" ht="15" customHeight="1" x14ac:dyDescent="0.2">
      <c r="A4" s="5" t="s">
        <v>72</v>
      </c>
      <c r="B4" s="5"/>
      <c r="C4" s="5"/>
      <c r="D4" s="5"/>
      <c r="E4" s="5"/>
      <c r="F4" s="5"/>
    </row>
    <row r="5" spans="1:6" ht="15" customHeight="1" x14ac:dyDescent="0.2">
      <c r="A5" s="10" t="s">
        <v>31</v>
      </c>
      <c r="B5" s="11">
        <v>94680</v>
      </c>
      <c r="C5" s="11">
        <v>99803</v>
      </c>
      <c r="D5" s="11">
        <v>96995</v>
      </c>
      <c r="E5" s="11">
        <v>93736</v>
      </c>
      <c r="F5" s="11">
        <v>112010</v>
      </c>
    </row>
    <row r="6" spans="1:6" ht="15" customHeight="1" x14ac:dyDescent="0.2">
      <c r="A6" s="10" t="s">
        <v>73</v>
      </c>
      <c r="B6" s="10"/>
      <c r="C6" s="10"/>
      <c r="D6" s="10"/>
      <c r="E6" s="10"/>
      <c r="F6" s="10"/>
    </row>
    <row r="7" spans="1:6" ht="15" customHeight="1" x14ac:dyDescent="0.2">
      <c r="A7" s="6" t="s">
        <v>74</v>
      </c>
      <c r="B7" s="7">
        <v>11284</v>
      </c>
      <c r="C7" s="7">
        <v>11104</v>
      </c>
      <c r="D7" s="7">
        <v>11519</v>
      </c>
      <c r="E7" s="7">
        <v>11445</v>
      </c>
      <c r="F7" s="7">
        <v>11500</v>
      </c>
    </row>
    <row r="8" spans="1:6" ht="15" customHeight="1" x14ac:dyDescent="0.2">
      <c r="A8" s="8" t="s">
        <v>75</v>
      </c>
      <c r="B8" s="9">
        <v>7906</v>
      </c>
      <c r="C8" s="9">
        <v>9038</v>
      </c>
      <c r="D8" s="9">
        <v>10833</v>
      </c>
      <c r="E8" s="9">
        <v>11688</v>
      </c>
      <c r="F8" s="9">
        <v>12500</v>
      </c>
    </row>
    <row r="9" spans="1:6" ht="15" customHeight="1" x14ac:dyDescent="0.2">
      <c r="A9" s="6" t="s">
        <v>76</v>
      </c>
      <c r="B9" s="7">
        <v>-4774</v>
      </c>
      <c r="C9" s="17">
        <v>895</v>
      </c>
      <c r="D9" s="7">
        <v>5694</v>
      </c>
      <c r="E9" s="7">
        <v>-6500</v>
      </c>
      <c r="F9" s="17">
        <v>500</v>
      </c>
    </row>
    <row r="10" spans="1:6" ht="15" customHeight="1" x14ac:dyDescent="0.2">
      <c r="A10" s="8" t="s">
        <v>77</v>
      </c>
      <c r="B10" s="20">
        <v>-147</v>
      </c>
      <c r="C10" s="9">
        <v>1006</v>
      </c>
      <c r="D10" s="9">
        <v>-5167</v>
      </c>
      <c r="E10" s="9">
        <v>1200</v>
      </c>
      <c r="F10" s="20">
        <v>0</v>
      </c>
    </row>
    <row r="11" spans="1:6" ht="15" customHeight="1" x14ac:dyDescent="0.2">
      <c r="A11" s="12" t="s">
        <v>78</v>
      </c>
      <c r="B11" s="13"/>
      <c r="C11" s="13"/>
      <c r="D11" s="13"/>
      <c r="E11" s="13"/>
      <c r="F11" s="13"/>
    </row>
    <row r="12" spans="1:6" ht="15" customHeight="1" x14ac:dyDescent="0.2">
      <c r="A12" s="6" t="s">
        <v>79</v>
      </c>
      <c r="B12" s="7">
        <v>-10125</v>
      </c>
      <c r="C12" s="7">
        <v>-1823</v>
      </c>
      <c r="D12" s="7">
        <v>-1688</v>
      </c>
      <c r="E12" s="7">
        <v>-5577</v>
      </c>
      <c r="F12" s="7">
        <v>-3000</v>
      </c>
    </row>
    <row r="13" spans="1:6" ht="15" customHeight="1" x14ac:dyDescent="0.2">
      <c r="A13" s="8" t="s">
        <v>41</v>
      </c>
      <c r="B13" s="9">
        <v>2642</v>
      </c>
      <c r="C13" s="9">
        <v>1484</v>
      </c>
      <c r="D13" s="9">
        <v>-1618</v>
      </c>
      <c r="E13" s="9">
        <v>-1330</v>
      </c>
      <c r="F13" s="20">
        <v>242</v>
      </c>
    </row>
    <row r="14" spans="1:6" ht="15" customHeight="1" x14ac:dyDescent="0.2">
      <c r="A14" s="6" t="s">
        <v>42</v>
      </c>
      <c r="B14" s="7">
        <v>3903</v>
      </c>
      <c r="C14" s="7">
        <v>-7520</v>
      </c>
      <c r="D14" s="7">
        <v>1271</v>
      </c>
      <c r="E14" s="7">
        <v>-1356</v>
      </c>
      <c r="F14" s="7">
        <v>-1500</v>
      </c>
    </row>
    <row r="15" spans="1:6" ht="15" customHeight="1" x14ac:dyDescent="0.2">
      <c r="A15" s="8" t="s">
        <v>80</v>
      </c>
      <c r="B15" s="9">
        <v>-9519</v>
      </c>
      <c r="C15" s="9">
        <v>-6499</v>
      </c>
      <c r="D15" s="9">
        <v>6228</v>
      </c>
      <c r="E15" s="9">
        <v>-2769</v>
      </c>
      <c r="F15" s="9">
        <v>-2000</v>
      </c>
    </row>
    <row r="16" spans="1:6" ht="15" customHeight="1" x14ac:dyDescent="0.2">
      <c r="A16" s="6" t="s">
        <v>53</v>
      </c>
      <c r="B16" s="7">
        <v>12326</v>
      </c>
      <c r="C16" s="7">
        <v>9448</v>
      </c>
      <c r="D16" s="7">
        <v>-1889</v>
      </c>
      <c r="E16" s="7">
        <v>6799</v>
      </c>
      <c r="F16" s="7">
        <v>5000</v>
      </c>
    </row>
    <row r="17" spans="1:9" ht="15" customHeight="1" x14ac:dyDescent="0.2">
      <c r="A17" s="8" t="s">
        <v>81</v>
      </c>
      <c r="B17" s="9">
        <v>4128</v>
      </c>
      <c r="C17" s="9">
        <v>7475</v>
      </c>
      <c r="D17" s="9">
        <v>-5632</v>
      </c>
      <c r="E17" s="9">
        <v>8769</v>
      </c>
      <c r="F17" s="9">
        <v>10000</v>
      </c>
    </row>
    <row r="18" spans="1:9" ht="15" customHeight="1" x14ac:dyDescent="0.2">
      <c r="A18" s="8" t="s">
        <v>82</v>
      </c>
      <c r="B18" s="9">
        <v>104038</v>
      </c>
      <c r="C18" s="9">
        <v>122151</v>
      </c>
      <c r="D18" s="9">
        <v>110543</v>
      </c>
      <c r="E18" s="9">
        <v>118254</v>
      </c>
      <c r="F18" s="21">
        <f>SUM(F5:F17)</f>
        <v>145252</v>
      </c>
      <c r="H18" s="14"/>
    </row>
    <row r="19" spans="1:9" ht="15" customHeight="1" x14ac:dyDescent="0.2">
      <c r="A19" s="4"/>
      <c r="B19" s="4"/>
      <c r="C19" s="4"/>
      <c r="D19" s="4"/>
      <c r="E19" s="4"/>
      <c r="F19" s="4"/>
    </row>
    <row r="20" spans="1:9" ht="15" customHeight="1" x14ac:dyDescent="0.2">
      <c r="A20" s="12" t="s">
        <v>83</v>
      </c>
      <c r="B20" s="13"/>
      <c r="C20" s="13"/>
      <c r="D20" s="13"/>
      <c r="E20" s="13"/>
      <c r="F20" s="13"/>
      <c r="I20" s="14"/>
    </row>
    <row r="21" spans="1:9" ht="15" customHeight="1" x14ac:dyDescent="0.2">
      <c r="A21" s="6" t="s">
        <v>84</v>
      </c>
      <c r="B21" s="7">
        <v>-109689</v>
      </c>
      <c r="C21" s="7">
        <v>-76923</v>
      </c>
      <c r="D21" s="7">
        <v>-29513</v>
      </c>
      <c r="E21" s="7">
        <v>-29042</v>
      </c>
      <c r="F21" s="7">
        <v>-35000</v>
      </c>
    </row>
    <row r="22" spans="1:9" ht="15" customHeight="1" x14ac:dyDescent="0.2">
      <c r="A22" s="8" t="s">
        <v>85</v>
      </c>
      <c r="B22" s="9">
        <v>59023</v>
      </c>
      <c r="C22" s="9">
        <v>29917</v>
      </c>
      <c r="D22" s="9">
        <v>45099</v>
      </c>
      <c r="E22" s="9">
        <v>53461</v>
      </c>
      <c r="F22" s="9">
        <v>50000</v>
      </c>
    </row>
    <row r="23" spans="1:9" ht="15" customHeight="1" x14ac:dyDescent="0.2">
      <c r="A23" s="6" t="s">
        <v>86</v>
      </c>
      <c r="B23" s="7">
        <v>47460</v>
      </c>
      <c r="C23" s="7">
        <v>37446</v>
      </c>
      <c r="D23" s="7">
        <v>27169</v>
      </c>
      <c r="E23" s="7">
        <v>8628</v>
      </c>
      <c r="F23" s="7">
        <v>15000</v>
      </c>
    </row>
    <row r="24" spans="1:9" ht="15" customHeight="1" x14ac:dyDescent="0.2">
      <c r="A24" s="8" t="s">
        <v>87</v>
      </c>
      <c r="B24" s="9">
        <v>-11085</v>
      </c>
      <c r="C24" s="9">
        <v>-10708</v>
      </c>
      <c r="D24" s="9">
        <v>-10959</v>
      </c>
      <c r="E24" s="9">
        <v>-9447</v>
      </c>
      <c r="F24" s="9">
        <v>-10000</v>
      </c>
    </row>
    <row r="25" spans="1:9" ht="15" customHeight="1" x14ac:dyDescent="0.2">
      <c r="A25" s="6" t="s">
        <v>88</v>
      </c>
      <c r="B25" s="17">
        <v>-385</v>
      </c>
      <c r="C25" s="7">
        <v>-2086</v>
      </c>
      <c r="D25" s="7">
        <v>-1337</v>
      </c>
      <c r="E25" s="7">
        <v>-1817</v>
      </c>
      <c r="F25" s="7">
        <v>-1000</v>
      </c>
    </row>
    <row r="26" spans="1:9" ht="15" customHeight="1" x14ac:dyDescent="0.2">
      <c r="A26" s="8" t="s">
        <v>89</v>
      </c>
      <c r="B26" s="21">
        <f>SUM(B21:B25)</f>
        <v>-14676</v>
      </c>
      <c r="C26" s="21">
        <f>SUM(C21:C25)</f>
        <v>-22354</v>
      </c>
      <c r="D26" s="21">
        <f>SUM(D21:D25)</f>
        <v>30459</v>
      </c>
      <c r="E26" s="21">
        <f>SUM(E21:E25)</f>
        <v>21783</v>
      </c>
      <c r="F26" s="21">
        <f>SUM(F21:F25)</f>
        <v>19000</v>
      </c>
    </row>
    <row r="27" spans="1:9" ht="15" customHeight="1" x14ac:dyDescent="0.2">
      <c r="A27" s="4"/>
      <c r="B27" s="4"/>
      <c r="C27" s="4"/>
      <c r="D27" s="4"/>
      <c r="E27" s="4"/>
      <c r="F27" s="4"/>
    </row>
    <row r="28" spans="1:9" ht="15" customHeight="1" x14ac:dyDescent="0.2">
      <c r="A28" s="12" t="s">
        <v>90</v>
      </c>
      <c r="B28" s="13"/>
      <c r="C28" s="13"/>
      <c r="D28" s="13"/>
      <c r="E28" s="13"/>
      <c r="F28" s="13"/>
    </row>
    <row r="29" spans="1:9" ht="15" customHeight="1" x14ac:dyDescent="0.2">
      <c r="A29" s="6" t="s">
        <v>91</v>
      </c>
      <c r="B29" s="7">
        <v>1105</v>
      </c>
      <c r="C29" s="17">
        <v>0</v>
      </c>
      <c r="D29" s="17">
        <v>0</v>
      </c>
      <c r="E29" s="17">
        <v>0</v>
      </c>
      <c r="F29" s="17">
        <v>0</v>
      </c>
    </row>
    <row r="30" spans="1:9" ht="15" customHeight="1" x14ac:dyDescent="0.2">
      <c r="A30" s="8" t="s">
        <v>92</v>
      </c>
      <c r="B30" s="9">
        <v>-6556</v>
      </c>
      <c r="C30" s="9">
        <v>-6223</v>
      </c>
      <c r="D30" s="9">
        <v>-6584</v>
      </c>
      <c r="E30" s="9">
        <v>-6556</v>
      </c>
      <c r="F30" s="9">
        <v>-7000</v>
      </c>
    </row>
    <row r="31" spans="1:9" ht="15" customHeight="1" x14ac:dyDescent="0.2">
      <c r="A31" s="6" t="s">
        <v>93</v>
      </c>
      <c r="B31" s="7">
        <v>-14467</v>
      </c>
      <c r="C31" s="7">
        <v>-14841</v>
      </c>
      <c r="D31" s="7">
        <v>-15025</v>
      </c>
      <c r="E31" s="7">
        <v>-15234</v>
      </c>
      <c r="F31" s="7">
        <v>-15500</v>
      </c>
    </row>
    <row r="32" spans="1:9" ht="15" customHeight="1" x14ac:dyDescent="0.2">
      <c r="A32" s="8" t="s">
        <v>94</v>
      </c>
      <c r="B32" s="9">
        <v>-85971</v>
      </c>
      <c r="C32" s="9">
        <v>-89402</v>
      </c>
      <c r="D32" s="9">
        <v>-77550</v>
      </c>
      <c r="E32" s="9">
        <v>-94949</v>
      </c>
      <c r="F32" s="9">
        <v>-100000</v>
      </c>
    </row>
    <row r="33" spans="1:6" ht="15" customHeight="1" x14ac:dyDescent="0.2">
      <c r="A33" s="6" t="s">
        <v>95</v>
      </c>
      <c r="B33" s="7">
        <v>20393</v>
      </c>
      <c r="C33" s="7">
        <v>5465</v>
      </c>
      <c r="D33" s="7">
        <v>5228</v>
      </c>
      <c r="E33" s="17">
        <v>0</v>
      </c>
      <c r="F33" s="7">
        <v>5000</v>
      </c>
    </row>
    <row r="34" spans="1:6" ht="15" customHeight="1" x14ac:dyDescent="0.2">
      <c r="A34" s="8" t="s">
        <v>96</v>
      </c>
      <c r="B34" s="9">
        <v>-8750</v>
      </c>
      <c r="C34" s="9">
        <v>-9543</v>
      </c>
      <c r="D34" s="9">
        <v>-11151</v>
      </c>
      <c r="E34" s="9">
        <v>-11445</v>
      </c>
      <c r="F34" s="9">
        <v>-10000</v>
      </c>
    </row>
    <row r="35" spans="1:6" ht="15" customHeight="1" x14ac:dyDescent="0.2">
      <c r="A35" s="6" t="s">
        <v>97</v>
      </c>
      <c r="B35" s="7">
        <v>1022</v>
      </c>
      <c r="C35" s="7">
        <v>3955</v>
      </c>
      <c r="D35" s="7">
        <v>-4025</v>
      </c>
      <c r="E35" s="7">
        <v>3982</v>
      </c>
      <c r="F35" s="17">
        <v>0</v>
      </c>
    </row>
    <row r="36" spans="1:6" ht="15" customHeight="1" x14ac:dyDescent="0.2">
      <c r="A36" s="8" t="s">
        <v>98</v>
      </c>
      <c r="B36" s="20">
        <v>0</v>
      </c>
      <c r="C36" s="20">
        <v>0</v>
      </c>
      <c r="D36" s="20">
        <v>0</v>
      </c>
      <c r="E36" s="20">
        <v>0</v>
      </c>
      <c r="F36" s="20">
        <v>0</v>
      </c>
    </row>
    <row r="37" spans="1:6" ht="15" customHeight="1" x14ac:dyDescent="0.2">
      <c r="A37" s="8" t="s">
        <v>99</v>
      </c>
      <c r="B37" s="21">
        <f>SUM(B29:B36)</f>
        <v>-93224</v>
      </c>
      <c r="C37" s="21">
        <f>SUM(C29:C36)</f>
        <v>-110589</v>
      </c>
      <c r="D37" s="21">
        <f>SUM(D29:D36)</f>
        <v>-109107</v>
      </c>
      <c r="E37" s="21">
        <f>SUM(E29:E36)</f>
        <v>-124202</v>
      </c>
      <c r="F37" s="21">
        <f>SUM(F29:F36)</f>
        <v>-127500</v>
      </c>
    </row>
    <row r="38" spans="1:6" ht="15" customHeight="1" x14ac:dyDescent="0.2">
      <c r="A38" s="4"/>
      <c r="B38" s="4"/>
      <c r="C38" s="4"/>
      <c r="D38" s="4"/>
      <c r="E38" s="4"/>
      <c r="F38" s="4"/>
    </row>
    <row r="39" spans="1:6" ht="15" customHeight="1" x14ac:dyDescent="0.2">
      <c r="A39" s="10" t="s">
        <v>100</v>
      </c>
      <c r="B39" s="11">
        <f>B18+B26+B37</f>
        <v>-3862</v>
      </c>
      <c r="C39" s="11">
        <f>C18+C26+C37</f>
        <v>-10792</v>
      </c>
      <c r="D39" s="11">
        <f>D18+D26+D37</f>
        <v>31895</v>
      </c>
      <c r="E39" s="11">
        <f>E18+E26+E37</f>
        <v>15835</v>
      </c>
      <c r="F39" s="11">
        <f>F18+F26+F37</f>
        <v>36752</v>
      </c>
    </row>
    <row r="40" spans="1:6" ht="15" customHeight="1" x14ac:dyDescent="0.2">
      <c r="A40" s="6" t="s">
        <v>101</v>
      </c>
      <c r="B40" s="7">
        <v>38016</v>
      </c>
      <c r="C40" s="22">
        <f>B41</f>
        <v>34940</v>
      </c>
      <c r="D40" s="22">
        <f>C41</f>
        <v>23646</v>
      </c>
      <c r="E40" s="22">
        <f>D41</f>
        <v>29965</v>
      </c>
      <c r="F40" s="22">
        <f>E41</f>
        <v>29943</v>
      </c>
    </row>
    <row r="41" spans="1:6" ht="15" customHeight="1" x14ac:dyDescent="0.2">
      <c r="A41" s="8" t="s">
        <v>102</v>
      </c>
      <c r="B41" s="9">
        <v>34940</v>
      </c>
      <c r="C41" s="9">
        <v>23646</v>
      </c>
      <c r="D41" s="9">
        <v>29965</v>
      </c>
      <c r="E41" s="9">
        <v>29943</v>
      </c>
      <c r="F41" s="9">
        <v>28162</v>
      </c>
    </row>
    <row r="42" spans="1:6" ht="15" customHeight="1" x14ac:dyDescent="0.2">
      <c r="A42" s="4"/>
      <c r="B42" s="4"/>
      <c r="C42" s="4"/>
      <c r="D42" s="4"/>
      <c r="E42" s="4"/>
      <c r="F42" s="4"/>
    </row>
    <row r="43" spans="1:6" ht="15" customHeight="1" x14ac:dyDescent="0.2">
      <c r="A43" s="12" t="s">
        <v>103</v>
      </c>
      <c r="B43" s="13"/>
      <c r="C43" s="13"/>
      <c r="D43" s="13"/>
      <c r="E43" s="13"/>
      <c r="F43" s="13"/>
    </row>
    <row r="44" spans="1:6" ht="15" customHeight="1" x14ac:dyDescent="0.2">
      <c r="A44" s="6" t="s">
        <v>104</v>
      </c>
      <c r="B44" s="7">
        <v>25385</v>
      </c>
      <c r="C44" s="7">
        <v>19573</v>
      </c>
      <c r="D44" s="7">
        <v>18679</v>
      </c>
      <c r="E44" s="7">
        <v>24250</v>
      </c>
      <c r="F44" s="7">
        <v>31000</v>
      </c>
    </row>
    <row r="45" spans="1:6" ht="15" customHeight="1" x14ac:dyDescent="0.2">
      <c r="A45" s="8" t="s">
        <v>105</v>
      </c>
      <c r="B45" s="9">
        <v>2687</v>
      </c>
      <c r="C45" s="9">
        <v>2865</v>
      </c>
      <c r="D45" s="9">
        <v>3803</v>
      </c>
      <c r="E45" s="9">
        <v>3803</v>
      </c>
      <c r="F45" s="9">
        <v>3500</v>
      </c>
    </row>
    <row r="46" spans="1:6" ht="15" customHeight="1" x14ac:dyDescent="0.2">
      <c r="A46" s="4"/>
      <c r="B46" s="4"/>
      <c r="C46" s="4"/>
      <c r="D46" s="4"/>
      <c r="E46" s="4"/>
      <c r="F46" s="4"/>
    </row>
    <row r="47" spans="1:6" ht="15" customHeight="1" x14ac:dyDescent="0.2">
      <c r="A47" s="12" t="s">
        <v>106</v>
      </c>
      <c r="B47" s="13"/>
      <c r="C47" s="13"/>
      <c r="D47" s="13"/>
      <c r="E47" s="13"/>
      <c r="F47" s="13"/>
    </row>
    <row r="48" spans="1:6" ht="15" customHeight="1" x14ac:dyDescent="0.2">
      <c r="A48" s="10" t="s">
        <v>107</v>
      </c>
      <c r="B48" s="11">
        <f>B18+B24</f>
        <v>92953</v>
      </c>
      <c r="C48" s="11">
        <f>C18+C24</f>
        <v>111443</v>
      </c>
      <c r="D48" s="11">
        <f>D18+D24</f>
        <v>99584</v>
      </c>
      <c r="E48" s="11">
        <f>E18+E24</f>
        <v>108807</v>
      </c>
      <c r="F48" s="11">
        <v>135252</v>
      </c>
    </row>
    <row r="49" spans="1:6" ht="15" customHeight="1" x14ac:dyDescent="0.2">
      <c r="A49" s="8" t="s">
        <v>108</v>
      </c>
      <c r="B49" s="23">
        <f>B48/'Income Statement'!B7</f>
        <v>0.25409699385211731</v>
      </c>
      <c r="C49" s="23">
        <f>C48/'Income Statement'!C7</f>
        <v>0.28261498042238947</v>
      </c>
      <c r="D49" s="23">
        <f>D48/'Income Statement'!D7</f>
        <v>0.25981710737440805</v>
      </c>
      <c r="E49" s="23">
        <f>E48/'Income Statement'!E7</f>
        <v>0.27825386474356517</v>
      </c>
      <c r="F49" s="23">
        <f>F48/'Income Statement'!F7</f>
        <v>0.32499921905224183</v>
      </c>
    </row>
  </sheetData>
  <mergeCells count="1">
    <mergeCell ref="A1:F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D1D1F"/>
  </sheetPr>
  <dimension ref="A1:F42"/>
  <sheetViews>
    <sheetView showGridLines="0" topLeftCell="A4" zoomScaleNormal="100" workbookViewId="0">
      <selection activeCell="A34" sqref="A34:F34"/>
    </sheetView>
  </sheetViews>
  <sheetFormatPr baseColWidth="10" defaultColWidth="8.83203125" defaultRowHeight="15" x14ac:dyDescent="0.2"/>
  <cols>
    <col min="1" max="1" width="35.6640625" customWidth="1"/>
    <col min="2" max="5" width="13" customWidth="1"/>
    <col min="6" max="6" width="15.6640625" customWidth="1"/>
  </cols>
  <sheetData>
    <row r="1" spans="1:6" ht="24" customHeight="1" x14ac:dyDescent="0.2">
      <c r="A1" s="38" t="s">
        <v>109</v>
      </c>
      <c r="B1" s="39"/>
      <c r="C1" s="39"/>
      <c r="D1" s="39"/>
      <c r="E1" s="39"/>
      <c r="F1" s="40"/>
    </row>
    <row r="2" spans="1:6" ht="18" customHeight="1" x14ac:dyDescent="0.2">
      <c r="A2" s="2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</row>
    <row r="3" spans="1:6" ht="15" customHeight="1" x14ac:dyDescent="0.2">
      <c r="A3" s="4"/>
      <c r="B3" s="4"/>
      <c r="C3" s="4"/>
      <c r="D3" s="4"/>
      <c r="E3" s="4"/>
      <c r="F3" s="4"/>
    </row>
    <row r="4" spans="1:6" ht="15.75" customHeight="1" x14ac:dyDescent="0.2">
      <c r="A4" s="42" t="s">
        <v>110</v>
      </c>
      <c r="B4" s="39"/>
      <c r="C4" s="39"/>
      <c r="D4" s="39"/>
      <c r="E4" s="39"/>
      <c r="F4" s="40"/>
    </row>
    <row r="5" spans="1:6" ht="15" customHeight="1" x14ac:dyDescent="0.2">
      <c r="A5" s="6" t="s">
        <v>16</v>
      </c>
      <c r="B5" s="24">
        <f>'Income Statement'!B14/'Income Statement'!B7</f>
        <v>0.41779359625167778</v>
      </c>
      <c r="C5" s="24">
        <f>'Income Statement'!C14/'Income Statement'!C7</f>
        <v>0.43307348197439693</v>
      </c>
      <c r="D5" s="24">
        <f>'Income Statement'!D14/'Income Statement'!D7</f>
        <v>0.44131129577207562</v>
      </c>
      <c r="E5" s="24">
        <f>'Income Statement'!E14/'Income Statement'!E7</f>
        <v>0.46206861278402189</v>
      </c>
      <c r="F5" s="24">
        <f>'Income Statement'!F14/'Income Statement'!F7</f>
        <v>0.44848988732726036</v>
      </c>
    </row>
    <row r="6" spans="1:6" ht="15" customHeight="1" x14ac:dyDescent="0.2">
      <c r="A6" s="8" t="s">
        <v>22</v>
      </c>
      <c r="B6" s="23">
        <f>'Income Statement'!B22/'Income Statement'!B7</f>
        <v>0.29782377527561593</v>
      </c>
      <c r="C6" s="23">
        <f>'Income Statement'!C22/'Income Statement'!C7</f>
        <v>0.30288744395528594</v>
      </c>
      <c r="D6" s="23">
        <f>'Income Statement'!D22/'Income Statement'!D7</f>
        <v>0.29821412265024722</v>
      </c>
      <c r="E6" s="23">
        <f>'Income Statement'!E22/'Income Statement'!E7</f>
        <v>0.31510734333243828</v>
      </c>
      <c r="F6" s="23">
        <f>'Income Statement'!F22/'Income Statement'!F7</f>
        <v>0.30426445534300428</v>
      </c>
    </row>
    <row r="7" spans="1:6" ht="15" customHeight="1" x14ac:dyDescent="0.2">
      <c r="A7" s="6" t="s">
        <v>111</v>
      </c>
      <c r="B7" s="24">
        <f>'Income Statement'!B35/'Income Statement'!B7</f>
        <v>0.25881793355694238</v>
      </c>
      <c r="C7" s="24">
        <f>'Income Statement'!C35/'Income Statement'!C7</f>
        <v>0.2539434176624536</v>
      </c>
      <c r="D7" s="24">
        <f>'Income Statement'!D35/'Income Statement'!D7</f>
        <v>0.25505563744993937</v>
      </c>
      <c r="E7" s="24">
        <f>'Income Statement'!E35/'Income Statement'!E7</f>
        <v>0.23971255769943867</v>
      </c>
      <c r="F7" s="24">
        <f>'Income Statement'!F35/'Income Statement'!F7</f>
        <v>0.26915064121818238</v>
      </c>
    </row>
    <row r="8" spans="1:6" ht="15" customHeight="1" x14ac:dyDescent="0.2">
      <c r="A8" s="8" t="s">
        <v>112</v>
      </c>
      <c r="B8" s="19">
        <v>0.33660000000000001</v>
      </c>
      <c r="C8" s="19">
        <v>0.33100000000000002</v>
      </c>
      <c r="D8" s="19">
        <v>0.32829999999999998</v>
      </c>
      <c r="E8" s="19">
        <v>0.34439999999999998</v>
      </c>
      <c r="F8" s="19">
        <v>0.33189999999999997</v>
      </c>
    </row>
    <row r="9" spans="1:6" ht="15" customHeight="1" x14ac:dyDescent="0.2">
      <c r="A9" s="6" t="s">
        <v>113</v>
      </c>
      <c r="B9" s="24">
        <f>'Income Statement'!B35/'Balance Sheet'!B20</f>
        <v>0.26974205275183616</v>
      </c>
      <c r="C9" s="24">
        <f>'Income Statement'!C35/'Balance Sheet'!C20</f>
        <v>0.28387124208019732</v>
      </c>
      <c r="D9" s="24">
        <f>'Income Statement'!D35/'Balance Sheet'!D20</f>
        <v>0.27726521131194642</v>
      </c>
      <c r="E9" s="24">
        <f>'Income Statement'!E35/'Balance Sheet'!E20</f>
        <v>0.25682503150857583</v>
      </c>
      <c r="F9" s="24">
        <f>'Income Statement'!F35/'Balance Sheet'!F20</f>
        <v>0.30115801049119328</v>
      </c>
    </row>
    <row r="10" spans="1:6" ht="15" customHeight="1" x14ac:dyDescent="0.2">
      <c r="A10" s="8" t="s">
        <v>114</v>
      </c>
      <c r="B10" s="23">
        <f>'Income Statement'!B35/'Balance Sheet'!B42</f>
        <v>1.5007132667617689</v>
      </c>
      <c r="C10" s="23">
        <f>'Income Statement'!C35/'Balance Sheet'!C42</f>
        <v>1.976180138932744</v>
      </c>
      <c r="D10" s="23">
        <f>'Income Statement'!D35/'Balance Sheet'!D42</f>
        <v>1.5730537765906092</v>
      </c>
      <c r="E10" s="23">
        <f>'Income Statement'!E35/'Balance Sheet'!E42</f>
        <v>1.6459350307287095</v>
      </c>
      <c r="F10" s="23">
        <f>'Income Statement'!F35/'Balance Sheet'!F42</f>
        <v>1.6839304238014343</v>
      </c>
    </row>
    <row r="11" spans="1:6" ht="15" customHeight="1" x14ac:dyDescent="0.2">
      <c r="A11" s="4"/>
      <c r="B11" s="4"/>
      <c r="C11" s="4"/>
      <c r="D11" s="4"/>
      <c r="E11" s="4"/>
      <c r="F11" s="4"/>
    </row>
    <row r="12" spans="1:6" ht="15.75" customHeight="1" x14ac:dyDescent="0.2">
      <c r="A12" s="41" t="s">
        <v>115</v>
      </c>
      <c r="B12" s="39"/>
      <c r="C12" s="39"/>
      <c r="D12" s="39"/>
      <c r="E12" s="39"/>
      <c r="F12" s="40"/>
    </row>
    <row r="13" spans="1:6" ht="15" customHeight="1" x14ac:dyDescent="0.2">
      <c r="A13" s="6" t="s">
        <v>116</v>
      </c>
      <c r="B13" s="25">
        <f>'Balance Sheet'!B12/'Balance Sheet'!B29</f>
        <v>1.0745531195957954</v>
      </c>
      <c r="C13" s="25">
        <f>'Balance Sheet'!C12/'Balance Sheet'!C29</f>
        <v>0.87935602862672257</v>
      </c>
      <c r="D13" s="25">
        <f>'Balance Sheet'!D12/'Balance Sheet'!D29</f>
        <v>0.98801167175929749</v>
      </c>
      <c r="E13" s="25">
        <f>'Balance Sheet'!E12/'Balance Sheet'!E29</f>
        <v>0.86848609914281827</v>
      </c>
      <c r="F13" s="25">
        <f>'Balance Sheet'!F12/'Balance Sheet'!F29</f>
        <v>0.87304916381000364</v>
      </c>
    </row>
    <row r="14" spans="1:6" ht="15" customHeight="1" x14ac:dyDescent="0.2">
      <c r="A14" s="8" t="s">
        <v>117</v>
      </c>
      <c r="B14" s="20">
        <v>0.98</v>
      </c>
      <c r="C14" s="20">
        <v>0.83</v>
      </c>
      <c r="D14" s="20">
        <v>0.94</v>
      </c>
      <c r="E14" s="20">
        <v>0.83</v>
      </c>
      <c r="F14" s="20">
        <v>0.84</v>
      </c>
    </row>
    <row r="15" spans="1:6" ht="15" customHeight="1" x14ac:dyDescent="0.2">
      <c r="A15" s="6" t="s">
        <v>118</v>
      </c>
      <c r="B15" s="25">
        <f>('Balance Sheet'!B6+'Balance Sheet'!B7)/'Balance Sheet'!B29</f>
        <v>0.49919111259872012</v>
      </c>
      <c r="C15" s="25">
        <f>('Balance Sheet'!C6+'Balance Sheet'!C7)/'Balance Sheet'!C29</f>
        <v>0.31369900377966253</v>
      </c>
      <c r="D15" s="25">
        <f>('Balance Sheet'!D6+'Balance Sheet'!D7)/'Balance Sheet'!D29</f>
        <v>0.42361741955019683</v>
      </c>
      <c r="E15" s="25">
        <f>('Balance Sheet'!E6+'Balance Sheet'!E7)/'Balance Sheet'!E29</f>
        <v>0.36946686924577077</v>
      </c>
      <c r="F15" s="25">
        <f>('Balance Sheet'!F6+'Balance Sheet'!F7)/'Balance Sheet'!F29</f>
        <v>0.37325725300360324</v>
      </c>
    </row>
    <row r="16" spans="1:6" ht="15" customHeight="1" x14ac:dyDescent="0.2">
      <c r="A16" s="4"/>
      <c r="B16" s="4"/>
      <c r="C16" s="4"/>
      <c r="D16" s="4"/>
      <c r="E16" s="4"/>
      <c r="F16" s="4"/>
    </row>
    <row r="17" spans="1:6" ht="15.75" customHeight="1" x14ac:dyDescent="0.2">
      <c r="A17" s="41" t="s">
        <v>119</v>
      </c>
      <c r="B17" s="39"/>
      <c r="C17" s="39"/>
      <c r="D17" s="39"/>
      <c r="E17" s="39"/>
      <c r="F17" s="40"/>
    </row>
    <row r="18" spans="1:6" ht="15" customHeight="1" x14ac:dyDescent="0.2">
      <c r="A18" s="6" t="s">
        <v>120</v>
      </c>
      <c r="B18" s="17">
        <v>1.88</v>
      </c>
      <c r="C18" s="17">
        <v>2.17</v>
      </c>
      <c r="D18" s="17">
        <v>1.69</v>
      </c>
      <c r="E18" s="17">
        <v>1.7</v>
      </c>
      <c r="F18" s="17">
        <v>1.38</v>
      </c>
    </row>
    <row r="19" spans="1:6" ht="15" customHeight="1" x14ac:dyDescent="0.2">
      <c r="A19" s="8" t="s">
        <v>121</v>
      </c>
      <c r="B19" s="20">
        <v>0.34</v>
      </c>
      <c r="C19" s="20">
        <v>0.31</v>
      </c>
      <c r="D19" s="20">
        <v>0.3</v>
      </c>
      <c r="E19" s="20">
        <v>0.26</v>
      </c>
      <c r="F19" s="20">
        <v>0.25</v>
      </c>
    </row>
    <row r="20" spans="1:6" ht="15" customHeight="1" x14ac:dyDescent="0.2">
      <c r="A20" s="6" t="s">
        <v>122</v>
      </c>
      <c r="B20" s="17">
        <v>41.2</v>
      </c>
      <c r="C20" s="17">
        <v>40.75</v>
      </c>
      <c r="D20" s="17">
        <v>29.06</v>
      </c>
      <c r="E20" s="17">
        <v>32.4</v>
      </c>
      <c r="F20" s="17">
        <v>36.18</v>
      </c>
    </row>
    <row r="21" spans="1:6" ht="15" customHeight="1" x14ac:dyDescent="0.2">
      <c r="A21" s="4"/>
      <c r="B21" s="4"/>
      <c r="C21" s="4"/>
      <c r="D21" s="4"/>
      <c r="E21" s="4"/>
      <c r="F21" s="4"/>
    </row>
    <row r="22" spans="1:6" ht="15.75" customHeight="1" x14ac:dyDescent="0.2">
      <c r="A22" s="41" t="s">
        <v>123</v>
      </c>
      <c r="B22" s="39"/>
      <c r="C22" s="39"/>
      <c r="D22" s="39"/>
      <c r="E22" s="39"/>
      <c r="F22" s="40"/>
    </row>
    <row r="23" spans="1:6" ht="15" customHeight="1" x14ac:dyDescent="0.2">
      <c r="A23" s="6" t="s">
        <v>124</v>
      </c>
      <c r="B23" s="25">
        <f>'Income Statement'!B7/'Balance Sheet'!B20</f>
        <v>1.0422077367080529</v>
      </c>
      <c r="C23" s="25">
        <f>'Income Statement'!C7/'Balance Sheet'!C20</f>
        <v>1.1178523337727317</v>
      </c>
      <c r="D23" s="25">
        <f>'Income Statement'!D7/'Balance Sheet'!D20</f>
        <v>1.0870773690166571</v>
      </c>
      <c r="E23" s="25">
        <f>'Income Statement'!E7/'Balance Sheet'!E20</f>
        <v>1.0713874732862074</v>
      </c>
      <c r="F23" s="25">
        <f>'Income Statement'!F7/'Balance Sheet'!F20</f>
        <v>1.1189199071870857</v>
      </c>
    </row>
    <row r="24" spans="1:6" ht="15" customHeight="1" x14ac:dyDescent="0.2">
      <c r="A24" s="8" t="s">
        <v>125</v>
      </c>
      <c r="B24" s="26">
        <f>'Income Statement'!B12/'Balance Sheet'!B9</f>
        <v>32.367933130699086</v>
      </c>
      <c r="C24" s="26">
        <f>'Income Statement'!C12/'Balance Sheet'!C9</f>
        <v>45.199150828952689</v>
      </c>
      <c r="D24" s="26">
        <f>'Income Statement'!D12/'Balance Sheet'!D9</f>
        <v>33.823566577160008</v>
      </c>
      <c r="E24" s="26">
        <f>'Income Statement'!E12/'Balance Sheet'!E9</f>
        <v>32.306865304868687</v>
      </c>
      <c r="F24" s="26">
        <f>'Income Statement'!F12/'Balance Sheet'!F9</f>
        <v>36.611421279310896</v>
      </c>
    </row>
    <row r="25" spans="1:6" ht="15" customHeight="1" x14ac:dyDescent="0.2">
      <c r="A25" s="6" t="s">
        <v>126</v>
      </c>
      <c r="B25" s="6">
        <f>365/B24</f>
        <v>11.27659274770989</v>
      </c>
      <c r="C25" s="6">
        <f>365/C24</f>
        <v>8.0753729507280081</v>
      </c>
      <c r="D25" s="6">
        <f>365/D24</f>
        <v>10.791292490321617</v>
      </c>
      <c r="E25" s="6">
        <f>365/E24</f>
        <v>11.297908248157832</v>
      </c>
      <c r="F25" s="6">
        <f>365/F24</f>
        <v>9.9695665244840246</v>
      </c>
    </row>
    <row r="26" spans="1:6" ht="15" customHeight="1" x14ac:dyDescent="0.2">
      <c r="A26" s="8" t="s">
        <v>127</v>
      </c>
      <c r="B26" s="26">
        <f>365*'Balance Sheet'!B8/'Income Statement'!B7</f>
        <v>26.219311841713207</v>
      </c>
      <c r="C26" s="26">
        <f>365*'Balance Sheet'!C8/'Income Statement'!C7</f>
        <v>26.087825363656652</v>
      </c>
      <c r="D26" s="26">
        <f>365*'Balance Sheet'!D8/'Income Statement'!D7</f>
        <v>28.100290906244702</v>
      </c>
      <c r="E26" s="26">
        <f>365*'Balance Sheet'!E8/'Income Statement'!E7</f>
        <v>31.185571624023424</v>
      </c>
      <c r="F26" s="26">
        <f>365*'Balance Sheet'!F8/'Income Statement'!F7</f>
        <v>30.697254187682169</v>
      </c>
    </row>
    <row r="27" spans="1:6" ht="15" customHeight="1" x14ac:dyDescent="0.2">
      <c r="A27" s="4"/>
      <c r="B27" s="4"/>
      <c r="C27" s="4"/>
      <c r="D27" s="4"/>
      <c r="E27" s="4"/>
      <c r="F27" s="4"/>
    </row>
    <row r="28" spans="1:6" ht="15.75" customHeight="1" x14ac:dyDescent="0.2">
      <c r="A28" s="41" t="s">
        <v>128</v>
      </c>
      <c r="B28" s="39"/>
      <c r="C28" s="39"/>
      <c r="D28" s="39"/>
      <c r="E28" s="39"/>
      <c r="F28" s="40"/>
    </row>
    <row r="29" spans="1:6" ht="15" customHeight="1" x14ac:dyDescent="0.2">
      <c r="A29" s="6" t="s">
        <v>129</v>
      </c>
      <c r="B29" s="25">
        <f>'Income Statement'!B35/'Income Statement'!B38</f>
        <v>5.6139934776163649</v>
      </c>
      <c r="C29" s="25">
        <f>'Income Statement'!C35/'Income Statement'!C38</f>
        <v>6.1339663093415009</v>
      </c>
      <c r="D29" s="25">
        <f>'Income Statement'!D35/'Income Statement'!D38</f>
        <v>6.1825828484695169</v>
      </c>
      <c r="E29" s="25">
        <f>'Income Statement'!E35/'Income Statement'!E38</f>
        <v>6.1652196790318339</v>
      </c>
      <c r="F29" s="25">
        <f>'Income Statement'!F35/'Income Statement'!F38</f>
        <v>7.4973226238286479</v>
      </c>
    </row>
    <row r="30" spans="1:6" ht="15" customHeight="1" x14ac:dyDescent="0.2">
      <c r="A30" s="8" t="s">
        <v>130</v>
      </c>
      <c r="B30" s="26">
        <f>'Balance Sheet'!B42/'Income Statement'!B38</f>
        <v>3.7408834865105249</v>
      </c>
      <c r="C30" s="26">
        <f>'Balance Sheet'!C42/'Income Statement'!C38</f>
        <v>3.1039509954058193</v>
      </c>
      <c r="D30" s="26">
        <f>'Balance Sheet'!D42/'Income Statement'!D38</f>
        <v>3.9303060966354666</v>
      </c>
      <c r="E30" s="26">
        <f>'Balance Sheet'!E42/'Income Statement'!E38</f>
        <v>3.7457248092607207</v>
      </c>
      <c r="F30" s="26">
        <f>'Balance Sheet'!F42/'Income Statement'!F38</f>
        <v>4.4522757697456496</v>
      </c>
    </row>
    <row r="31" spans="1:6" ht="15" customHeight="1" x14ac:dyDescent="0.2">
      <c r="A31" s="6" t="s">
        <v>131</v>
      </c>
      <c r="B31" s="25">
        <f>'Cash Flow Statement'!B48/'Income Statement'!B38</f>
        <v>5.511592054550845</v>
      </c>
      <c r="C31" s="25">
        <f>'Cash Flow Statement'!C48/'Income Statement'!C38</f>
        <v>6.826523736600306</v>
      </c>
      <c r="D31" s="25">
        <f>'Cash Flow Statement'!D48/'Income Statement'!D38</f>
        <v>6.2980015178345559</v>
      </c>
      <c r="E31" s="25">
        <f>'Cash Flow Statement'!E48/'Income Statement'!E38</f>
        <v>7.1564719810576163</v>
      </c>
      <c r="F31" s="25">
        <f>'Cash Flow Statement'!F48/'Income Statement'!F38</f>
        <v>9.0530120481927714</v>
      </c>
    </row>
    <row r="32" spans="1:6" ht="15" customHeight="1" x14ac:dyDescent="0.2">
      <c r="A32" s="8" t="s">
        <v>132</v>
      </c>
      <c r="B32" s="20">
        <v>0.85</v>
      </c>
      <c r="C32" s="20">
        <v>0.91</v>
      </c>
      <c r="D32" s="20">
        <v>0.95</v>
      </c>
      <c r="E32" s="20">
        <v>0.99</v>
      </c>
      <c r="F32" s="20">
        <v>1.04</v>
      </c>
    </row>
    <row r="33" spans="1:6" ht="15" customHeight="1" x14ac:dyDescent="0.2">
      <c r="A33" s="4"/>
      <c r="B33" s="4"/>
      <c r="C33" s="4"/>
      <c r="D33" s="4"/>
      <c r="E33" s="4"/>
      <c r="F33" s="4"/>
    </row>
    <row r="34" spans="1:6" ht="15.75" customHeight="1" x14ac:dyDescent="0.2">
      <c r="A34" s="41" t="s">
        <v>133</v>
      </c>
      <c r="B34" s="39"/>
      <c r="C34" s="39"/>
      <c r="D34" s="39"/>
      <c r="E34" s="39"/>
      <c r="F34" s="40"/>
    </row>
    <row r="35" spans="1:6" ht="15" customHeight="1" x14ac:dyDescent="0.2">
      <c r="A35" s="6" t="s">
        <v>134</v>
      </c>
      <c r="B35" s="18">
        <v>0.33260000000000001</v>
      </c>
      <c r="C35" s="24">
        <f>'Income Statement'!C7/'Income Statement'!B7-1</f>
        <v>7.7937876041846099E-2</v>
      </c>
      <c r="D35" s="24">
        <f>'Income Statement'!D7/'Income Statement'!C7-1</f>
        <v>-2.800460530319937E-2</v>
      </c>
      <c r="E35" s="24">
        <f>'Income Statement'!E7/'Income Statement'!D7-1</f>
        <v>2.021994077514111E-2</v>
      </c>
      <c r="F35" s="24">
        <f>'Income Statement'!F7/'Income Statement'!E7-1</f>
        <v>6.425511782832749E-2</v>
      </c>
    </row>
    <row r="36" spans="1:6" ht="15" customHeight="1" x14ac:dyDescent="0.2">
      <c r="A36" s="10" t="s">
        <v>135</v>
      </c>
      <c r="B36" s="11">
        <v>123141</v>
      </c>
      <c r="C36" s="11">
        <v>130541</v>
      </c>
      <c r="D36" s="11">
        <v>125820</v>
      </c>
      <c r="E36" s="11">
        <v>134663</v>
      </c>
      <c r="F36" s="11">
        <v>138123</v>
      </c>
    </row>
    <row r="37" spans="1:6" ht="15" customHeight="1" x14ac:dyDescent="0.2">
      <c r="A37" s="10" t="s">
        <v>136</v>
      </c>
      <c r="B37" s="11">
        <f>'Income Statement'!B22</f>
        <v>108949</v>
      </c>
      <c r="C37" s="11">
        <f>'Income Statement'!C22</f>
        <v>119437</v>
      </c>
      <c r="D37" s="11">
        <f>'Income Statement'!D22</f>
        <v>114301</v>
      </c>
      <c r="E37" s="11">
        <f>'Income Statement'!E22</f>
        <v>123218</v>
      </c>
      <c r="F37" s="11">
        <f>'Income Statement'!F22</f>
        <v>126623</v>
      </c>
    </row>
    <row r="38" spans="1:6" ht="15" customHeight="1" x14ac:dyDescent="0.2">
      <c r="A38" s="8" t="s">
        <v>137</v>
      </c>
      <c r="B38" s="19">
        <v>0.13300000000000001</v>
      </c>
      <c r="C38" s="19">
        <v>0.16159999999999999</v>
      </c>
      <c r="D38" s="19">
        <v>0.1462</v>
      </c>
      <c r="E38" s="19">
        <v>0.23899999999999999</v>
      </c>
      <c r="F38" s="19">
        <v>0.1154</v>
      </c>
    </row>
    <row r="39" spans="1:6" ht="15" customHeight="1" x14ac:dyDescent="0.2">
      <c r="A39" s="6" t="s">
        <v>138</v>
      </c>
      <c r="B39" s="27">
        <f>-'Cash Flow Statement'!B24</f>
        <v>11085</v>
      </c>
      <c r="C39" s="27">
        <f>-'Cash Flow Statement'!C24</f>
        <v>10708</v>
      </c>
      <c r="D39" s="27">
        <f>-'Cash Flow Statement'!D24</f>
        <v>10959</v>
      </c>
      <c r="E39" s="27">
        <f>-'Cash Flow Statement'!E24</f>
        <v>9447</v>
      </c>
      <c r="F39" s="27">
        <f>-'Cash Flow Statement'!F24</f>
        <v>10000</v>
      </c>
    </row>
    <row r="40" spans="1:6" ht="15" customHeight="1" x14ac:dyDescent="0.2">
      <c r="A40" s="8" t="s">
        <v>74</v>
      </c>
      <c r="B40" s="28">
        <f>'Cash Flow Statement'!B7</f>
        <v>11284</v>
      </c>
      <c r="C40" s="28">
        <f>'Cash Flow Statement'!C7</f>
        <v>11104</v>
      </c>
      <c r="D40" s="28">
        <f>'Cash Flow Statement'!D7</f>
        <v>11519</v>
      </c>
      <c r="E40" s="28">
        <f>'Cash Flow Statement'!E7</f>
        <v>11445</v>
      </c>
      <c r="F40" s="28">
        <f>'Cash Flow Statement'!F7</f>
        <v>11500</v>
      </c>
    </row>
    <row r="41" spans="1:6" ht="15" customHeight="1" x14ac:dyDescent="0.2">
      <c r="A41" s="6" t="s">
        <v>139</v>
      </c>
      <c r="B41" s="17">
        <v>847</v>
      </c>
      <c r="C41" s="17">
        <v>-632</v>
      </c>
      <c r="D41" s="7">
        <v>2242</v>
      </c>
      <c r="E41" s="7">
        <v>-3261</v>
      </c>
      <c r="F41" s="7">
        <v>8742</v>
      </c>
    </row>
    <row r="42" spans="1:6" ht="15" customHeight="1" x14ac:dyDescent="0.2">
      <c r="A42" s="10" t="s">
        <v>140</v>
      </c>
      <c r="B42" s="11">
        <f>'Cash Flow Statement'!B48</f>
        <v>92953</v>
      </c>
      <c r="C42" s="11">
        <f>'Cash Flow Statement'!C48</f>
        <v>111443</v>
      </c>
      <c r="D42" s="11">
        <f>'Cash Flow Statement'!D48</f>
        <v>99584</v>
      </c>
      <c r="E42" s="11">
        <f>'Cash Flow Statement'!E48</f>
        <v>108807</v>
      </c>
      <c r="F42" s="11">
        <f>'Cash Flow Statement'!F48</f>
        <v>135252</v>
      </c>
    </row>
  </sheetData>
  <mergeCells count="7">
    <mergeCell ref="A34:F34"/>
    <mergeCell ref="A28:F28"/>
    <mergeCell ref="A1:F1"/>
    <mergeCell ref="A22:F22"/>
    <mergeCell ref="A17:F17"/>
    <mergeCell ref="A12:F12"/>
    <mergeCell ref="A4:F4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1D1D1F"/>
  </sheetPr>
  <dimension ref="A1:H99"/>
  <sheetViews>
    <sheetView showGridLines="0" zoomScale="112" zoomScaleNormal="112" workbookViewId="0">
      <selection activeCell="B88" sqref="B88"/>
    </sheetView>
  </sheetViews>
  <sheetFormatPr baseColWidth="10" defaultColWidth="10.6640625" defaultRowHeight="15" x14ac:dyDescent="0.2"/>
  <cols>
    <col min="1" max="1" width="46" customWidth="1"/>
    <col min="2" max="2" width="21.83203125" customWidth="1"/>
    <col min="3" max="3" width="24.6640625" customWidth="1"/>
    <col min="4" max="4" width="20" customWidth="1"/>
    <col min="5" max="5" width="19.5" customWidth="1"/>
    <col min="6" max="6" width="18" customWidth="1"/>
    <col min="7" max="7" width="17.6640625" customWidth="1"/>
    <col min="8" max="8" width="18.1640625" customWidth="1"/>
  </cols>
  <sheetData>
    <row r="1" spans="1:8" ht="24" customHeight="1" x14ac:dyDescent="0.2">
      <c r="A1" s="38" t="s">
        <v>141</v>
      </c>
      <c r="B1" s="39"/>
      <c r="C1" s="39"/>
      <c r="D1" s="39"/>
      <c r="E1" s="39"/>
      <c r="F1" s="39"/>
      <c r="G1" s="39"/>
      <c r="H1" s="40"/>
    </row>
    <row r="2" spans="1:8" ht="15" customHeight="1" x14ac:dyDescent="0.2">
      <c r="A2" s="29" t="s">
        <v>142</v>
      </c>
      <c r="B2" s="29"/>
      <c r="C2" s="29"/>
      <c r="D2" s="29"/>
      <c r="E2" s="29"/>
      <c r="F2" s="29"/>
      <c r="G2" s="29"/>
      <c r="H2" s="29"/>
    </row>
    <row r="3" spans="1:8" ht="15" customHeight="1" x14ac:dyDescent="0.2">
      <c r="A3" s="5" t="s">
        <v>143</v>
      </c>
      <c r="B3" s="5"/>
      <c r="C3" s="5"/>
      <c r="D3" s="5"/>
      <c r="E3" s="5"/>
      <c r="F3" s="5"/>
      <c r="G3" s="5"/>
      <c r="H3" s="5"/>
    </row>
    <row r="4" spans="1:8" ht="15" customHeight="1" x14ac:dyDescent="0.2">
      <c r="A4" s="5" t="s">
        <v>144</v>
      </c>
      <c r="B4" s="5"/>
      <c r="C4" s="5"/>
      <c r="D4" s="5"/>
      <c r="E4" s="5"/>
      <c r="F4" s="5"/>
      <c r="G4" s="5"/>
      <c r="H4" s="5"/>
    </row>
    <row r="5" spans="1:8" ht="15" customHeight="1" x14ac:dyDescent="0.2">
      <c r="A5" s="12" t="s">
        <v>145</v>
      </c>
      <c r="B5" s="13"/>
      <c r="C5" s="13"/>
      <c r="D5" s="13"/>
      <c r="E5" s="13"/>
      <c r="F5" s="13"/>
      <c r="G5" s="13"/>
      <c r="H5" s="13"/>
    </row>
    <row r="6" spans="1:8" ht="15" customHeight="1" x14ac:dyDescent="0.2">
      <c r="A6" s="4"/>
      <c r="B6" s="4"/>
      <c r="C6" s="4"/>
      <c r="D6" s="4"/>
      <c r="E6" s="4"/>
      <c r="F6" s="4"/>
      <c r="G6" s="4"/>
      <c r="H6" s="4"/>
    </row>
    <row r="7" spans="1:8" ht="15.75" customHeight="1" x14ac:dyDescent="0.2">
      <c r="A7" s="41" t="s">
        <v>146</v>
      </c>
      <c r="B7" s="39"/>
      <c r="C7" s="39"/>
      <c r="D7" s="39"/>
      <c r="E7" s="39"/>
      <c r="F7" s="39"/>
      <c r="G7" s="39"/>
      <c r="H7" s="40"/>
    </row>
    <row r="8" spans="1:8" ht="18" customHeight="1" x14ac:dyDescent="0.2">
      <c r="A8" s="30"/>
      <c r="B8" s="31" t="s">
        <v>147</v>
      </c>
      <c r="C8" s="30" t="s">
        <v>148</v>
      </c>
      <c r="D8" s="30" t="s">
        <v>149</v>
      </c>
      <c r="E8" s="30" t="s">
        <v>150</v>
      </c>
      <c r="F8" s="30" t="s">
        <v>151</v>
      </c>
      <c r="G8" s="30" t="s">
        <v>152</v>
      </c>
      <c r="H8" s="30" t="s">
        <v>153</v>
      </c>
    </row>
    <row r="9" spans="1:8" ht="15" customHeight="1" x14ac:dyDescent="0.2">
      <c r="A9" s="6" t="s">
        <v>7</v>
      </c>
      <c r="B9" s="7">
        <v>391035</v>
      </c>
      <c r="C9" s="7">
        <v>416161</v>
      </c>
      <c r="D9" s="7">
        <v>446413</v>
      </c>
      <c r="E9" s="7">
        <v>476462</v>
      </c>
      <c r="F9" s="7">
        <v>505212</v>
      </c>
      <c r="G9" s="7">
        <v>530472</v>
      </c>
      <c r="H9" s="7">
        <v>553393</v>
      </c>
    </row>
    <row r="10" spans="1:8" ht="15" customHeight="1" x14ac:dyDescent="0.2">
      <c r="A10" s="8" t="s">
        <v>134</v>
      </c>
      <c r="B10" s="19">
        <v>2.0199999999999999E-2</v>
      </c>
      <c r="C10" s="19">
        <v>6.4299999999999996E-2</v>
      </c>
      <c r="D10" s="19">
        <v>7.2700000000000001E-2</v>
      </c>
      <c r="E10" s="19">
        <v>6.7299999999999999E-2</v>
      </c>
      <c r="F10" s="19">
        <v>6.0400000000000002E-2</v>
      </c>
      <c r="G10" s="19">
        <v>0.05</v>
      </c>
      <c r="H10" s="19">
        <v>4.3200000000000002E-2</v>
      </c>
    </row>
    <row r="11" spans="1:8" ht="15" customHeight="1" x14ac:dyDescent="0.2">
      <c r="A11" s="4"/>
      <c r="B11" s="4"/>
      <c r="C11" s="4"/>
      <c r="D11" s="4"/>
      <c r="E11" s="4"/>
      <c r="F11" s="4"/>
      <c r="G11" s="4"/>
      <c r="H11" s="4"/>
    </row>
    <row r="12" spans="1:8" ht="15.75" customHeight="1" x14ac:dyDescent="0.2">
      <c r="A12" s="41" t="s">
        <v>154</v>
      </c>
      <c r="B12" s="39"/>
      <c r="C12" s="39"/>
      <c r="D12" s="39"/>
      <c r="E12" s="39"/>
      <c r="F12" s="39"/>
      <c r="G12" s="39"/>
      <c r="H12" s="40"/>
    </row>
    <row r="13" spans="1:8" ht="15" customHeight="1" x14ac:dyDescent="0.2">
      <c r="A13" s="8"/>
      <c r="B13" s="8" t="s">
        <v>147</v>
      </c>
      <c r="C13" s="8" t="s">
        <v>148</v>
      </c>
      <c r="D13" s="8" t="s">
        <v>149</v>
      </c>
      <c r="E13" s="8" t="s">
        <v>150</v>
      </c>
      <c r="F13" s="8" t="s">
        <v>151</v>
      </c>
      <c r="G13" s="8" t="s">
        <v>152</v>
      </c>
      <c r="H13" s="8" t="s">
        <v>153</v>
      </c>
    </row>
    <row r="14" spans="1:8" ht="15" customHeight="1" x14ac:dyDescent="0.2">
      <c r="A14" s="8" t="s">
        <v>16</v>
      </c>
      <c r="B14" s="19">
        <v>0.46210000000000001</v>
      </c>
      <c r="C14" s="19">
        <v>0.44850000000000001</v>
      </c>
      <c r="D14" s="19">
        <v>0.45200000000000001</v>
      </c>
      <c r="E14" s="19">
        <v>0.45500000000000002</v>
      </c>
      <c r="F14" s="19">
        <v>0.45800000000000002</v>
      </c>
      <c r="G14" s="19">
        <v>0.46</v>
      </c>
      <c r="H14" s="19">
        <v>0.46100000000000002</v>
      </c>
    </row>
    <row r="15" spans="1:8" ht="15" customHeight="1" x14ac:dyDescent="0.2">
      <c r="A15" s="6" t="s">
        <v>22</v>
      </c>
      <c r="B15" s="18">
        <v>0.31509999999999999</v>
      </c>
      <c r="C15" s="18">
        <v>0.30430000000000001</v>
      </c>
      <c r="D15" s="18">
        <v>0.308</v>
      </c>
      <c r="E15" s="18">
        <v>0.311</v>
      </c>
      <c r="F15" s="18">
        <v>0.314</v>
      </c>
      <c r="G15" s="18">
        <v>0.316</v>
      </c>
      <c r="H15" s="18">
        <v>0.3175</v>
      </c>
    </row>
    <row r="16" spans="1:8" ht="15" customHeight="1" x14ac:dyDescent="0.2">
      <c r="A16" s="4"/>
      <c r="B16" s="4"/>
      <c r="C16" s="4"/>
      <c r="D16" s="4"/>
      <c r="E16" s="4"/>
      <c r="F16" s="4"/>
      <c r="G16" s="4"/>
      <c r="H16" s="4"/>
    </row>
    <row r="17" spans="1:8" ht="15.75" customHeight="1" x14ac:dyDescent="0.2">
      <c r="A17" s="43" t="s">
        <v>155</v>
      </c>
      <c r="B17" s="44"/>
      <c r="C17" s="44"/>
      <c r="D17" s="44"/>
      <c r="E17" s="44"/>
      <c r="F17" s="44"/>
      <c r="G17" s="44"/>
      <c r="H17" s="45"/>
    </row>
    <row r="18" spans="1:8" ht="15" customHeight="1" x14ac:dyDescent="0.2">
      <c r="A18" s="8"/>
      <c r="B18" s="8" t="s">
        <v>147</v>
      </c>
      <c r="C18" s="8" t="s">
        <v>148</v>
      </c>
      <c r="D18" s="8" t="s">
        <v>149</v>
      </c>
      <c r="E18" s="8" t="s">
        <v>150</v>
      </c>
      <c r="F18" s="8" t="s">
        <v>151</v>
      </c>
      <c r="G18" s="8" t="s">
        <v>152</v>
      </c>
      <c r="H18" s="8" t="s">
        <v>153</v>
      </c>
    </row>
    <row r="19" spans="1:8" ht="15" customHeight="1" x14ac:dyDescent="0.2">
      <c r="A19" s="8" t="s">
        <v>7</v>
      </c>
      <c r="B19" s="21">
        <f>B9</f>
        <v>391035</v>
      </c>
      <c r="C19" s="21">
        <f>C9</f>
        <v>416161</v>
      </c>
      <c r="D19" s="21">
        <f>D9</f>
        <v>446413</v>
      </c>
      <c r="E19" s="21">
        <f>E9</f>
        <v>476462</v>
      </c>
      <c r="F19" s="21">
        <f>F9</f>
        <v>505212</v>
      </c>
      <c r="G19" s="9">
        <v>530472</v>
      </c>
      <c r="H19" s="9">
        <v>553393</v>
      </c>
    </row>
    <row r="20" spans="1:8" ht="15" customHeight="1" x14ac:dyDescent="0.2">
      <c r="A20" s="10" t="s">
        <v>136</v>
      </c>
      <c r="B20" s="11">
        <f>B19*B15</f>
        <v>123215.12849999999</v>
      </c>
      <c r="C20" s="11">
        <f>C19*C15</f>
        <v>126637.7923</v>
      </c>
      <c r="D20" s="11">
        <f>D19*D15</f>
        <v>137495.204</v>
      </c>
      <c r="E20" s="11">
        <f>E19*E15</f>
        <v>148179.682</v>
      </c>
      <c r="F20" s="11">
        <f>F19*F15</f>
        <v>158636.568</v>
      </c>
      <c r="G20" s="11">
        <v>167629</v>
      </c>
      <c r="H20" s="11">
        <v>175702</v>
      </c>
    </row>
    <row r="21" spans="1:8" ht="15" customHeight="1" x14ac:dyDescent="0.2">
      <c r="A21" s="4"/>
      <c r="B21" s="4"/>
      <c r="C21" s="4"/>
      <c r="D21" s="4"/>
      <c r="E21" s="4"/>
      <c r="F21" s="4"/>
      <c r="G21" s="4"/>
      <c r="H21" s="4"/>
    </row>
    <row r="22" spans="1:8" ht="15.75" customHeight="1" x14ac:dyDescent="0.2">
      <c r="A22" s="41" t="s">
        <v>156</v>
      </c>
      <c r="B22" s="39"/>
      <c r="C22" s="39"/>
      <c r="D22" s="39"/>
      <c r="E22" s="39"/>
      <c r="F22" s="39"/>
      <c r="G22" s="39"/>
      <c r="H22" s="40"/>
    </row>
    <row r="23" spans="1:8" ht="15" customHeight="1" x14ac:dyDescent="0.2">
      <c r="A23" s="8"/>
      <c r="B23" s="8" t="s">
        <v>147</v>
      </c>
      <c r="C23" s="8" t="s">
        <v>148</v>
      </c>
      <c r="D23" s="8" t="s">
        <v>149</v>
      </c>
      <c r="E23" s="8" t="s">
        <v>150</v>
      </c>
      <c r="F23" s="8" t="s">
        <v>151</v>
      </c>
      <c r="G23" s="8" t="s">
        <v>152</v>
      </c>
      <c r="H23" s="8" t="s">
        <v>153</v>
      </c>
    </row>
    <row r="24" spans="1:8" ht="15" customHeight="1" x14ac:dyDescent="0.2">
      <c r="A24" s="8" t="s">
        <v>137</v>
      </c>
      <c r="B24" s="19">
        <v>0.23899999999999999</v>
      </c>
      <c r="C24" s="19">
        <v>0.15</v>
      </c>
      <c r="D24" s="19">
        <v>0.15</v>
      </c>
      <c r="E24" s="19">
        <v>0.155</v>
      </c>
      <c r="F24" s="19">
        <v>0.155</v>
      </c>
      <c r="G24" s="19">
        <v>0.16</v>
      </c>
      <c r="H24" s="19">
        <v>0.16</v>
      </c>
    </row>
    <row r="25" spans="1:8" ht="15" customHeight="1" x14ac:dyDescent="0.2">
      <c r="A25" s="10" t="s">
        <v>157</v>
      </c>
      <c r="B25" s="11">
        <v>29441</v>
      </c>
      <c r="C25" s="11">
        <f>C20*C24</f>
        <v>18995.668845</v>
      </c>
      <c r="D25" s="11">
        <f>D20*D24</f>
        <v>20624.280599999998</v>
      </c>
      <c r="E25" s="11">
        <f>E20*E24</f>
        <v>22967.850709999999</v>
      </c>
      <c r="F25" s="11">
        <f>F20*F24</f>
        <v>24588.66804</v>
      </c>
      <c r="G25" s="11">
        <v>26821</v>
      </c>
      <c r="H25" s="11">
        <v>28112</v>
      </c>
    </row>
    <row r="26" spans="1:8" ht="15" customHeight="1" x14ac:dyDescent="0.2">
      <c r="A26" s="10" t="s">
        <v>158</v>
      </c>
      <c r="B26" s="11">
        <f>B20-B25</f>
        <v>93774.128499999992</v>
      </c>
      <c r="C26" s="11">
        <f>C20-C25</f>
        <v>107642.12345499999</v>
      </c>
      <c r="D26" s="11">
        <f>D20-D25</f>
        <v>116870.9234</v>
      </c>
      <c r="E26" s="11">
        <f>E20-E25</f>
        <v>125211.83129</v>
      </c>
      <c r="F26" s="11">
        <f>F20-F25</f>
        <v>134047.89996000001</v>
      </c>
      <c r="G26" s="11">
        <v>140808</v>
      </c>
      <c r="H26" s="11">
        <v>147590</v>
      </c>
    </row>
    <row r="27" spans="1:8" ht="15" customHeight="1" x14ac:dyDescent="0.2">
      <c r="A27" s="4"/>
      <c r="B27" s="4"/>
      <c r="C27" s="4"/>
      <c r="D27" s="4"/>
      <c r="E27" s="4"/>
      <c r="F27" s="4"/>
      <c r="G27" s="4"/>
      <c r="H27" s="4"/>
    </row>
    <row r="28" spans="1:8" ht="15.75" customHeight="1" x14ac:dyDescent="0.2">
      <c r="A28" s="41" t="s">
        <v>159</v>
      </c>
      <c r="B28" s="39"/>
      <c r="C28" s="39"/>
      <c r="D28" s="39"/>
      <c r="E28" s="39"/>
      <c r="F28" s="39"/>
      <c r="G28" s="39"/>
      <c r="H28" s="40"/>
    </row>
    <row r="29" spans="1:8" ht="15" customHeight="1" x14ac:dyDescent="0.2">
      <c r="A29" s="8"/>
      <c r="B29" s="8" t="s">
        <v>147</v>
      </c>
      <c r="C29" s="8" t="s">
        <v>148</v>
      </c>
      <c r="D29" s="8" t="s">
        <v>149</v>
      </c>
      <c r="E29" s="8" t="s">
        <v>150</v>
      </c>
      <c r="F29" s="8" t="s">
        <v>151</v>
      </c>
      <c r="G29" s="8" t="s">
        <v>152</v>
      </c>
      <c r="H29" s="8" t="s">
        <v>153</v>
      </c>
    </row>
    <row r="30" spans="1:8" ht="15" customHeight="1" x14ac:dyDescent="0.2">
      <c r="A30" s="8" t="s">
        <v>74</v>
      </c>
      <c r="B30" s="9">
        <v>11445</v>
      </c>
      <c r="C30" s="9">
        <v>11500</v>
      </c>
      <c r="D30" s="9">
        <v>11660</v>
      </c>
      <c r="E30" s="9">
        <v>11912</v>
      </c>
      <c r="F30" s="9">
        <v>12630</v>
      </c>
      <c r="G30" s="9">
        <v>13261</v>
      </c>
      <c r="H30" s="9">
        <v>13835</v>
      </c>
    </row>
    <row r="31" spans="1:8" ht="15" customHeight="1" x14ac:dyDescent="0.2">
      <c r="A31" s="4"/>
      <c r="B31" s="4"/>
      <c r="C31" s="4"/>
      <c r="D31" s="4"/>
      <c r="E31" s="4"/>
      <c r="F31" s="4"/>
      <c r="G31" s="4"/>
      <c r="H31" s="4"/>
    </row>
    <row r="32" spans="1:8" ht="15.75" customHeight="1" x14ac:dyDescent="0.2">
      <c r="A32" s="41" t="s">
        <v>160</v>
      </c>
      <c r="B32" s="39"/>
      <c r="C32" s="39"/>
      <c r="D32" s="39"/>
      <c r="E32" s="39"/>
      <c r="F32" s="39"/>
      <c r="G32" s="39"/>
      <c r="H32" s="40"/>
    </row>
    <row r="33" spans="1:8" ht="15" customHeight="1" x14ac:dyDescent="0.2">
      <c r="A33" s="8"/>
      <c r="B33" s="8" t="s">
        <v>147</v>
      </c>
      <c r="C33" s="8" t="s">
        <v>148</v>
      </c>
      <c r="D33" s="8" t="s">
        <v>149</v>
      </c>
      <c r="E33" s="8" t="s">
        <v>150</v>
      </c>
      <c r="F33" s="8" t="s">
        <v>151</v>
      </c>
      <c r="G33" s="8" t="s">
        <v>152</v>
      </c>
      <c r="H33" s="8" t="s">
        <v>153</v>
      </c>
    </row>
    <row r="34" spans="1:8" ht="15" customHeight="1" x14ac:dyDescent="0.2">
      <c r="A34" s="8" t="s">
        <v>161</v>
      </c>
      <c r="B34" s="9">
        <v>9447</v>
      </c>
      <c r="C34" s="9">
        <v>10000</v>
      </c>
      <c r="D34" s="9">
        <v>11160</v>
      </c>
      <c r="E34" s="9">
        <v>11912</v>
      </c>
      <c r="F34" s="9">
        <v>12630</v>
      </c>
      <c r="G34" s="9">
        <v>13262</v>
      </c>
      <c r="H34" s="9">
        <v>13835</v>
      </c>
    </row>
    <row r="35" spans="1:8" ht="15" customHeight="1" x14ac:dyDescent="0.2">
      <c r="A35" s="6" t="s">
        <v>139</v>
      </c>
      <c r="B35" s="7">
        <v>-3261</v>
      </c>
      <c r="C35" s="7">
        <v>8742</v>
      </c>
      <c r="D35" s="7">
        <v>1500</v>
      </c>
      <c r="E35" s="7">
        <v>1200</v>
      </c>
      <c r="F35" s="7">
        <v>1150</v>
      </c>
      <c r="G35" s="7">
        <v>1000</v>
      </c>
      <c r="H35" s="17">
        <v>900</v>
      </c>
    </row>
    <row r="36" spans="1:8" ht="15" customHeight="1" x14ac:dyDescent="0.2">
      <c r="A36" s="4"/>
      <c r="B36" s="4"/>
      <c r="C36" s="4"/>
      <c r="D36" s="4"/>
      <c r="E36" s="4"/>
      <c r="F36" s="4"/>
      <c r="G36" s="4"/>
      <c r="H36" s="4"/>
    </row>
    <row r="37" spans="1:8" ht="15.75" customHeight="1" x14ac:dyDescent="0.2">
      <c r="A37" s="43" t="s">
        <v>162</v>
      </c>
      <c r="B37" s="44"/>
      <c r="C37" s="44"/>
      <c r="D37" s="44"/>
      <c r="E37" s="44"/>
      <c r="F37" s="44"/>
      <c r="G37" s="44"/>
      <c r="H37" s="45"/>
    </row>
    <row r="38" spans="1:8" ht="15" customHeight="1" x14ac:dyDescent="0.2">
      <c r="A38" s="8"/>
      <c r="B38" s="8" t="s">
        <v>147</v>
      </c>
      <c r="C38" s="8" t="s">
        <v>148</v>
      </c>
      <c r="D38" s="8" t="s">
        <v>149</v>
      </c>
      <c r="E38" s="8" t="s">
        <v>150</v>
      </c>
      <c r="F38" s="8" t="s">
        <v>151</v>
      </c>
      <c r="G38" s="8" t="s">
        <v>152</v>
      </c>
      <c r="H38" s="8" t="s">
        <v>153</v>
      </c>
    </row>
    <row r="39" spans="1:8" ht="15" customHeight="1" x14ac:dyDescent="0.2">
      <c r="A39" s="8" t="s">
        <v>163</v>
      </c>
      <c r="B39" s="21">
        <f>B26</f>
        <v>93774.128499999992</v>
      </c>
      <c r="C39" s="21">
        <f>C26</f>
        <v>107642.12345499999</v>
      </c>
      <c r="D39" s="21">
        <f>D26</f>
        <v>116870.9234</v>
      </c>
      <c r="E39" s="21">
        <f>E26</f>
        <v>125211.83129</v>
      </c>
      <c r="F39" s="21">
        <f>F26</f>
        <v>134047.89996000001</v>
      </c>
      <c r="G39" s="9">
        <v>140808</v>
      </c>
      <c r="H39" s="9">
        <v>147590</v>
      </c>
    </row>
    <row r="40" spans="1:8" ht="15" customHeight="1" x14ac:dyDescent="0.2">
      <c r="A40" s="6" t="s">
        <v>164</v>
      </c>
      <c r="B40" s="22">
        <f>B30</f>
        <v>11445</v>
      </c>
      <c r="C40" s="22">
        <f>C30</f>
        <v>11500</v>
      </c>
      <c r="D40" s="22">
        <f>D30</f>
        <v>11660</v>
      </c>
      <c r="E40" s="22">
        <f>E30</f>
        <v>11912</v>
      </c>
      <c r="F40" s="22">
        <f>F30</f>
        <v>12630</v>
      </c>
      <c r="G40" s="7">
        <v>13261</v>
      </c>
      <c r="H40" s="7">
        <v>13835</v>
      </c>
    </row>
    <row r="41" spans="1:8" ht="15" customHeight="1" x14ac:dyDescent="0.2">
      <c r="A41" s="8" t="s">
        <v>165</v>
      </c>
      <c r="B41" s="21">
        <f t="shared" ref="B41:F42" si="0">-B34</f>
        <v>-9447</v>
      </c>
      <c r="C41" s="21">
        <f t="shared" si="0"/>
        <v>-10000</v>
      </c>
      <c r="D41" s="21">
        <f t="shared" si="0"/>
        <v>-11160</v>
      </c>
      <c r="E41" s="21">
        <f t="shared" si="0"/>
        <v>-11912</v>
      </c>
      <c r="F41" s="21">
        <f t="shared" si="0"/>
        <v>-12630</v>
      </c>
      <c r="G41" s="9">
        <v>-13262</v>
      </c>
      <c r="H41" s="9">
        <v>-13835</v>
      </c>
    </row>
    <row r="42" spans="1:8" ht="15" customHeight="1" x14ac:dyDescent="0.2">
      <c r="A42" s="6" t="s">
        <v>166</v>
      </c>
      <c r="B42" s="22">
        <f t="shared" si="0"/>
        <v>3261</v>
      </c>
      <c r="C42" s="22">
        <f t="shared" si="0"/>
        <v>-8742</v>
      </c>
      <c r="D42" s="22">
        <f t="shared" si="0"/>
        <v>-1500</v>
      </c>
      <c r="E42" s="22">
        <f t="shared" si="0"/>
        <v>-1200</v>
      </c>
      <c r="F42" s="22">
        <f t="shared" si="0"/>
        <v>-1150</v>
      </c>
      <c r="G42" s="7">
        <v>-1000</v>
      </c>
      <c r="H42" s="17">
        <v>-900</v>
      </c>
    </row>
    <row r="43" spans="1:8" ht="15" customHeight="1" x14ac:dyDescent="0.2">
      <c r="A43" s="10" t="s">
        <v>140</v>
      </c>
      <c r="B43" s="11">
        <f>B39+B40+B41+B42</f>
        <v>99033.128499999992</v>
      </c>
      <c r="C43" s="11">
        <f>C39+C40+C41+C42</f>
        <v>100400.12345499999</v>
      </c>
      <c r="D43" s="11">
        <f>D39+D40+D41+D42</f>
        <v>115870.9234</v>
      </c>
      <c r="E43" s="11">
        <f>E39+E40+E41+E42</f>
        <v>124011.83129</v>
      </c>
      <c r="F43" s="11">
        <f>F39+F40+F41+F42</f>
        <v>132897.89996000001</v>
      </c>
      <c r="G43" s="11">
        <v>139807</v>
      </c>
      <c r="H43" s="11">
        <v>146690</v>
      </c>
    </row>
    <row r="44" spans="1:8" ht="15" customHeight="1" x14ac:dyDescent="0.2">
      <c r="A44" s="4"/>
      <c r="B44" s="4"/>
      <c r="C44" s="4"/>
      <c r="D44" s="4"/>
      <c r="E44" s="4"/>
      <c r="F44" s="4"/>
      <c r="G44" s="4"/>
      <c r="H44" s="4"/>
    </row>
    <row r="45" spans="1:8" ht="15.75" customHeight="1" x14ac:dyDescent="0.2">
      <c r="A45" s="41" t="s">
        <v>167</v>
      </c>
      <c r="B45" s="39"/>
      <c r="C45" s="39"/>
      <c r="D45" s="39"/>
      <c r="E45" s="39"/>
      <c r="F45" s="39"/>
      <c r="G45" s="39"/>
      <c r="H45" s="40"/>
    </row>
    <row r="46" spans="1:8" ht="15" customHeight="1" x14ac:dyDescent="0.2">
      <c r="A46" s="6" t="s">
        <v>168</v>
      </c>
      <c r="B46" s="18">
        <v>4.4999999999999998E-2</v>
      </c>
      <c r="C46" s="6" t="s">
        <v>169</v>
      </c>
      <c r="D46" s="4"/>
      <c r="E46" s="4"/>
      <c r="F46" s="4"/>
      <c r="G46" s="4"/>
      <c r="H46" s="4"/>
    </row>
    <row r="47" spans="1:8" ht="15" customHeight="1" x14ac:dyDescent="0.2">
      <c r="A47" s="8" t="s">
        <v>170</v>
      </c>
      <c r="B47" s="19">
        <v>7.0000000000000007E-2</v>
      </c>
      <c r="C47" s="8" t="s">
        <v>171</v>
      </c>
      <c r="D47" s="8"/>
      <c r="E47" s="8"/>
      <c r="F47" s="8"/>
      <c r="G47" s="8"/>
      <c r="H47" s="8"/>
    </row>
    <row r="48" spans="1:8" ht="15" customHeight="1" x14ac:dyDescent="0.2">
      <c r="A48" s="6" t="s">
        <v>172</v>
      </c>
      <c r="B48" s="17">
        <v>1.25</v>
      </c>
      <c r="C48" s="6" t="s">
        <v>173</v>
      </c>
      <c r="D48" s="4"/>
      <c r="E48" s="4"/>
      <c r="F48" s="4"/>
      <c r="G48" s="4"/>
      <c r="H48" s="4"/>
    </row>
    <row r="49" spans="1:8" ht="15" customHeight="1" x14ac:dyDescent="0.2">
      <c r="A49" s="8" t="s">
        <v>174</v>
      </c>
      <c r="B49" s="15">
        <f>B46+B48*B47</f>
        <v>0.13250000000000001</v>
      </c>
      <c r="C49" s="15">
        <f>4.5% + (1.25 * 7%)</f>
        <v>0.13250000000000001</v>
      </c>
      <c r="D49" s="8"/>
      <c r="E49" s="8"/>
      <c r="F49" s="8"/>
      <c r="G49" s="8"/>
      <c r="H49" s="8"/>
    </row>
    <row r="50" spans="1:8" ht="15" customHeight="1" x14ac:dyDescent="0.2">
      <c r="A50" s="4"/>
      <c r="B50" s="4"/>
      <c r="C50" s="4"/>
      <c r="D50" s="4"/>
      <c r="E50" s="4"/>
      <c r="F50" s="4"/>
      <c r="G50" s="4"/>
      <c r="H50" s="4"/>
    </row>
    <row r="51" spans="1:8" ht="15" customHeight="1" x14ac:dyDescent="0.2">
      <c r="A51" s="6" t="s">
        <v>175</v>
      </c>
      <c r="B51" s="7">
        <v>4360000</v>
      </c>
      <c r="C51" s="6" t="s">
        <v>176</v>
      </c>
      <c r="D51" s="4"/>
      <c r="E51" s="4"/>
      <c r="F51" s="4"/>
      <c r="G51" s="4"/>
      <c r="H51" s="4"/>
    </row>
    <row r="52" spans="1:8" ht="15" customHeight="1" x14ac:dyDescent="0.2">
      <c r="A52" s="8" t="s">
        <v>177</v>
      </c>
      <c r="B52" s="9">
        <v>91938</v>
      </c>
      <c r="C52" s="8" t="s">
        <v>178</v>
      </c>
      <c r="D52" s="8"/>
      <c r="E52" s="8"/>
      <c r="F52" s="8"/>
      <c r="G52" s="8"/>
      <c r="H52" s="8"/>
    </row>
    <row r="53" spans="1:8" ht="15" customHeight="1" x14ac:dyDescent="0.2">
      <c r="A53" s="6" t="s">
        <v>179</v>
      </c>
      <c r="B53" s="18">
        <v>0.03</v>
      </c>
      <c r="C53" s="6" t="s">
        <v>180</v>
      </c>
      <c r="D53" s="4"/>
      <c r="E53" s="4"/>
      <c r="F53" s="4"/>
      <c r="G53" s="4"/>
      <c r="H53" s="4"/>
    </row>
    <row r="54" spans="1:8" ht="15" customHeight="1" x14ac:dyDescent="0.2">
      <c r="A54" s="8" t="s">
        <v>181</v>
      </c>
      <c r="B54" s="19">
        <v>0.15</v>
      </c>
      <c r="C54" s="8" t="s">
        <v>182</v>
      </c>
      <c r="D54" s="8"/>
      <c r="E54" s="8"/>
      <c r="F54" s="8"/>
      <c r="G54" s="8"/>
      <c r="H54" s="8"/>
    </row>
    <row r="55" spans="1:8" ht="15" customHeight="1" x14ac:dyDescent="0.2">
      <c r="A55" s="6" t="s">
        <v>183</v>
      </c>
      <c r="B55" s="32">
        <f>B53*(1-B54)</f>
        <v>2.5499999999999998E-2</v>
      </c>
      <c r="C55" s="6">
        <f>3% * (1 - 15%)</f>
        <v>2.5499999999999998E-2</v>
      </c>
      <c r="D55" s="4"/>
      <c r="E55" s="4"/>
      <c r="F55" s="4"/>
      <c r="G55" s="4"/>
      <c r="H55" s="4"/>
    </row>
    <row r="56" spans="1:8" ht="15" customHeight="1" x14ac:dyDescent="0.2">
      <c r="A56" s="4"/>
      <c r="B56" s="4"/>
      <c r="C56" s="4"/>
      <c r="D56" s="4"/>
      <c r="E56" s="4"/>
      <c r="F56" s="4"/>
      <c r="G56" s="4"/>
      <c r="H56" s="4"/>
    </row>
    <row r="57" spans="1:8" ht="15" customHeight="1" x14ac:dyDescent="0.2">
      <c r="A57" s="10" t="s">
        <v>184</v>
      </c>
      <c r="B57" s="11">
        <v>3901938</v>
      </c>
      <c r="C57" s="10" t="s">
        <v>185</v>
      </c>
      <c r="D57" s="10"/>
      <c r="E57" s="10"/>
      <c r="F57" s="10"/>
      <c r="G57" s="10"/>
      <c r="H57" s="10"/>
    </row>
    <row r="58" spans="1:8" ht="15" customHeight="1" x14ac:dyDescent="0.2">
      <c r="A58" s="6" t="s">
        <v>186</v>
      </c>
      <c r="B58" s="18">
        <v>0.97640000000000005</v>
      </c>
      <c r="C58" s="6" t="s">
        <v>187</v>
      </c>
      <c r="D58" s="4"/>
      <c r="E58" s="4"/>
      <c r="F58" s="4"/>
      <c r="G58" s="4"/>
      <c r="H58" s="4"/>
    </row>
    <row r="59" spans="1:8" ht="15" customHeight="1" x14ac:dyDescent="0.2">
      <c r="A59" s="8" t="s">
        <v>188</v>
      </c>
      <c r="B59" s="15">
        <f>B52/B57</f>
        <v>2.3562137583939057E-2</v>
      </c>
      <c r="C59" s="8" t="s">
        <v>189</v>
      </c>
      <c r="D59" s="8"/>
      <c r="E59" s="8"/>
      <c r="F59" s="8"/>
      <c r="G59" s="8"/>
      <c r="H59" s="8"/>
    </row>
    <row r="60" spans="1:8" ht="15" customHeight="1" x14ac:dyDescent="0.2">
      <c r="A60" s="4"/>
      <c r="B60" s="4"/>
      <c r="C60" s="4"/>
      <c r="D60" s="4"/>
      <c r="E60" s="4"/>
      <c r="F60" s="4"/>
      <c r="G60" s="4"/>
      <c r="H60" s="4"/>
    </row>
    <row r="61" spans="1:8" ht="15" customHeight="1" x14ac:dyDescent="0.2">
      <c r="A61" s="6" t="s">
        <v>190</v>
      </c>
      <c r="B61" s="18">
        <v>0.12989999999999999</v>
      </c>
      <c r="C61" s="6">
        <f>(13.25% * 97.64%) + (2.55% * 2.36%)</f>
        <v>0.12997480000000003</v>
      </c>
      <c r="D61" s="4"/>
      <c r="E61" s="4"/>
      <c r="F61" s="4"/>
      <c r="G61" s="4"/>
      <c r="H61" s="4"/>
    </row>
    <row r="62" spans="1:8" ht="15" customHeight="1" x14ac:dyDescent="0.2">
      <c r="A62" s="4"/>
      <c r="B62" s="4"/>
      <c r="C62" s="4"/>
      <c r="D62" s="4"/>
      <c r="E62" s="4"/>
      <c r="F62" s="4"/>
      <c r="G62" s="4"/>
      <c r="H62" s="4"/>
    </row>
    <row r="63" spans="1:8" ht="15.75" customHeight="1" x14ac:dyDescent="0.2">
      <c r="A63" s="41" t="s">
        <v>191</v>
      </c>
      <c r="B63" s="39"/>
      <c r="C63" s="39"/>
      <c r="D63" s="39"/>
      <c r="E63" s="39"/>
      <c r="F63" s="39"/>
      <c r="G63" s="39"/>
      <c r="H63" s="40"/>
    </row>
    <row r="64" spans="1:8" ht="15" customHeight="1" x14ac:dyDescent="0.2">
      <c r="A64" s="6" t="s">
        <v>192</v>
      </c>
      <c r="B64" s="18">
        <v>0.03</v>
      </c>
      <c r="C64" s="6" t="s">
        <v>193</v>
      </c>
      <c r="D64" s="4"/>
      <c r="E64" s="4"/>
      <c r="F64" s="4"/>
      <c r="G64" s="4"/>
      <c r="H64" s="4"/>
    </row>
    <row r="65" spans="1:8" ht="15" customHeight="1" x14ac:dyDescent="0.2">
      <c r="A65" s="10" t="s">
        <v>194</v>
      </c>
      <c r="B65" s="11">
        <v>146690</v>
      </c>
      <c r="C65" s="10" t="s">
        <v>195</v>
      </c>
      <c r="D65" s="10"/>
      <c r="E65" s="10"/>
      <c r="F65" s="10"/>
      <c r="G65" s="10"/>
      <c r="H65" s="10"/>
    </row>
    <row r="66" spans="1:8" ht="15" customHeight="1" x14ac:dyDescent="0.2">
      <c r="A66" s="10" t="s">
        <v>196</v>
      </c>
      <c r="B66" s="11">
        <f>B65*(1+B64)</f>
        <v>151090.70000000001</v>
      </c>
      <c r="C66" s="10">
        <v>0</v>
      </c>
      <c r="D66" s="4"/>
      <c r="E66" s="4"/>
      <c r="F66" s="4"/>
      <c r="G66" s="4"/>
      <c r="H66" s="4"/>
    </row>
    <row r="67" spans="1:8" ht="15" customHeight="1" x14ac:dyDescent="0.2">
      <c r="A67" s="8" t="s">
        <v>197</v>
      </c>
      <c r="B67" s="9">
        <v>1515267</v>
      </c>
      <c r="C67" s="20">
        <v>0</v>
      </c>
      <c r="D67" s="8"/>
      <c r="E67" s="8"/>
      <c r="F67" s="8"/>
      <c r="G67" s="8"/>
      <c r="H67" s="8"/>
    </row>
    <row r="68" spans="1:8" ht="15" customHeight="1" x14ac:dyDescent="0.2">
      <c r="A68" s="6" t="s">
        <v>198</v>
      </c>
      <c r="B68" s="7">
        <v>820954</v>
      </c>
      <c r="C68" s="6" t="s">
        <v>199</v>
      </c>
      <c r="D68" s="4"/>
      <c r="E68" s="4"/>
      <c r="F68" s="4"/>
      <c r="G68" s="4"/>
      <c r="H68" s="4"/>
    </row>
    <row r="69" spans="1:8" ht="15" customHeight="1" x14ac:dyDescent="0.2">
      <c r="A69" s="4"/>
      <c r="B69" s="4"/>
      <c r="C69" s="4"/>
      <c r="D69" s="4"/>
      <c r="E69" s="4"/>
      <c r="F69" s="4"/>
      <c r="G69" s="4"/>
      <c r="H69" s="4"/>
    </row>
    <row r="70" spans="1:8" ht="15.75" customHeight="1" x14ac:dyDescent="0.2">
      <c r="A70" s="41" t="s">
        <v>200</v>
      </c>
      <c r="B70" s="39"/>
      <c r="C70" s="39"/>
      <c r="D70" s="39"/>
      <c r="E70" s="39"/>
      <c r="F70" s="39"/>
      <c r="G70" s="39"/>
      <c r="H70" s="40"/>
    </row>
    <row r="71" spans="1:8" ht="15" customHeight="1" x14ac:dyDescent="0.2">
      <c r="A71" s="8"/>
      <c r="B71" s="8" t="s">
        <v>201</v>
      </c>
      <c r="C71" s="8" t="s">
        <v>202</v>
      </c>
      <c r="D71" s="8" t="s">
        <v>203</v>
      </c>
      <c r="E71" s="8" t="s">
        <v>204</v>
      </c>
      <c r="F71" s="8" t="s">
        <v>205</v>
      </c>
      <c r="G71" s="8" t="s">
        <v>206</v>
      </c>
      <c r="H71" s="8"/>
    </row>
    <row r="72" spans="1:8" ht="15" customHeight="1" x14ac:dyDescent="0.2">
      <c r="A72" s="10" t="s">
        <v>207</v>
      </c>
      <c r="B72" s="11">
        <v>115871</v>
      </c>
      <c r="C72" s="11">
        <v>124012</v>
      </c>
      <c r="D72" s="11">
        <v>132898</v>
      </c>
      <c r="E72" s="11">
        <v>139807</v>
      </c>
      <c r="F72" s="11">
        <v>146690</v>
      </c>
      <c r="G72" s="10"/>
      <c r="H72" s="10"/>
    </row>
    <row r="73" spans="1:8" ht="15" customHeight="1" x14ac:dyDescent="0.2">
      <c r="A73" s="6" t="s">
        <v>208</v>
      </c>
      <c r="B73" s="17">
        <v>1</v>
      </c>
      <c r="C73" s="17">
        <v>2</v>
      </c>
      <c r="D73" s="17">
        <v>3</v>
      </c>
      <c r="E73" s="17">
        <v>4</v>
      </c>
      <c r="F73" s="17">
        <v>5</v>
      </c>
      <c r="G73" s="4"/>
      <c r="H73" s="4"/>
    </row>
    <row r="74" spans="1:8" ht="15" customHeight="1" x14ac:dyDescent="0.2">
      <c r="A74" s="8" t="s">
        <v>209</v>
      </c>
      <c r="B74" s="20">
        <v>0.88500000000000001</v>
      </c>
      <c r="C74" s="20">
        <v>0.78320000000000001</v>
      </c>
      <c r="D74" s="20">
        <v>0.69299999999999995</v>
      </c>
      <c r="E74" s="20">
        <v>0.61329999999999996</v>
      </c>
      <c r="F74" s="20">
        <v>0.54269999999999996</v>
      </c>
      <c r="G74" s="8"/>
      <c r="H74" s="8"/>
    </row>
    <row r="75" spans="1:8" ht="15" customHeight="1" x14ac:dyDescent="0.2">
      <c r="A75" s="10" t="s">
        <v>210</v>
      </c>
      <c r="B75" s="11">
        <f>B72*B74</f>
        <v>102545.83500000001</v>
      </c>
      <c r="C75" s="11">
        <v>97129</v>
      </c>
      <c r="D75" s="11">
        <v>92100</v>
      </c>
      <c r="E75" s="11">
        <v>85745</v>
      </c>
      <c r="F75" s="11">
        <v>79612</v>
      </c>
      <c r="G75" s="11">
        <v>457132</v>
      </c>
      <c r="H75" s="4"/>
    </row>
    <row r="76" spans="1:8" ht="15" customHeight="1" x14ac:dyDescent="0.2">
      <c r="A76" s="4"/>
      <c r="B76" s="4"/>
      <c r="C76" s="4"/>
      <c r="D76" s="4"/>
      <c r="E76" s="4"/>
      <c r="F76" s="4"/>
      <c r="G76" s="4"/>
      <c r="H76" s="4"/>
    </row>
    <row r="77" spans="1:8" ht="15" customHeight="1" x14ac:dyDescent="0.2">
      <c r="A77" s="10" t="s">
        <v>211</v>
      </c>
      <c r="B77" s="11">
        <v>457132</v>
      </c>
      <c r="C77" s="10" t="s">
        <v>212</v>
      </c>
      <c r="D77" s="10"/>
      <c r="E77" s="10"/>
      <c r="F77" s="10"/>
      <c r="G77" s="10"/>
      <c r="H77" s="10"/>
    </row>
    <row r="78" spans="1:8" ht="15" customHeight="1" x14ac:dyDescent="0.2">
      <c r="A78" s="6" t="s">
        <v>198</v>
      </c>
      <c r="B78" s="7">
        <v>820954</v>
      </c>
      <c r="C78" s="6" t="s">
        <v>213</v>
      </c>
      <c r="D78" s="4"/>
      <c r="E78" s="4"/>
      <c r="F78" s="4"/>
      <c r="G78" s="4"/>
      <c r="H78" s="4"/>
    </row>
    <row r="79" spans="1:8" ht="15" customHeight="1" x14ac:dyDescent="0.2">
      <c r="A79" s="10" t="s">
        <v>214</v>
      </c>
      <c r="B79" s="11">
        <f>B77+B78</f>
        <v>1278086</v>
      </c>
      <c r="C79" s="10">
        <v>0</v>
      </c>
      <c r="D79" s="10"/>
      <c r="E79" s="10"/>
      <c r="F79" s="10"/>
      <c r="G79" s="10"/>
      <c r="H79" s="10"/>
    </row>
    <row r="80" spans="1:8" ht="15" customHeight="1" x14ac:dyDescent="0.2">
      <c r="A80" s="4"/>
      <c r="B80" s="4"/>
      <c r="C80" s="4"/>
      <c r="D80" s="4"/>
      <c r="E80" s="4"/>
      <c r="F80" s="4"/>
      <c r="G80" s="4"/>
      <c r="H80" s="4"/>
    </row>
    <row r="81" spans="1:8" ht="15" customHeight="1" x14ac:dyDescent="0.2">
      <c r="A81" s="6" t="s">
        <v>215</v>
      </c>
      <c r="B81" s="7">
        <v>68162</v>
      </c>
      <c r="C81" s="6" t="s">
        <v>216</v>
      </c>
      <c r="D81" s="4"/>
      <c r="E81" s="4"/>
      <c r="F81" s="4"/>
      <c r="G81" s="4"/>
      <c r="H81" s="4"/>
    </row>
    <row r="82" spans="1:8" ht="15" customHeight="1" x14ac:dyDescent="0.2">
      <c r="A82" s="10" t="s">
        <v>217</v>
      </c>
      <c r="B82" s="11">
        <v>91938</v>
      </c>
      <c r="C82" s="10" t="s">
        <v>216</v>
      </c>
      <c r="D82" s="10"/>
      <c r="E82" s="10"/>
      <c r="F82" s="10"/>
      <c r="G82" s="10"/>
      <c r="H82" s="10"/>
    </row>
    <row r="83" spans="1:8" ht="15" customHeight="1" x14ac:dyDescent="0.2">
      <c r="A83" s="10" t="s">
        <v>218</v>
      </c>
      <c r="B83" s="11">
        <v>1254310</v>
      </c>
      <c r="C83" s="10">
        <v>0</v>
      </c>
      <c r="D83" s="4"/>
      <c r="E83" s="4"/>
      <c r="F83" s="4"/>
      <c r="G83" s="4"/>
      <c r="H83" s="4"/>
    </row>
    <row r="84" spans="1:8" ht="15" customHeight="1" x14ac:dyDescent="0.2">
      <c r="A84" s="4"/>
      <c r="B84" s="4"/>
      <c r="C84" s="4"/>
      <c r="D84" s="4"/>
      <c r="E84" s="4"/>
      <c r="F84" s="4"/>
      <c r="G84" s="4"/>
      <c r="H84" s="4"/>
    </row>
    <row r="85" spans="1:8" ht="15" customHeight="1" x14ac:dyDescent="0.2">
      <c r="A85" s="8" t="s">
        <v>219</v>
      </c>
      <c r="B85" s="9">
        <v>14940</v>
      </c>
      <c r="C85" s="8" t="s">
        <v>220</v>
      </c>
      <c r="D85" s="8"/>
      <c r="E85" s="8"/>
      <c r="F85" s="8"/>
      <c r="G85" s="8"/>
      <c r="H85" s="8"/>
    </row>
    <row r="86" spans="1:8" ht="15" customHeight="1" x14ac:dyDescent="0.2">
      <c r="A86" s="6" t="s">
        <v>221</v>
      </c>
      <c r="B86" s="6" t="s">
        <v>222</v>
      </c>
      <c r="C86" s="17">
        <v>0</v>
      </c>
      <c r="D86" s="4"/>
      <c r="E86" s="4"/>
      <c r="F86" s="4"/>
      <c r="G86" s="4"/>
      <c r="H86" s="4"/>
    </row>
    <row r="87" spans="1:8" ht="15" customHeight="1" x14ac:dyDescent="0.2">
      <c r="A87" s="4"/>
      <c r="B87" s="4"/>
      <c r="C87" s="4"/>
      <c r="D87" s="4"/>
      <c r="E87" s="4"/>
      <c r="F87" s="4"/>
      <c r="G87" s="4"/>
      <c r="H87" s="4"/>
    </row>
    <row r="88" spans="1:8" ht="15" customHeight="1" x14ac:dyDescent="0.2">
      <c r="A88" s="8" t="s">
        <v>223</v>
      </c>
      <c r="B88" s="8" t="s">
        <v>224</v>
      </c>
      <c r="C88" s="8" t="s">
        <v>225</v>
      </c>
      <c r="D88" s="8"/>
      <c r="E88" s="8"/>
      <c r="F88" s="8"/>
      <c r="G88" s="8"/>
      <c r="H88" s="8"/>
    </row>
    <row r="89" spans="1:8" ht="15" customHeight="1" x14ac:dyDescent="0.2">
      <c r="A89" s="6" t="s">
        <v>226</v>
      </c>
      <c r="B89" s="18">
        <v>-0.67400000000000004</v>
      </c>
      <c r="C89" s="6" t="s">
        <v>227</v>
      </c>
      <c r="D89" s="4"/>
      <c r="E89" s="4"/>
      <c r="F89" s="4"/>
      <c r="G89" s="4"/>
      <c r="H89" s="4"/>
    </row>
    <row r="90" spans="1:8" ht="15" customHeight="1" x14ac:dyDescent="0.2">
      <c r="A90" s="4"/>
      <c r="B90" s="4"/>
      <c r="C90" s="4"/>
      <c r="D90" s="4"/>
      <c r="E90" s="4"/>
      <c r="F90" s="4"/>
      <c r="G90" s="4"/>
      <c r="H90" s="4"/>
    </row>
    <row r="91" spans="1:8" ht="18.75" customHeight="1" x14ac:dyDescent="0.2">
      <c r="A91" s="41" t="s">
        <v>228</v>
      </c>
      <c r="B91" s="39"/>
      <c r="C91" s="39"/>
      <c r="D91" s="39"/>
      <c r="E91" s="39"/>
      <c r="F91" s="39"/>
      <c r="G91" s="39"/>
      <c r="H91" s="40"/>
    </row>
    <row r="92" spans="1:8" ht="15" customHeight="1" x14ac:dyDescent="0.2">
      <c r="A92" s="6" t="s">
        <v>229</v>
      </c>
      <c r="B92" s="6" t="s">
        <v>190</v>
      </c>
      <c r="C92" s="6" t="s">
        <v>230</v>
      </c>
      <c r="D92" s="6" t="s">
        <v>231</v>
      </c>
      <c r="E92" s="6" t="s">
        <v>232</v>
      </c>
      <c r="F92" s="4"/>
      <c r="G92" s="4"/>
      <c r="H92" s="4"/>
    </row>
    <row r="93" spans="1:8" ht="15" customHeight="1" x14ac:dyDescent="0.2">
      <c r="A93" s="8" t="s">
        <v>233</v>
      </c>
      <c r="B93" s="19">
        <v>0.14000000000000001</v>
      </c>
      <c r="C93" s="19">
        <v>2.5000000000000001E-2</v>
      </c>
      <c r="D93" s="8" t="s">
        <v>234</v>
      </c>
      <c r="E93" s="33">
        <v>-0.23</v>
      </c>
      <c r="F93" s="8"/>
      <c r="G93" s="8"/>
      <c r="H93" s="8"/>
    </row>
    <row r="94" spans="1:8" ht="15" customHeight="1" x14ac:dyDescent="0.2">
      <c r="A94" s="6" t="s">
        <v>235</v>
      </c>
      <c r="B94" s="18">
        <v>0.12989999999999999</v>
      </c>
      <c r="C94" s="18">
        <v>0.03</v>
      </c>
      <c r="D94" s="6" t="s">
        <v>236</v>
      </c>
      <c r="E94" s="34">
        <v>-0.17</v>
      </c>
      <c r="F94" s="4"/>
      <c r="G94" s="4"/>
      <c r="H94" s="4"/>
    </row>
    <row r="95" spans="1:8" ht="15" customHeight="1" x14ac:dyDescent="0.2">
      <c r="A95" s="8" t="s">
        <v>237</v>
      </c>
      <c r="B95" s="19">
        <v>0.12</v>
      </c>
      <c r="C95" s="19">
        <v>3.5000000000000003E-2</v>
      </c>
      <c r="D95" s="8" t="s">
        <v>238</v>
      </c>
      <c r="E95" s="33">
        <v>0.37</v>
      </c>
      <c r="F95" s="8"/>
      <c r="G95" s="8"/>
      <c r="H95" s="8"/>
    </row>
    <row r="96" spans="1:8" ht="15" customHeight="1" x14ac:dyDescent="0.2">
      <c r="A96" s="4"/>
      <c r="B96" s="4"/>
      <c r="C96" s="4"/>
      <c r="D96" s="4"/>
      <c r="E96" s="4"/>
      <c r="F96" s="4"/>
      <c r="G96" s="4"/>
      <c r="H96" s="4"/>
    </row>
    <row r="97" spans="1:8" ht="15" customHeight="1" x14ac:dyDescent="0.2">
      <c r="A97" s="12" t="s">
        <v>239</v>
      </c>
      <c r="B97" s="13"/>
      <c r="C97" s="13"/>
      <c r="D97" s="13"/>
      <c r="E97" s="13"/>
      <c r="F97" s="13"/>
      <c r="G97" s="13"/>
      <c r="H97" s="13"/>
    </row>
    <row r="98" spans="1:8" ht="15" customHeight="1" x14ac:dyDescent="0.2">
      <c r="A98" s="12" t="s">
        <v>240</v>
      </c>
      <c r="B98" s="13"/>
      <c r="C98" s="13"/>
      <c r="D98" s="13"/>
      <c r="E98" s="13"/>
      <c r="F98" s="13"/>
      <c r="G98" s="13"/>
      <c r="H98" s="13"/>
    </row>
    <row r="99" spans="1:8" ht="15" customHeight="1" x14ac:dyDescent="0.2">
      <c r="A99" s="12" t="s">
        <v>241</v>
      </c>
      <c r="B99" s="13"/>
      <c r="C99" s="13"/>
      <c r="D99" s="13"/>
      <c r="E99" s="13"/>
      <c r="F99" s="13"/>
      <c r="G99" s="13"/>
      <c r="H99" s="13"/>
    </row>
  </sheetData>
  <mergeCells count="12">
    <mergeCell ref="A12:H12"/>
    <mergeCell ref="A70:H70"/>
    <mergeCell ref="A1:H1"/>
    <mergeCell ref="A91:H91"/>
    <mergeCell ref="A7:H7"/>
    <mergeCell ref="A63:H63"/>
    <mergeCell ref="A28:H28"/>
    <mergeCell ref="A45:H45"/>
    <mergeCell ref="A37:H37"/>
    <mergeCell ref="A32:H32"/>
    <mergeCell ref="A22:H22"/>
    <mergeCell ref="A17:H17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1D1D1F"/>
  </sheetPr>
  <dimension ref="A1:F48"/>
  <sheetViews>
    <sheetView showGridLines="0" zoomScale="137" zoomScaleNormal="137" workbookViewId="0">
      <selection sqref="A1:F1"/>
    </sheetView>
  </sheetViews>
  <sheetFormatPr baseColWidth="10" defaultColWidth="8.83203125" defaultRowHeight="15" x14ac:dyDescent="0.2"/>
  <cols>
    <col min="1" max="1" width="46" customWidth="1"/>
    <col min="2" max="3" width="13.6640625" customWidth="1"/>
    <col min="4" max="4" width="15.6640625" customWidth="1"/>
    <col min="5" max="5" width="13.6640625" customWidth="1"/>
    <col min="6" max="6" width="15.6640625" customWidth="1"/>
  </cols>
  <sheetData>
    <row r="1" spans="1:6" ht="24" customHeight="1" x14ac:dyDescent="0.2">
      <c r="A1" s="38" t="s">
        <v>242</v>
      </c>
      <c r="B1" s="39"/>
      <c r="C1" s="39"/>
      <c r="D1" s="39"/>
      <c r="E1" s="39"/>
      <c r="F1" s="40"/>
    </row>
    <row r="2" spans="1:6" ht="15" customHeight="1" x14ac:dyDescent="0.2">
      <c r="A2" s="4"/>
      <c r="B2" s="4"/>
      <c r="C2" s="4"/>
      <c r="D2" s="4"/>
      <c r="E2" s="4"/>
      <c r="F2" s="4"/>
    </row>
    <row r="3" spans="1:6" ht="15.75" customHeight="1" x14ac:dyDescent="0.2">
      <c r="A3" s="42" t="s">
        <v>243</v>
      </c>
      <c r="B3" s="39"/>
      <c r="C3" s="39"/>
      <c r="D3" s="39"/>
      <c r="E3" s="39"/>
      <c r="F3" s="40"/>
    </row>
    <row r="4" spans="1:6" ht="18" customHeight="1" x14ac:dyDescent="0.2">
      <c r="A4" s="35" t="s">
        <v>244</v>
      </c>
      <c r="B4" s="36" t="s">
        <v>2</v>
      </c>
      <c r="C4" s="36" t="s">
        <v>3</v>
      </c>
      <c r="D4" s="36" t="s">
        <v>4</v>
      </c>
      <c r="E4" s="36" t="s">
        <v>5</v>
      </c>
      <c r="F4" s="36" t="s">
        <v>6</v>
      </c>
    </row>
    <row r="5" spans="1:6" ht="15" customHeight="1" x14ac:dyDescent="0.2">
      <c r="A5" s="10" t="s">
        <v>245</v>
      </c>
      <c r="B5" s="11">
        <v>94680</v>
      </c>
      <c r="C5" s="11">
        <v>99803</v>
      </c>
      <c r="D5" s="11">
        <v>96995</v>
      </c>
      <c r="E5" s="11">
        <v>93736</v>
      </c>
      <c r="F5" s="11">
        <v>112010</v>
      </c>
    </row>
    <row r="6" spans="1:6" ht="15" customHeight="1" x14ac:dyDescent="0.2">
      <c r="A6" s="8" t="s">
        <v>246</v>
      </c>
      <c r="B6" s="9">
        <v>16865</v>
      </c>
      <c r="C6" s="9">
        <v>16325</v>
      </c>
      <c r="D6" s="9">
        <v>15812</v>
      </c>
      <c r="E6" s="9">
        <v>15204</v>
      </c>
      <c r="F6" s="9">
        <v>14940</v>
      </c>
    </row>
    <row r="7" spans="1:6" ht="15" customHeight="1" x14ac:dyDescent="0.2">
      <c r="A7" s="6" t="s">
        <v>247</v>
      </c>
      <c r="B7" s="17">
        <v>5.61</v>
      </c>
      <c r="C7" s="17">
        <v>6.11</v>
      </c>
      <c r="D7" s="17">
        <v>6.13</v>
      </c>
      <c r="E7" s="17">
        <v>6.16</v>
      </c>
      <c r="F7" s="17">
        <v>7.5</v>
      </c>
    </row>
    <row r="8" spans="1:6" ht="15" customHeight="1" x14ac:dyDescent="0.2">
      <c r="A8" s="4"/>
      <c r="B8" s="4"/>
      <c r="C8" s="4"/>
      <c r="D8" s="4"/>
      <c r="E8" s="4"/>
      <c r="F8" s="4"/>
    </row>
    <row r="9" spans="1:6" ht="15" customHeight="1" x14ac:dyDescent="0.2">
      <c r="A9" s="8" t="s">
        <v>248</v>
      </c>
      <c r="B9" s="20">
        <v>140</v>
      </c>
      <c r="C9" s="20">
        <v>150</v>
      </c>
      <c r="D9" s="20">
        <v>175</v>
      </c>
      <c r="E9" s="20">
        <v>220</v>
      </c>
      <c r="F9" s="20">
        <v>235</v>
      </c>
    </row>
    <row r="10" spans="1:6" ht="15" customHeight="1" x14ac:dyDescent="0.2">
      <c r="A10" s="8" t="s">
        <v>249</v>
      </c>
      <c r="B10" s="20">
        <v>24.96</v>
      </c>
      <c r="C10" s="20">
        <v>24.55</v>
      </c>
      <c r="D10" s="20">
        <v>28.55</v>
      </c>
      <c r="E10" s="20">
        <v>35.71</v>
      </c>
      <c r="F10" s="20">
        <v>31.33</v>
      </c>
    </row>
    <row r="11" spans="1:6" ht="15" customHeight="1" x14ac:dyDescent="0.2">
      <c r="A11" s="4"/>
      <c r="B11" s="4"/>
      <c r="C11" s="4"/>
      <c r="D11" s="4"/>
      <c r="E11" s="4"/>
      <c r="F11" s="4"/>
    </row>
    <row r="12" spans="1:6" ht="15" customHeight="1" x14ac:dyDescent="0.2">
      <c r="A12" s="12" t="s">
        <v>250</v>
      </c>
      <c r="B12" s="13"/>
      <c r="C12" s="13"/>
      <c r="D12" s="13"/>
      <c r="E12" s="13"/>
      <c r="F12" s="13"/>
    </row>
    <row r="13" spans="1:6" ht="15" customHeight="1" x14ac:dyDescent="0.2">
      <c r="A13" s="8" t="s">
        <v>251</v>
      </c>
      <c r="B13" s="8" t="s">
        <v>252</v>
      </c>
      <c r="C13" s="8" t="s">
        <v>31</v>
      </c>
      <c r="D13" s="8" t="s">
        <v>253</v>
      </c>
      <c r="E13" s="8" t="s">
        <v>254</v>
      </c>
      <c r="F13" s="8" t="s">
        <v>249</v>
      </c>
    </row>
    <row r="14" spans="1:6" ht="15" customHeight="1" x14ac:dyDescent="0.2">
      <c r="A14" s="8" t="s">
        <v>255</v>
      </c>
      <c r="B14" s="9">
        <v>4360000</v>
      </c>
      <c r="C14" s="9">
        <v>112010</v>
      </c>
      <c r="D14" s="20">
        <v>7.46</v>
      </c>
      <c r="E14" s="20">
        <v>296.8</v>
      </c>
      <c r="F14" s="20">
        <v>39.79</v>
      </c>
    </row>
    <row r="15" spans="1:6" ht="15" customHeight="1" x14ac:dyDescent="0.2">
      <c r="A15" s="6" t="s">
        <v>256</v>
      </c>
      <c r="B15" s="6" t="s">
        <v>257</v>
      </c>
      <c r="C15" s="6" t="s">
        <v>257</v>
      </c>
      <c r="D15" s="6" t="s">
        <v>257</v>
      </c>
      <c r="E15" s="6" t="s">
        <v>257</v>
      </c>
      <c r="F15" s="6" t="s">
        <v>258</v>
      </c>
    </row>
    <row r="16" spans="1:6" ht="15" customHeight="1" x14ac:dyDescent="0.2">
      <c r="A16" s="8" t="s">
        <v>259</v>
      </c>
      <c r="B16" s="8" t="s">
        <v>257</v>
      </c>
      <c r="C16" s="8" t="s">
        <v>257</v>
      </c>
      <c r="D16" s="8" t="s">
        <v>257</v>
      </c>
      <c r="E16" s="8" t="s">
        <v>257</v>
      </c>
      <c r="F16" s="8" t="s">
        <v>258</v>
      </c>
    </row>
    <row r="17" spans="1:6" ht="15" customHeight="1" x14ac:dyDescent="0.2">
      <c r="A17" s="6" t="s">
        <v>260</v>
      </c>
      <c r="B17" s="6" t="s">
        <v>257</v>
      </c>
      <c r="C17" s="6" t="s">
        <v>257</v>
      </c>
      <c r="D17" s="6" t="s">
        <v>257</v>
      </c>
      <c r="E17" s="6" t="s">
        <v>257</v>
      </c>
      <c r="F17" s="6" t="s">
        <v>258</v>
      </c>
    </row>
    <row r="18" spans="1:6" ht="15" customHeight="1" x14ac:dyDescent="0.2">
      <c r="A18" s="8" t="s">
        <v>261</v>
      </c>
      <c r="B18" s="8" t="s">
        <v>257</v>
      </c>
      <c r="C18" s="8" t="s">
        <v>257</v>
      </c>
      <c r="D18" s="8" t="s">
        <v>257</v>
      </c>
      <c r="E18" s="8" t="s">
        <v>257</v>
      </c>
      <c r="F18" s="8" t="s">
        <v>258</v>
      </c>
    </row>
    <row r="19" spans="1:6" ht="15" customHeight="1" x14ac:dyDescent="0.2">
      <c r="A19" s="4"/>
      <c r="B19" s="4"/>
      <c r="C19" s="4"/>
      <c r="D19" s="4"/>
      <c r="E19" s="4"/>
      <c r="F19" s="4"/>
    </row>
    <row r="20" spans="1:6" ht="15" customHeight="1" x14ac:dyDescent="0.2">
      <c r="A20" s="6" t="s">
        <v>262</v>
      </c>
      <c r="B20" s="6" t="s">
        <v>258</v>
      </c>
      <c r="C20" s="4"/>
      <c r="D20" s="4"/>
      <c r="E20" s="4"/>
      <c r="F20" s="4"/>
    </row>
    <row r="21" spans="1:6" ht="15" customHeight="1" x14ac:dyDescent="0.2">
      <c r="A21" s="8" t="s">
        <v>263</v>
      </c>
      <c r="B21" s="8" t="s">
        <v>258</v>
      </c>
      <c r="C21" s="8"/>
      <c r="D21" s="8"/>
      <c r="E21" s="8"/>
      <c r="F21" s="8"/>
    </row>
    <row r="22" spans="1:6" ht="15" customHeight="1" x14ac:dyDescent="0.2">
      <c r="A22" s="4"/>
      <c r="B22" s="4"/>
      <c r="C22" s="4"/>
      <c r="D22" s="4"/>
      <c r="E22" s="4"/>
      <c r="F22" s="4"/>
    </row>
    <row r="23" spans="1:6" ht="15.75" customHeight="1" x14ac:dyDescent="0.2">
      <c r="A23" s="41" t="s">
        <v>264</v>
      </c>
      <c r="B23" s="39"/>
      <c r="C23" s="39"/>
      <c r="D23" s="39"/>
      <c r="E23" s="39"/>
      <c r="F23" s="40"/>
    </row>
    <row r="24" spans="1:6" ht="15" customHeight="1" x14ac:dyDescent="0.2">
      <c r="A24" s="8"/>
      <c r="B24" s="8" t="s">
        <v>265</v>
      </c>
      <c r="C24" s="8" t="s">
        <v>266</v>
      </c>
      <c r="D24" s="8" t="s">
        <v>267</v>
      </c>
      <c r="E24" s="8" t="s">
        <v>268</v>
      </c>
      <c r="F24" s="8"/>
    </row>
    <row r="25" spans="1:6" ht="15" customHeight="1" x14ac:dyDescent="0.2">
      <c r="A25" s="8" t="s">
        <v>269</v>
      </c>
      <c r="B25" s="20">
        <v>7.5</v>
      </c>
      <c r="C25" s="8" t="s">
        <v>257</v>
      </c>
      <c r="D25" s="8" t="s">
        <v>257</v>
      </c>
      <c r="E25" s="8" t="s">
        <v>257</v>
      </c>
      <c r="F25" s="8"/>
    </row>
    <row r="26" spans="1:6" ht="15" customHeight="1" x14ac:dyDescent="0.2">
      <c r="A26" s="6" t="s">
        <v>270</v>
      </c>
      <c r="B26" s="17">
        <v>296.8</v>
      </c>
      <c r="C26" s="17">
        <v>296.8</v>
      </c>
      <c r="D26" s="17">
        <v>296.8</v>
      </c>
      <c r="E26" s="17">
        <v>296.8</v>
      </c>
      <c r="F26" s="4"/>
    </row>
    <row r="27" spans="1:6" ht="15" customHeight="1" x14ac:dyDescent="0.2">
      <c r="A27" s="8" t="s">
        <v>271</v>
      </c>
      <c r="B27" s="20">
        <v>31.33</v>
      </c>
      <c r="C27" s="8" t="s">
        <v>258</v>
      </c>
      <c r="D27" s="8" t="s">
        <v>258</v>
      </c>
      <c r="E27" s="8" t="s">
        <v>258</v>
      </c>
      <c r="F27" s="8"/>
    </row>
    <row r="28" spans="1:6" ht="15" customHeight="1" x14ac:dyDescent="0.2">
      <c r="A28" s="4"/>
      <c r="B28" s="4"/>
      <c r="C28" s="4"/>
      <c r="D28" s="4"/>
      <c r="E28" s="4"/>
      <c r="F28" s="4"/>
    </row>
    <row r="29" spans="1:6" ht="15" customHeight="1" x14ac:dyDescent="0.2">
      <c r="A29" s="12" t="s">
        <v>272</v>
      </c>
      <c r="B29" s="13"/>
      <c r="C29" s="13"/>
      <c r="D29" s="13"/>
      <c r="E29" s="13"/>
      <c r="F29" s="13"/>
    </row>
    <row r="30" spans="1:6" ht="15" customHeight="1" x14ac:dyDescent="0.2">
      <c r="A30" s="6" t="s">
        <v>273</v>
      </c>
      <c r="B30" s="6" t="s">
        <v>253</v>
      </c>
      <c r="C30" s="6" t="s">
        <v>274</v>
      </c>
      <c r="D30" s="6" t="s">
        <v>275</v>
      </c>
      <c r="E30" s="6" t="s">
        <v>276</v>
      </c>
      <c r="F30" s="4"/>
    </row>
    <row r="31" spans="1:6" ht="15" customHeight="1" x14ac:dyDescent="0.2">
      <c r="A31" s="8" t="s">
        <v>277</v>
      </c>
      <c r="B31" s="20">
        <v>7.5</v>
      </c>
      <c r="C31" s="20">
        <v>29.02</v>
      </c>
      <c r="D31" s="8" t="s">
        <v>258</v>
      </c>
      <c r="E31" s="8" t="s">
        <v>258</v>
      </c>
      <c r="F31" s="8"/>
    </row>
    <row r="32" spans="1:6" ht="15" customHeight="1" x14ac:dyDescent="0.2">
      <c r="A32" s="6" t="s">
        <v>262</v>
      </c>
      <c r="B32" s="17">
        <v>7.5</v>
      </c>
      <c r="C32" s="6" t="s">
        <v>257</v>
      </c>
      <c r="D32" s="6" t="s">
        <v>258</v>
      </c>
      <c r="E32" s="6" t="s">
        <v>258</v>
      </c>
      <c r="F32" s="4"/>
    </row>
    <row r="33" spans="1:6" ht="15" customHeight="1" x14ac:dyDescent="0.2">
      <c r="A33" s="8" t="s">
        <v>278</v>
      </c>
      <c r="B33" s="20">
        <v>7.5</v>
      </c>
      <c r="C33" s="20">
        <v>35</v>
      </c>
      <c r="D33" s="8" t="s">
        <v>258</v>
      </c>
      <c r="E33" s="8" t="s">
        <v>258</v>
      </c>
      <c r="F33" s="8"/>
    </row>
    <row r="34" spans="1:6" ht="15" customHeight="1" x14ac:dyDescent="0.2">
      <c r="A34" s="6" t="s">
        <v>279</v>
      </c>
      <c r="B34" s="17">
        <v>7.5</v>
      </c>
      <c r="C34" s="17">
        <v>25</v>
      </c>
      <c r="D34" s="6" t="s">
        <v>258</v>
      </c>
      <c r="E34" s="6" t="s">
        <v>258</v>
      </c>
      <c r="F34" s="4"/>
    </row>
    <row r="35" spans="1:6" ht="15" customHeight="1" x14ac:dyDescent="0.2">
      <c r="A35" s="4"/>
      <c r="B35" s="4"/>
      <c r="C35" s="4"/>
      <c r="D35" s="4"/>
      <c r="E35" s="4"/>
      <c r="F35" s="4"/>
    </row>
    <row r="36" spans="1:6" ht="15.75" customHeight="1" x14ac:dyDescent="0.2">
      <c r="A36" s="41" t="s">
        <v>280</v>
      </c>
      <c r="B36" s="39"/>
      <c r="C36" s="39"/>
      <c r="D36" s="39"/>
      <c r="E36" s="39"/>
      <c r="F36" s="40"/>
    </row>
    <row r="37" spans="1:6" ht="15" customHeight="1" x14ac:dyDescent="0.2">
      <c r="A37" s="8"/>
      <c r="B37" s="37" t="s">
        <v>281</v>
      </c>
      <c r="C37" s="8"/>
      <c r="D37" s="8"/>
      <c r="E37" s="8"/>
      <c r="F37" s="8"/>
    </row>
    <row r="38" spans="1:6" ht="15" customHeight="1" x14ac:dyDescent="0.2">
      <c r="A38" s="6" t="s">
        <v>282</v>
      </c>
      <c r="B38" s="17">
        <v>39.79</v>
      </c>
      <c r="C38" s="4"/>
      <c r="D38" s="4"/>
      <c r="E38" s="4"/>
      <c r="F38" s="4"/>
    </row>
    <row r="39" spans="1:6" ht="15" customHeight="1" x14ac:dyDescent="0.2">
      <c r="A39" s="8" t="s">
        <v>283</v>
      </c>
      <c r="B39" s="8" t="s">
        <v>284</v>
      </c>
      <c r="C39" s="8"/>
      <c r="D39" s="8"/>
      <c r="E39" s="8"/>
      <c r="F39" s="8"/>
    </row>
    <row r="40" spans="1:6" ht="15" customHeight="1" x14ac:dyDescent="0.2">
      <c r="A40" s="6" t="s">
        <v>285</v>
      </c>
      <c r="B40" s="6" t="s">
        <v>258</v>
      </c>
      <c r="C40" s="4"/>
      <c r="D40" s="4"/>
      <c r="E40" s="4"/>
      <c r="F40" s="4"/>
    </row>
    <row r="41" spans="1:6" ht="15" customHeight="1" x14ac:dyDescent="0.2">
      <c r="A41" s="12" t="s">
        <v>286</v>
      </c>
      <c r="B41" s="13"/>
      <c r="C41" s="13"/>
      <c r="D41" s="13"/>
      <c r="E41" s="13"/>
      <c r="F41" s="13"/>
    </row>
    <row r="42" spans="1:6" ht="15" customHeight="1" x14ac:dyDescent="0.2">
      <c r="A42" s="4"/>
      <c r="B42" s="4"/>
      <c r="C42" s="4"/>
      <c r="D42" s="4"/>
      <c r="E42" s="4"/>
      <c r="F42" s="4"/>
    </row>
    <row r="43" spans="1:6" ht="24" customHeight="1" x14ac:dyDescent="0.2">
      <c r="A43" s="41" t="s">
        <v>287</v>
      </c>
      <c r="B43" s="39"/>
      <c r="C43" s="39"/>
      <c r="D43" s="39"/>
      <c r="E43" s="39"/>
      <c r="F43" s="40"/>
    </row>
    <row r="44" spans="1:6" ht="18.75" customHeight="1" x14ac:dyDescent="0.2">
      <c r="A44" s="12" t="s">
        <v>288</v>
      </c>
      <c r="B44" s="13"/>
      <c r="C44" s="13"/>
      <c r="D44" s="13"/>
      <c r="E44" s="13"/>
      <c r="F44" s="13"/>
    </row>
    <row r="45" spans="1:6" ht="18.75" customHeight="1" x14ac:dyDescent="0.2">
      <c r="A45" s="12" t="s">
        <v>289</v>
      </c>
      <c r="B45" s="13"/>
      <c r="C45" s="13"/>
      <c r="D45" s="13"/>
      <c r="E45" s="13"/>
      <c r="F45" s="13"/>
    </row>
    <row r="46" spans="1:6" ht="18.75" customHeight="1" x14ac:dyDescent="0.2">
      <c r="A46" s="12" t="s">
        <v>290</v>
      </c>
      <c r="B46" s="13"/>
      <c r="C46" s="13"/>
      <c r="D46" s="13"/>
      <c r="E46" s="13"/>
      <c r="F46" s="13"/>
    </row>
    <row r="47" spans="1:6" ht="18.75" customHeight="1" x14ac:dyDescent="0.2">
      <c r="A47" s="12" t="s">
        <v>291</v>
      </c>
      <c r="B47" s="13"/>
      <c r="C47" s="13"/>
      <c r="D47" s="13"/>
      <c r="E47" s="13"/>
      <c r="F47" s="13"/>
    </row>
    <row r="48" spans="1:6" ht="18.75" customHeight="1" x14ac:dyDescent="0.2">
      <c r="A48" s="12" t="s">
        <v>292</v>
      </c>
      <c r="B48" s="13"/>
      <c r="C48" s="13"/>
      <c r="D48" s="13"/>
      <c r="E48" s="13"/>
      <c r="F48" s="13"/>
    </row>
  </sheetData>
  <mergeCells count="5">
    <mergeCell ref="A36:F36"/>
    <mergeCell ref="A1:F1"/>
    <mergeCell ref="A23:F23"/>
    <mergeCell ref="A3:F3"/>
    <mergeCell ref="A43:F43"/>
  </mergeCells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Income Statement</vt:lpstr>
      <vt:lpstr>Balance Sheet</vt:lpstr>
      <vt:lpstr>Cash Flow Statement</vt:lpstr>
      <vt:lpstr>Key Ratios</vt:lpstr>
      <vt:lpstr>DCF Model</vt:lpstr>
      <vt:lpstr>PE Ratio 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Debjit Mukherjee</cp:lastModifiedBy>
  <cp:revision>0</cp:revision>
  <dcterms:created xsi:type="dcterms:W3CDTF">2026-03-09T06:11:47Z</dcterms:created>
  <dcterms:modified xsi:type="dcterms:W3CDTF">2026-07-05T04:56:12Z</dcterms:modified>
  <dc:language>en-US</dc:language>
</cp:coreProperties>
</file>