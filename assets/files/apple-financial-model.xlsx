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Key Ratios" sheetId="4" state="visible" r:id="rId4"/>
    <sheet xmlns:r="http://schemas.openxmlformats.org/officeDocument/2006/relationships" name="Valuation Summary" sheetId="5" state="visible" r:id="rId5"/>
    <sheet xmlns:r="http://schemas.openxmlformats.org/officeDocument/2006/relationships" name="DCF Model" sheetId="6" state="visible" r:id="rId6"/>
    <sheet xmlns:r="http://schemas.openxmlformats.org/officeDocument/2006/relationships" name="PE Ratio Analysis" sheetId="7" state="visible" r:id="rId7"/>
  </sheets>
  <definedNames>
    <definedName name="_xlnm.Print_Area" localSheetId="0">'Income Statement'!$A$1:$H$39</definedName>
    <definedName name="_xlnm.Print_Area" localSheetId="1">'Balance Sheet'!$A$1:$F$46</definedName>
    <definedName name="_xlnm.Print_Area" localSheetId="2">'Cash Flow Statement'!$A$1:$I$49</definedName>
    <definedName name="_xlnm.Print_Area" localSheetId="3">'Key Ratios'!$A$1:$F$42</definedName>
    <definedName name="_xlnm.Print_Area" localSheetId="4">'Valuation Summary'!$A$1:$E$28</definedName>
    <definedName name="_xlnm.Print_Area" localSheetId="5">'DCF Model'!$A$1:$H$99</definedName>
    <definedName name="_xlnm.Print_Area" localSheetId="6">'PE Ratio Analysis'!$A$1:$F$48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3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color rgb="FF1F1F1F"/>
      <sz val="10"/>
    </font>
    <font>
      <name val="Arial"/>
      <family val="2"/>
      <color rgb="FF0000FF"/>
      <sz val="10"/>
    </font>
    <font>
      <name val="Arial"/>
      <family val="2"/>
      <b val="1"/>
      <color rgb="FF1D1D1F"/>
      <sz val="10"/>
    </font>
    <font>
      <name val="Arial"/>
      <family val="2"/>
      <color rgb="FFFFFFFF"/>
      <sz val="10"/>
    </font>
    <font>
      <name val="Arial"/>
      <family val="2"/>
      <color rgb="FF008000"/>
      <sz val="10"/>
    </font>
    <font>
      <name val="Arial"/>
      <family val="2"/>
      <b val="1"/>
      <color rgb="FF1F1F1F"/>
      <sz val="10"/>
    </font>
    <font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FF1D1D1F"/>
        <bgColor rgb="FF1F1F1F"/>
      </patternFill>
    </fill>
    <fill>
      <patternFill patternType="solid">
        <fgColor rgb="FFF5F5F7"/>
        <bgColor rgb="FFFFFFFF"/>
      </patternFill>
    </fill>
    <fill>
      <patternFill patternType="solid">
        <fgColor rgb="FFE8E8ED"/>
        <bgColor rgb="FFDDDDDD"/>
      </patternFill>
    </fill>
    <fill>
      <patternFill patternType="solid">
        <fgColor rgb="FF48484A"/>
        <bgColor rgb="FF666699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1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0071E3"/>
      </top>
      <bottom style="thin">
        <color rgb="FF0071E3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0071E3"/>
      </top>
      <bottom style="thin">
        <color rgb="FF0071E3"/>
      </bottom>
      <diagonal/>
    </border>
    <border>
      <left/>
      <right style="thin">
        <color rgb="FFDDDDDD"/>
      </right>
      <top style="thin">
        <color rgb="FF0071E3"/>
      </top>
      <bottom style="thin">
        <color rgb="FF0071E3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0071E3"/>
      </top>
      <bottom/>
      <diagonal/>
    </border>
    <border>
      <left/>
      <right style="thin">
        <color rgb="FFDDDDDD"/>
      </right>
      <top style="thin">
        <color rgb="FF0071E3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3" fontId="5" fillId="0" borderId="1" pivotButton="0" quotePrefix="0" xfId="0"/>
    <xf numFmtId="0" fontId="4" fillId="3" borderId="1" pivotButton="0" quotePrefix="0" xfId="0"/>
    <xf numFmtId="3" fontId="5" fillId="3" borderId="1" pivotButton="0" quotePrefix="0" xfId="0"/>
    <xf numFmtId="0" fontId="6" fillId="4" borderId="2" pivotButton="0" quotePrefix="0" xfId="0"/>
    <xf numFmtId="3" fontId="6" fillId="4" borderId="2" pivotButton="0" quotePrefix="0" xfId="0"/>
    <xf numFmtId="0" fontId="3" fillId="5" borderId="1" pivotButton="0" quotePrefix="0" xfId="0"/>
    <xf numFmtId="0" fontId="7" fillId="5" borderId="1" pivotButton="0" quotePrefix="0" xfId="0"/>
    <xf numFmtId="3" fontId="0" fillId="0" borderId="0" pivotButton="0" quotePrefix="0" xfId="0"/>
    <xf numFmtId="10" fontId="4" fillId="3" borderId="1" pivotButton="0" quotePrefix="0" xfId="0"/>
    <xf numFmtId="164" fontId="4" fillId="3" borderId="1" pivotButton="0" quotePrefix="0" xfId="0"/>
    <xf numFmtId="0" fontId="5" fillId="0" borderId="1" pivotButton="0" quotePrefix="0" xfId="0"/>
    <xf numFmtId="10" fontId="5" fillId="0" borderId="1" pivotButton="0" quotePrefix="0" xfId="0"/>
    <xf numFmtId="10" fontId="5" fillId="3" borderId="1" pivotButton="0" quotePrefix="0" xfId="0"/>
    <xf numFmtId="0" fontId="5" fillId="3" borderId="1" pivotButton="0" quotePrefix="0" xfId="0"/>
    <xf numFmtId="3" fontId="4" fillId="3" borderId="1" pivotButton="0" quotePrefix="0" xfId="0"/>
    <xf numFmtId="3" fontId="4" fillId="0" borderId="1" pivotButton="0" quotePrefix="0" xfId="0"/>
    <xf numFmtId="10" fontId="8" fillId="3" borderId="1" pivotButton="0" quotePrefix="0" xfId="0"/>
    <xf numFmtId="10" fontId="8" fillId="0" borderId="1" pivotButton="0" quotePrefix="0" xfId="0"/>
    <xf numFmtId="0" fontId="8" fillId="0" borderId="1" pivotButton="0" quotePrefix="0" xfId="0"/>
    <xf numFmtId="0" fontId="8" fillId="3" borderId="1" pivotButton="0" quotePrefix="0" xfId="0"/>
    <xf numFmtId="3" fontId="8" fillId="0" borderId="1" pivotButton="0" quotePrefix="0" xfId="0"/>
    <xf numFmtId="3" fontId="8" fillId="3" borderId="1" pivotButton="0" quotePrefix="0" xfId="0"/>
    <xf numFmtId="0" fontId="2" fillId="2" borderId="1" pivotButton="0" quotePrefix="0" xfId="0"/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10" fontId="4" fillId="0" borderId="1" pivotButton="0" quotePrefix="0" xfId="0"/>
    <xf numFmtId="9" fontId="5" fillId="3" borderId="1" pivotButton="0" quotePrefix="0" xfId="0"/>
    <xf numFmtId="9" fontId="5" fillId="0" borderId="1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9" fillId="3" borderId="1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4" fontId="0" fillId="0" borderId="0" pivotButton="0" quotePrefix="0" xfId="0"/>
    <xf numFmtId="4" fontId="6" fillId="4" borderId="7" pivotButton="0" quotePrefix="0" xfId="0"/>
    <xf numFmtId="2" fontId="5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10" fillId="6" borderId="0" pivotButton="0" quotePrefix="0" xfId="0"/>
    <xf numFmtId="0" fontId="11" fillId="7" borderId="0" pivotButton="0" quotePrefix="0" xfId="0"/>
    <xf numFmtId="2" fontId="0" fillId="0" borderId="0" pivotButton="0" quotePrefix="0" xfId="0"/>
    <xf numFmtId="0" fontId="12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7"/>
      <rgbColor rgb="FFE8E8ED"/>
      <rgbColor rgb="FF660066"/>
      <rgbColor rgb="FFFF8080"/>
      <rgbColor rgb="FF0071E3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D1D1F"/>
      <rgbColor rgb="FF993300"/>
      <rgbColor rgb="FF993366"/>
      <rgbColor rgb="FF48484A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D1D1F"/>
    <outlinePr summaryBelow="1" summaryRight="1"/>
    <pageSetUpPr fitToPage="1"/>
  </sheetPr>
  <dimension ref="A1:H39"/>
  <sheetViews>
    <sheetView showGridLines="0" tabSelected="1" zoomScale="107" zoomScaleNormal="100" workbookViewId="0">
      <selection activeCell="A1" sqref="A1:F1"/>
    </sheetView>
  </sheetViews>
  <sheetFormatPr baseColWidth="10" defaultColWidth="8.83203125" defaultRowHeight="15"/>
  <cols>
    <col width="46" customWidth="1" min="1" max="1"/>
    <col width="13" customWidth="1" min="2" max="5"/>
    <col width="15.6640625" customWidth="1" min="6" max="6"/>
    <col width="13" customWidth="1" min="7" max="7"/>
    <col width="9.1640625" bestFit="1" customWidth="1" min="8" max="8"/>
  </cols>
  <sheetData>
    <row r="1" ht="24" customHeight="1">
      <c r="A1" s="38" t="inlineStr">
        <is>
          <t>Apple Inc. - Income Statement (USD Millions)</t>
        </is>
      </c>
      <c r="B1" s="39" t="n"/>
      <c r="C1" s="39" t="n"/>
      <c r="D1" s="39" t="n"/>
      <c r="E1" s="39" t="n"/>
      <c r="F1" s="40" t="n"/>
      <c r="G1" s="1" t="n"/>
    </row>
    <row r="2" ht="18" customHeight="1">
      <c r="A2" s="2" t="inlineStr">
        <is>
          <t>Fiscal Year Ending September</t>
        </is>
      </c>
      <c r="B2" s="3" t="inlineStr">
        <is>
          <t>FY 2021</t>
        </is>
      </c>
      <c r="C2" s="3" t="inlineStr">
        <is>
          <t>FY 2022</t>
        </is>
      </c>
      <c r="D2" s="3" t="inlineStr">
        <is>
          <t>FY 2023</t>
        </is>
      </c>
      <c r="E2" s="3" t="inlineStr">
        <is>
          <t>FY 2024</t>
        </is>
      </c>
      <c r="F2" s="3" t="inlineStr">
        <is>
          <t>FY 2025 (A)</t>
        </is>
      </c>
    </row>
    <row r="3" ht="15" customHeight="1">
      <c r="A3" s="4" t="n"/>
      <c r="B3" s="4" t="n"/>
      <c r="C3" s="4" t="n"/>
      <c r="D3" s="4" t="n"/>
      <c r="E3" s="4" t="n"/>
      <c r="F3" s="4" t="n"/>
    </row>
    <row r="4" ht="15" customHeight="1">
      <c r="A4" s="5" t="inlineStr">
        <is>
          <t>Revenue</t>
        </is>
      </c>
      <c r="B4" s="5" t="n"/>
      <c r="C4" s="5" t="n"/>
      <c r="D4" s="5" t="n"/>
      <c r="E4" s="5" t="n"/>
      <c r="F4" s="5" t="n"/>
    </row>
    <row r="5" ht="15" customHeight="1">
      <c r="A5" s="6" t="inlineStr">
        <is>
          <t>Products Revenue</t>
        </is>
      </c>
      <c r="B5" s="7" t="n">
        <v>297392</v>
      </c>
      <c r="C5" s="7" t="n">
        <v>316199</v>
      </c>
      <c r="D5" s="7" t="n">
        <v>298085</v>
      </c>
      <c r="E5" s="7" t="n">
        <v>301035</v>
      </c>
      <c r="F5" s="7" t="n">
        <v>307003</v>
      </c>
    </row>
    <row r="6" ht="15" customHeight="1">
      <c r="A6" s="8" t="inlineStr">
        <is>
          <t>Services Revenue</t>
        </is>
      </c>
      <c r="B6" s="9" t="n">
        <v>68425</v>
      </c>
      <c r="C6" s="9" t="n">
        <v>78129</v>
      </c>
      <c r="D6" s="9" t="n">
        <v>85200</v>
      </c>
      <c r="E6" s="9" t="n">
        <v>90000</v>
      </c>
      <c r="F6" s="9" t="n">
        <v>109158</v>
      </c>
    </row>
    <row r="7" ht="15" customHeight="1">
      <c r="A7" s="10" t="inlineStr">
        <is>
          <t>Total Net Sales</t>
        </is>
      </c>
      <c r="B7" s="11">
        <f>B5+B6</f>
        <v/>
      </c>
      <c r="C7" s="11">
        <f>C5+C6</f>
        <v/>
      </c>
      <c r="D7" s="11">
        <f>D5+D6</f>
        <v/>
      </c>
      <c r="E7" s="11">
        <f>E5+E6</f>
        <v/>
      </c>
      <c r="F7" s="11">
        <f>F5+F6</f>
        <v/>
      </c>
    </row>
    <row r="8" ht="15" customHeight="1">
      <c r="A8" s="4" t="n"/>
      <c r="B8" s="4" t="n"/>
      <c r="C8" s="4" t="n"/>
      <c r="D8" s="4" t="n"/>
      <c r="E8" s="4" t="n"/>
      <c r="F8" s="4" t="n"/>
    </row>
    <row r="9" ht="15" customHeight="1">
      <c r="A9" s="12" t="inlineStr">
        <is>
          <t>Cost of Sales</t>
        </is>
      </c>
      <c r="B9" s="13" t="n"/>
      <c r="C9" s="13" t="n"/>
      <c r="D9" s="13" t="n"/>
      <c r="E9" s="13" t="n"/>
      <c r="F9" s="13" t="n"/>
    </row>
    <row r="10" ht="15" customHeight="1">
      <c r="A10" s="6" t="inlineStr">
        <is>
          <t>Products Cost</t>
        </is>
      </c>
      <c r="B10" s="7" t="n">
        <v>192266</v>
      </c>
      <c r="C10" s="7" t="n">
        <v>201471</v>
      </c>
      <c r="D10" s="7" t="n">
        <v>189282</v>
      </c>
      <c r="E10" s="7" t="n">
        <v>189899</v>
      </c>
      <c r="F10" s="7" t="n">
        <v>193671</v>
      </c>
    </row>
    <row r="11" ht="15" customHeight="1">
      <c r="A11" s="8" t="inlineStr">
        <is>
          <t>Services Cost</t>
        </is>
      </c>
      <c r="B11" s="9" t="n">
        <v>20715</v>
      </c>
      <c r="C11" s="9" t="n">
        <v>22084</v>
      </c>
      <c r="D11" s="9" t="n">
        <v>24855</v>
      </c>
      <c r="E11" s="9" t="n">
        <v>20451</v>
      </c>
      <c r="F11" s="9" t="n">
        <v>27290</v>
      </c>
    </row>
    <row r="12" ht="15" customHeight="1">
      <c r="A12" s="10" t="inlineStr">
        <is>
          <t>Total Cost of Sales</t>
        </is>
      </c>
      <c r="B12" s="11">
        <f>B10+B11</f>
        <v/>
      </c>
      <c r="C12" s="11">
        <f>C10+C11</f>
        <v/>
      </c>
      <c r="D12" s="11">
        <f>D10+D11</f>
        <v/>
      </c>
      <c r="E12" s="11">
        <f>E10+E11</f>
        <v/>
      </c>
      <c r="F12" s="11">
        <f>F10+F11</f>
        <v/>
      </c>
    </row>
    <row r="13" ht="15" customHeight="1">
      <c r="A13" s="4" t="n"/>
      <c r="B13" s="4" t="n"/>
      <c r="C13" s="4" t="n"/>
      <c r="D13" s="4" t="n"/>
      <c r="E13" s="4" t="n"/>
      <c r="F13" s="4" t="n"/>
    </row>
    <row r="14" ht="15" customHeight="1">
      <c r="A14" s="10" t="inlineStr">
        <is>
          <t>Gross Profit</t>
        </is>
      </c>
      <c r="B14" s="11">
        <f>B7-B12</f>
        <v/>
      </c>
      <c r="C14" s="11">
        <f>C7-C12</f>
        <v/>
      </c>
      <c r="D14" s="11">
        <f>D7-D12</f>
        <v/>
      </c>
      <c r="E14" s="11">
        <f>E7-E12</f>
        <v/>
      </c>
      <c r="F14" s="11">
        <f>F7-F12</f>
        <v/>
      </c>
      <c r="G14" s="14" t="n"/>
    </row>
    <row r="15" ht="15" customHeight="1">
      <c r="A15" s="8" t="inlineStr">
        <is>
          <t>Gross Margin %</t>
        </is>
      </c>
      <c r="B15" s="15">
        <f>B14/B7*100%</f>
        <v/>
      </c>
      <c r="C15" s="15">
        <f>C14/C7*100%</f>
        <v/>
      </c>
      <c r="D15" s="15">
        <f>D14/D7*100%</f>
        <v/>
      </c>
      <c r="E15" s="15">
        <f>E14/E7*100%</f>
        <v/>
      </c>
      <c r="F15" s="15">
        <f>F14/F7*100%</f>
        <v/>
      </c>
    </row>
    <row r="16" ht="15" customHeight="1">
      <c r="A16" s="4" t="n"/>
      <c r="B16" s="4" t="n"/>
      <c r="C16" s="4" t="n"/>
      <c r="D16" s="4" t="n"/>
      <c r="E16" s="4" t="n"/>
      <c r="F16" s="4" t="n"/>
    </row>
    <row r="17" ht="15" customHeight="1">
      <c r="A17" s="12" t="inlineStr">
        <is>
          <t>Operating Expenses</t>
        </is>
      </c>
      <c r="B17" s="13" t="n"/>
      <c r="C17" s="13" t="n"/>
      <c r="D17" s="13" t="n"/>
      <c r="E17" s="13" t="n"/>
      <c r="F17" s="13" t="n"/>
    </row>
    <row r="18" ht="15" customHeight="1">
      <c r="A18" s="6" t="inlineStr">
        <is>
          <t>Research &amp; Development</t>
        </is>
      </c>
      <c r="B18" s="7" t="n">
        <v>21914</v>
      </c>
      <c r="C18" s="7" t="n">
        <v>26251</v>
      </c>
      <c r="D18" s="7" t="n">
        <v>29915</v>
      </c>
      <c r="E18" s="7" t="n">
        <v>31370</v>
      </c>
      <c r="F18" s="7" t="n">
        <v>34550</v>
      </c>
    </row>
    <row r="19" ht="15" customHeight="1">
      <c r="A19" s="8" t="inlineStr">
        <is>
          <t>Selling, General &amp; Administrative</t>
        </is>
      </c>
      <c r="B19" s="9" t="n">
        <v>21973</v>
      </c>
      <c r="C19" s="9" t="n">
        <v>25094</v>
      </c>
      <c r="D19" s="9" t="n">
        <v>24932</v>
      </c>
      <c r="E19" s="9" t="n">
        <v>26097</v>
      </c>
      <c r="F19" s="9" t="n">
        <v>27601</v>
      </c>
    </row>
    <row r="20" ht="15" customHeight="1">
      <c r="A20" s="10" t="inlineStr">
        <is>
          <t>Total Operating Expenses</t>
        </is>
      </c>
      <c r="B20" s="11">
        <f>B18+B19</f>
        <v/>
      </c>
      <c r="C20" s="11">
        <f>C18+C19</f>
        <v/>
      </c>
      <c r="D20" s="11">
        <f>D18+D19</f>
        <v/>
      </c>
      <c r="E20" s="11">
        <f>E18+E19</f>
        <v/>
      </c>
      <c r="F20" s="11">
        <f>F18+F19</f>
        <v/>
      </c>
    </row>
    <row r="21" ht="15" customHeight="1">
      <c r="A21" s="4" t="n"/>
      <c r="B21" s="4" t="n"/>
      <c r="C21" s="4" t="n"/>
      <c r="D21" s="4" t="n"/>
      <c r="E21" s="4" t="n"/>
      <c r="F21" s="4" t="n"/>
    </row>
    <row r="22" ht="15" customHeight="1">
      <c r="A22" s="10" t="inlineStr">
        <is>
          <t>Operating Income</t>
        </is>
      </c>
      <c r="B22" s="11" t="n">
        <v>108949</v>
      </c>
      <c r="C22" s="11" t="n">
        <v>119437</v>
      </c>
      <c r="D22" s="11" t="n">
        <v>114301</v>
      </c>
      <c r="E22" s="11" t="n">
        <v>123218</v>
      </c>
      <c r="F22" s="11" t="n">
        <v>133049</v>
      </c>
    </row>
    <row r="23" ht="15" customHeight="1">
      <c r="A23" s="8" t="inlineStr">
        <is>
          <t>Operating Margin %</t>
        </is>
      </c>
      <c r="B23" s="16">
        <f>B22/B7</f>
        <v/>
      </c>
      <c r="C23" s="16">
        <f>C22/C7</f>
        <v/>
      </c>
      <c r="D23" s="16">
        <f>D22/D7</f>
        <v/>
      </c>
      <c r="E23" s="16">
        <f>E22/E7</f>
        <v/>
      </c>
      <c r="F23" s="16">
        <f>F22/F7</f>
        <v/>
      </c>
    </row>
    <row r="24" ht="15" customHeight="1">
      <c r="A24" s="4" t="n"/>
      <c r="B24" s="4" t="n"/>
      <c r="C24" s="4" t="n"/>
      <c r="D24" s="4" t="n"/>
      <c r="E24" s="4" t="n"/>
      <c r="F24" s="4" t="n"/>
    </row>
    <row r="25" ht="15" customHeight="1">
      <c r="A25" s="12" t="inlineStr">
        <is>
          <t>Other Income (Expense)</t>
        </is>
      </c>
      <c r="B25" s="13" t="n"/>
      <c r="C25" s="13" t="n"/>
      <c r="D25" s="13" t="n"/>
      <c r="E25" s="13" t="n"/>
      <c r="F25" s="13" t="n"/>
    </row>
    <row r="26" ht="15" customHeight="1">
      <c r="A26" s="6" t="inlineStr">
        <is>
          <t>Interest Income</t>
        </is>
      </c>
      <c r="B26" s="7" t="n">
        <v>2843</v>
      </c>
      <c r="C26" s="7" t="n">
        <v>2825</v>
      </c>
      <c r="D26" s="7" t="n">
        <v>3750</v>
      </c>
      <c r="E26" s="7" t="n">
        <v>3492</v>
      </c>
      <c r="F26" s="7" t="n">
        <v>3400</v>
      </c>
    </row>
    <row r="27" ht="15" customHeight="1">
      <c r="A27" s="8" t="inlineStr">
        <is>
          <t>Interest Expense</t>
        </is>
      </c>
      <c r="B27" s="9" t="n">
        <v>-2645</v>
      </c>
      <c r="C27" s="9" t="n">
        <v>-2931</v>
      </c>
      <c r="D27" s="9" t="n">
        <v>-3933</v>
      </c>
      <c r="E27" s="9" t="n">
        <v>-3803</v>
      </c>
      <c r="F27" s="9" t="n">
        <v>-3300</v>
      </c>
    </row>
    <row r="28" ht="15" customHeight="1">
      <c r="A28" s="6" t="inlineStr">
        <is>
          <t>Other Income, net</t>
        </is>
      </c>
      <c r="B28" s="17" t="n">
        <v>258</v>
      </c>
      <c r="C28" s="17" t="n">
        <v>228</v>
      </c>
      <c r="D28" s="17" t="n">
        <v>382</v>
      </c>
      <c r="E28" s="17" t="n">
        <v>269</v>
      </c>
      <c r="F28" s="17" t="n">
        <v>200</v>
      </c>
      <c r="H28" s="14" t="n"/>
    </row>
    <row r="29" ht="15" customHeight="1">
      <c r="A29" s="10" t="inlineStr">
        <is>
          <t>Total Other Income (Expense)</t>
        </is>
      </c>
      <c r="B29" s="11">
        <f>B26+B27+B28</f>
        <v/>
      </c>
      <c r="C29" s="11">
        <f>C26+C27+C28</f>
        <v/>
      </c>
      <c r="D29" s="11">
        <f>D26+D27+D28</f>
        <v/>
      </c>
      <c r="E29" s="11">
        <f>E26+E27+E28</f>
        <v/>
      </c>
      <c r="F29" s="11">
        <f>F26+F27+F28</f>
        <v/>
      </c>
    </row>
    <row r="30" ht="15" customHeight="1">
      <c r="A30" s="4" t="n"/>
      <c r="B30" s="4" t="n"/>
      <c r="C30" s="4" t="n"/>
      <c r="D30" s="4" t="n"/>
      <c r="E30" s="4" t="n"/>
      <c r="F30" s="4" t="n"/>
    </row>
    <row r="31" ht="15" customHeight="1">
      <c r="A31" s="10" t="inlineStr">
        <is>
          <t>Income Before Tax</t>
        </is>
      </c>
      <c r="B31" s="11" t="n">
        <v>109207</v>
      </c>
      <c r="C31" s="11" t="n">
        <v>119437</v>
      </c>
      <c r="D31" s="11" t="n">
        <v>114500</v>
      </c>
      <c r="E31" s="11" t="n">
        <v>123176</v>
      </c>
      <c r="F31" s="11" t="n">
        <v>133349</v>
      </c>
      <c r="G31" s="14" t="n"/>
      <c r="H31" s="46" t="n"/>
    </row>
    <row r="32" ht="15" customHeight="1">
      <c r="A32" s="8" t="inlineStr">
        <is>
          <t>Provision for Income Taxes</t>
        </is>
      </c>
      <c r="B32" s="9" t="n">
        <v>14527</v>
      </c>
      <c r="C32" s="9" t="n">
        <v>19300</v>
      </c>
      <c r="D32" s="9" t="n">
        <v>16741</v>
      </c>
      <c r="E32" s="9" t="n">
        <v>29440</v>
      </c>
      <c r="F32" s="9" t="n">
        <v>21339</v>
      </c>
    </row>
    <row r="33" ht="15" customHeight="1">
      <c r="A33" s="6" t="inlineStr">
        <is>
          <t>Effective Tax Rate %</t>
        </is>
      </c>
      <c r="B33" s="18">
        <f>B32/B31</f>
        <v/>
      </c>
      <c r="C33" s="18">
        <f>C32/C31</f>
        <v/>
      </c>
      <c r="D33" s="18">
        <f>D32/D31</f>
        <v/>
      </c>
      <c r="E33" s="18">
        <f>E32/E31</f>
        <v/>
      </c>
      <c r="F33" s="18">
        <f>F32/F31</f>
        <v/>
      </c>
    </row>
    <row r="34" ht="15" customHeight="1">
      <c r="A34" s="4" t="n"/>
      <c r="B34" s="4" t="n"/>
      <c r="C34" s="4" t="n"/>
      <c r="D34" s="4" t="n"/>
      <c r="E34" s="4" t="n"/>
      <c r="F34" s="4" t="n"/>
    </row>
    <row r="35" ht="15" customHeight="1">
      <c r="A35" s="10" t="inlineStr">
        <is>
          <t>Net Income</t>
        </is>
      </c>
      <c r="B35" s="11">
        <f>B31-B32</f>
        <v/>
      </c>
      <c r="C35" s="11">
        <f>C31-C32</f>
        <v/>
      </c>
      <c r="D35" s="11">
        <f>D31-D32</f>
        <v/>
      </c>
      <c r="E35" s="11">
        <f>E31-E32</f>
        <v/>
      </c>
      <c r="F35" s="11">
        <f>F31-F32</f>
        <v/>
      </c>
      <c r="G35" s="47" t="n"/>
    </row>
    <row r="36" ht="15" customHeight="1">
      <c r="A36" s="8" t="inlineStr">
        <is>
          <t>Net Income Margin %</t>
        </is>
      </c>
      <c r="B36" s="19">
        <f>B35/B7</f>
        <v/>
      </c>
      <c r="C36" s="19">
        <f>C35/C7</f>
        <v/>
      </c>
      <c r="D36" s="19">
        <f>D35/D7</f>
        <v/>
      </c>
      <c r="E36" s="19">
        <f>E35/E7</f>
        <v/>
      </c>
      <c r="F36" s="19">
        <f>F35/F7</f>
        <v/>
      </c>
    </row>
    <row r="37" ht="15" customHeight="1">
      <c r="A37" s="4" t="n"/>
      <c r="B37" s="4" t="n"/>
      <c r="C37" s="4" t="n"/>
      <c r="D37" s="4" t="n"/>
      <c r="E37" s="4" t="n"/>
      <c r="F37" s="4" t="n"/>
    </row>
    <row r="38" ht="15" customHeight="1">
      <c r="A38" s="8" t="inlineStr">
        <is>
          <t>Shares Outstanding (Diluted, Millions)</t>
        </is>
      </c>
      <c r="B38" s="9" t="n">
        <v>16865</v>
      </c>
      <c r="C38" s="9" t="n">
        <v>16325</v>
      </c>
      <c r="D38" s="9" t="n">
        <v>15812</v>
      </c>
      <c r="E38" s="9" t="n">
        <v>15204</v>
      </c>
      <c r="F38" s="9" t="n">
        <v>15016</v>
      </c>
    </row>
    <row r="39" ht="15" customHeight="1">
      <c r="A39" s="8" t="inlineStr">
        <is>
          <t>Earnings Per Share (Diluted)</t>
        </is>
      </c>
      <c r="B39" s="48">
        <f>B35/B38</f>
        <v/>
      </c>
      <c r="C39" s="48">
        <f>C35/C38</f>
        <v/>
      </c>
      <c r="D39" s="48">
        <f>D35/D38</f>
        <v/>
      </c>
      <c r="E39" s="48">
        <f>E35/E38</f>
        <v/>
      </c>
      <c r="F39" s="48">
        <f>F35/F38</f>
        <v/>
      </c>
    </row>
  </sheetData>
  <mergeCells count="1">
    <mergeCell ref="A1:F1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2.xml><?xml version="1.0" encoding="utf-8"?>
<worksheet xmlns="http://schemas.openxmlformats.org/spreadsheetml/2006/main">
  <sheetPr>
    <tabColor rgb="FF1D1D1F"/>
    <outlinePr summaryBelow="1" summaryRight="1"/>
    <pageSetUpPr fitToPage="1"/>
  </sheetPr>
  <dimension ref="A1:F46"/>
  <sheetViews>
    <sheetView showGridLines="0" zoomScaleNormal="100" workbookViewId="0">
      <selection activeCell="A1" sqref="A1:F1"/>
    </sheetView>
  </sheetViews>
  <sheetFormatPr baseColWidth="10" defaultColWidth="8.83203125" defaultRowHeight="15"/>
  <cols>
    <col width="46" customWidth="1" min="1" max="1"/>
    <col width="13" customWidth="1" min="2" max="5"/>
    <col width="15.6640625" customWidth="1" min="6" max="6"/>
  </cols>
  <sheetData>
    <row r="1" ht="24" customHeight="1">
      <c r="A1" s="38" t="inlineStr">
        <is>
          <t>Apple Inc. - Balance Sheet (USD Millions)</t>
        </is>
      </c>
      <c r="B1" s="39" t="n"/>
      <c r="C1" s="39" t="n"/>
      <c r="D1" s="39" t="n"/>
      <c r="E1" s="39" t="n"/>
      <c r="F1" s="40" t="n"/>
    </row>
    <row r="2" ht="18" customHeight="1">
      <c r="A2" s="2" t="inlineStr">
        <is>
          <t>Fiscal Year Ending September</t>
        </is>
      </c>
      <c r="B2" s="3" t="inlineStr">
        <is>
          <t>FY 2021</t>
        </is>
      </c>
      <c r="C2" s="3" t="inlineStr">
        <is>
          <t>FY 2022</t>
        </is>
      </c>
      <c r="D2" s="3" t="inlineStr">
        <is>
          <t>FY 2023</t>
        </is>
      </c>
      <c r="E2" s="3" t="inlineStr">
        <is>
          <t>FY 2024</t>
        </is>
      </c>
      <c r="F2" s="3" t="inlineStr">
        <is>
          <t>FY 2025 (A)</t>
        </is>
      </c>
    </row>
    <row r="3" ht="15" customHeight="1">
      <c r="A3" s="4" t="n"/>
      <c r="B3" s="4" t="n"/>
      <c r="C3" s="4" t="n"/>
      <c r="D3" s="4" t="n"/>
      <c r="E3" s="4" t="n"/>
      <c r="F3" s="4" t="n"/>
    </row>
    <row r="4" ht="15" customHeight="1">
      <c r="A4" s="5" t="inlineStr">
        <is>
          <t>ASSETS</t>
        </is>
      </c>
      <c r="B4" s="5" t="n"/>
      <c r="C4" s="5" t="n"/>
      <c r="D4" s="5" t="n"/>
      <c r="E4" s="5" t="n"/>
      <c r="F4" s="5" t="n"/>
    </row>
    <row r="5" ht="15" customHeight="1">
      <c r="A5" s="12" t="inlineStr">
        <is>
          <t>Current Assets</t>
        </is>
      </c>
      <c r="B5" s="13" t="n"/>
      <c r="C5" s="13" t="n"/>
      <c r="D5" s="13" t="n"/>
      <c r="E5" s="13" t="n"/>
      <c r="F5" s="13" t="n"/>
    </row>
    <row r="6" ht="15" customHeight="1">
      <c r="A6" s="6" t="inlineStr">
        <is>
          <t>Cash and Cash Equivalents</t>
        </is>
      </c>
      <c r="B6" s="7" t="n">
        <v>34940</v>
      </c>
      <c r="C6" s="7" t="n">
        <v>23646</v>
      </c>
      <c r="D6" s="7" t="n">
        <v>29965</v>
      </c>
      <c r="E6" s="7" t="n">
        <v>29943</v>
      </c>
      <c r="F6" s="7" t="n">
        <v>35934</v>
      </c>
    </row>
    <row r="7" ht="15" customHeight="1">
      <c r="A7" s="8" t="inlineStr">
        <is>
          <t>Marketable Securities</t>
        </is>
      </c>
      <c r="B7" s="9" t="n">
        <v>27699</v>
      </c>
      <c r="C7" s="9" t="n">
        <v>24658</v>
      </c>
      <c r="D7" s="9" t="n">
        <v>31590</v>
      </c>
      <c r="E7" s="9" t="n">
        <v>35228</v>
      </c>
      <c r="F7" s="9" t="n">
        <v>18763</v>
      </c>
    </row>
    <row r="8" ht="15" customHeight="1">
      <c r="A8" s="6" t="inlineStr">
        <is>
          <t>Accounts Receivable, net</t>
        </is>
      </c>
      <c r="B8" s="7" t="n">
        <v>26278</v>
      </c>
      <c r="C8" s="7" t="n">
        <v>28184</v>
      </c>
      <c r="D8" s="7" t="n">
        <v>29508</v>
      </c>
      <c r="E8" s="7" t="n">
        <v>33410</v>
      </c>
      <c r="F8" s="7" t="n">
        <v>35000</v>
      </c>
    </row>
    <row r="9" ht="15" customHeight="1">
      <c r="A9" s="8" t="inlineStr">
        <is>
          <t>Inventories</t>
        </is>
      </c>
      <c r="B9" s="9" t="n">
        <v>6580</v>
      </c>
      <c r="C9" s="9" t="n">
        <v>4946</v>
      </c>
      <c r="D9" s="9" t="n">
        <v>6331</v>
      </c>
      <c r="E9" s="9" t="n">
        <v>6511</v>
      </c>
      <c r="F9" s="9" t="n">
        <v>6269</v>
      </c>
    </row>
    <row r="10" ht="15" customHeight="1">
      <c r="A10" s="6" t="inlineStr">
        <is>
          <t>Vendor Non-Trade Receivables</t>
        </is>
      </c>
      <c r="B10" s="7" t="n">
        <v>25228</v>
      </c>
      <c r="C10" s="7" t="n">
        <v>32748</v>
      </c>
      <c r="D10" s="7" t="n">
        <v>31477</v>
      </c>
      <c r="E10" s="7" t="n">
        <v>32833</v>
      </c>
      <c r="F10" s="7" t="n">
        <v>34000</v>
      </c>
    </row>
    <row r="11" ht="15" customHeight="1">
      <c r="A11" s="8" t="inlineStr">
        <is>
          <t>Other Current Assets</t>
        </is>
      </c>
      <c r="B11" s="9" t="n">
        <v>14111</v>
      </c>
      <c r="C11" s="9" t="n">
        <v>21223</v>
      </c>
      <c r="D11" s="9" t="n">
        <v>14695</v>
      </c>
      <c r="E11" s="9" t="n">
        <v>15269</v>
      </c>
      <c r="F11" s="9" t="n">
        <v>16000</v>
      </c>
    </row>
    <row r="12" ht="15" customHeight="1">
      <c r="A12" s="10" t="inlineStr">
        <is>
          <t>Total Current Assets</t>
        </is>
      </c>
      <c r="B12" s="11">
        <f>SUM(B6:B11)</f>
        <v/>
      </c>
      <c r="C12" s="11">
        <f>SUM(C6:C11)</f>
        <v/>
      </c>
      <c r="D12" s="11">
        <f>SUM(D6:D11)</f>
        <v/>
      </c>
      <c r="E12" s="11">
        <f>SUM(E6:E11)</f>
        <v/>
      </c>
      <c r="F12" s="11">
        <f>SUM(F6:F11)</f>
        <v/>
      </c>
    </row>
    <row r="13" ht="15" customHeight="1">
      <c r="A13" s="4" t="n"/>
      <c r="B13" s="4" t="n"/>
      <c r="C13" s="4" t="n"/>
      <c r="D13" s="4" t="n"/>
      <c r="E13" s="4" t="n"/>
      <c r="F13" s="4" t="n"/>
    </row>
    <row r="14" ht="15" customHeight="1">
      <c r="A14" s="12" t="inlineStr">
        <is>
          <t>Non-Current Assets</t>
        </is>
      </c>
      <c r="B14" s="13" t="n"/>
      <c r="C14" s="13" t="n"/>
      <c r="D14" s="13" t="n"/>
      <c r="E14" s="13" t="n"/>
      <c r="F14" s="13" t="n"/>
    </row>
    <row r="15" ht="15" customHeight="1">
      <c r="A15" s="6" t="inlineStr">
        <is>
          <t>Marketable Securities (Long-term)</t>
        </is>
      </c>
      <c r="B15" s="7" t="n">
        <v>127877</v>
      </c>
      <c r="C15" s="7" t="n">
        <v>120805</v>
      </c>
      <c r="D15" s="7" t="n">
        <v>100544</v>
      </c>
      <c r="E15" s="7" t="n">
        <v>91477</v>
      </c>
      <c r="F15" s="7" t="n">
        <v>77723</v>
      </c>
    </row>
    <row r="16" ht="15" customHeight="1">
      <c r="A16" s="8" t="inlineStr">
        <is>
          <t>Property, Plant &amp; Equipment, net</t>
        </is>
      </c>
      <c r="B16" s="9" t="n">
        <v>39440</v>
      </c>
      <c r="C16" s="9" t="n">
        <v>42117</v>
      </c>
      <c r="D16" s="9" t="n">
        <v>43715</v>
      </c>
      <c r="E16" s="9" t="n">
        <v>45680</v>
      </c>
      <c r="F16" s="9" t="n">
        <v>47500</v>
      </c>
    </row>
    <row r="17" ht="15" customHeight="1">
      <c r="A17" s="6" t="inlineStr">
        <is>
          <t>Other Non-Current Assets</t>
        </is>
      </c>
      <c r="B17" s="7" t="n">
        <v>48849</v>
      </c>
      <c r="C17" s="7" t="n">
        <v>54428</v>
      </c>
      <c r="D17" s="7" t="n">
        <v>64758</v>
      </c>
      <c r="E17" s="7" t="n">
        <v>74629</v>
      </c>
      <c r="F17" s="7" t="n">
        <v>80000</v>
      </c>
    </row>
    <row r="18" ht="15" customHeight="1">
      <c r="A18" s="10" t="inlineStr">
        <is>
          <t>Total Non-Current Assets</t>
        </is>
      </c>
      <c r="B18" s="11">
        <f>SUM(B15:B17)</f>
        <v/>
      </c>
      <c r="C18" s="11">
        <f>SUM(C15:C17)</f>
        <v/>
      </c>
      <c r="D18" s="11">
        <f>SUM(D15:D17)</f>
        <v/>
      </c>
      <c r="E18" s="11">
        <f>SUM(E15:E17)</f>
        <v/>
      </c>
      <c r="F18" s="11">
        <f>SUM(F15:F17)</f>
        <v/>
      </c>
    </row>
    <row r="19" ht="15" customHeight="1">
      <c r="A19" s="4" t="n"/>
      <c r="B19" s="4" t="n"/>
      <c r="C19" s="4" t="n"/>
      <c r="D19" s="4" t="n"/>
      <c r="E19" s="4" t="n"/>
      <c r="F19" s="4" t="n"/>
    </row>
    <row r="20" ht="15" customHeight="1">
      <c r="A20" s="10" t="inlineStr">
        <is>
          <t>Total Assets</t>
        </is>
      </c>
      <c r="B20" s="11">
        <f>B12+B18</f>
        <v/>
      </c>
      <c r="C20" s="11">
        <f>C12+C18</f>
        <v/>
      </c>
      <c r="D20" s="11">
        <f>D12+D18</f>
        <v/>
      </c>
      <c r="E20" s="11">
        <f>E12+E18</f>
        <v/>
      </c>
      <c r="F20" s="11">
        <f>F12+F18</f>
        <v/>
      </c>
    </row>
    <row r="21" ht="15" customHeight="1">
      <c r="A21" s="4" t="n"/>
      <c r="B21" s="4" t="n"/>
      <c r="C21" s="4" t="n"/>
      <c r="D21" s="4" t="n"/>
      <c r="E21" s="4" t="n"/>
      <c r="F21" s="4" t="n"/>
    </row>
    <row r="22" ht="15" customHeight="1">
      <c r="A22" s="12" t="inlineStr">
        <is>
          <t>LIABILITIES &amp; SHAREHOLDERS' EQUITY</t>
        </is>
      </c>
      <c r="B22" s="13" t="n"/>
      <c r="C22" s="13" t="n"/>
      <c r="D22" s="13" t="n"/>
      <c r="E22" s="13" t="n"/>
      <c r="F22" s="13" t="n"/>
    </row>
    <row r="23" ht="15" customHeight="1">
      <c r="A23" s="12" t="inlineStr">
        <is>
          <t>Current Liabilities</t>
        </is>
      </c>
      <c r="B23" s="13" t="n"/>
      <c r="C23" s="13" t="n"/>
      <c r="D23" s="13" t="n"/>
      <c r="E23" s="13" t="n"/>
      <c r="F23" s="13" t="n"/>
    </row>
    <row r="24" ht="15" customHeight="1">
      <c r="A24" s="6" t="inlineStr">
        <is>
          <t>Accounts Payable</t>
        </is>
      </c>
      <c r="B24" s="7" t="n">
        <v>54763</v>
      </c>
      <c r="C24" s="7" t="n">
        <v>64115</v>
      </c>
      <c r="D24" s="7" t="n">
        <v>62611</v>
      </c>
      <c r="E24" s="7" t="n">
        <v>68960</v>
      </c>
      <c r="F24" s="7" t="n">
        <v>70000</v>
      </c>
    </row>
    <row r="25" ht="15" customHeight="1">
      <c r="A25" s="8" t="inlineStr">
        <is>
          <t>Other Current Liabilities</t>
        </is>
      </c>
      <c r="B25" s="9" t="n">
        <v>47493</v>
      </c>
      <c r="C25" s="9" t="n">
        <v>60845</v>
      </c>
      <c r="D25" s="9" t="n">
        <v>58829</v>
      </c>
      <c r="E25" s="9" t="n">
        <v>78304</v>
      </c>
      <c r="F25" s="9" t="n">
        <v>80000</v>
      </c>
    </row>
    <row r="26" ht="15" customHeight="1">
      <c r="A26" s="6" t="inlineStr">
        <is>
          <t>Deferred Revenue</t>
        </is>
      </c>
      <c r="B26" s="7" t="n">
        <v>7612</v>
      </c>
      <c r="C26" s="7" t="n">
        <v>7912</v>
      </c>
      <c r="D26" s="7" t="n">
        <v>8061</v>
      </c>
      <c r="E26" s="7" t="n">
        <v>8249</v>
      </c>
      <c r="F26" s="7" t="n">
        <v>8976</v>
      </c>
    </row>
    <row r="27" ht="15" customHeight="1">
      <c r="A27" s="8" t="inlineStr">
        <is>
          <t>Commercial Paper</t>
        </is>
      </c>
      <c r="B27" s="9" t="n">
        <v>6000</v>
      </c>
      <c r="C27" s="9" t="n">
        <v>9982</v>
      </c>
      <c r="D27" s="9" t="n">
        <v>5985</v>
      </c>
      <c r="E27" s="9" t="n">
        <v>9967</v>
      </c>
      <c r="F27" s="9" t="n">
        <v>8000</v>
      </c>
    </row>
    <row r="28" ht="15" customHeight="1">
      <c r="A28" s="6" t="inlineStr">
        <is>
          <t>Current Portion of Long-Term Debt</t>
        </is>
      </c>
      <c r="B28" s="7" t="n">
        <v>9613</v>
      </c>
      <c r="C28" s="7" t="n">
        <v>11128</v>
      </c>
      <c r="D28" s="7" t="n">
        <v>9822</v>
      </c>
      <c r="E28" s="7" t="n">
        <v>10912</v>
      </c>
      <c r="F28" s="7" t="n">
        <v>12400</v>
      </c>
    </row>
    <row r="29" ht="15" customHeight="1">
      <c r="A29" s="10" t="inlineStr">
        <is>
          <t>Total Current Liabilities</t>
        </is>
      </c>
      <c r="B29" s="11">
        <f>SUM(B24:B28)</f>
        <v/>
      </c>
      <c r="C29" s="11">
        <f>SUM(C24:C28)</f>
        <v/>
      </c>
      <c r="D29" s="11">
        <f>SUM(D24:D28)</f>
        <v/>
      </c>
      <c r="E29" s="11">
        <f>SUM(E24:E28)</f>
        <v/>
      </c>
      <c r="F29" s="11">
        <f>SUM(F24:F28)</f>
        <v/>
      </c>
    </row>
    <row r="30" ht="15" customHeight="1">
      <c r="A30" s="4" t="n"/>
      <c r="B30" s="4" t="n"/>
      <c r="C30" s="4" t="n"/>
      <c r="D30" s="4" t="n"/>
      <c r="E30" s="4" t="n"/>
      <c r="F30" s="4" t="n"/>
    </row>
    <row r="31" ht="15" customHeight="1">
      <c r="A31" s="12" t="inlineStr">
        <is>
          <t>Non-Current Liabilities</t>
        </is>
      </c>
      <c r="B31" s="13" t="n"/>
      <c r="C31" s="13" t="n"/>
      <c r="D31" s="13" t="n"/>
      <c r="E31" s="13" t="n"/>
      <c r="F31" s="13" t="n"/>
    </row>
    <row r="32" ht="15" customHeight="1">
      <c r="A32" s="6" t="inlineStr">
        <is>
          <t>Long-Term Debt</t>
        </is>
      </c>
      <c r="B32" s="7" t="n">
        <v>109106</v>
      </c>
      <c r="C32" s="7" t="n">
        <v>98959</v>
      </c>
      <c r="D32" s="7" t="n">
        <v>95281</v>
      </c>
      <c r="E32" s="7" t="n">
        <v>85750</v>
      </c>
      <c r="F32" s="7" t="n">
        <v>78900</v>
      </c>
    </row>
    <row r="33" ht="15" customHeight="1">
      <c r="A33" s="8" t="inlineStr">
        <is>
          <t>Other Non-Current Liabilities</t>
        </is>
      </c>
      <c r="B33" s="9" t="n">
        <v>53325</v>
      </c>
      <c r="C33" s="9" t="n">
        <v>49142</v>
      </c>
      <c r="D33" s="9" t="n">
        <v>49848</v>
      </c>
      <c r="E33" s="9" t="n">
        <v>45888</v>
      </c>
      <c r="F33" s="9" t="n">
        <v>44500</v>
      </c>
    </row>
    <row r="34" ht="15" customHeight="1">
      <c r="A34" s="10" t="inlineStr">
        <is>
          <t>Total Non-Current Liabilities</t>
        </is>
      </c>
      <c r="B34" s="11">
        <f>B32+B33</f>
        <v/>
      </c>
      <c r="C34" s="11">
        <f>C32+C33</f>
        <v/>
      </c>
      <c r="D34" s="11">
        <f>D32+D33</f>
        <v/>
      </c>
      <c r="E34" s="11">
        <f>E32+E33</f>
        <v/>
      </c>
      <c r="F34" s="11">
        <f>F32+F33</f>
        <v/>
      </c>
    </row>
    <row r="35" ht="15" customHeight="1">
      <c r="A35" s="4" t="n"/>
      <c r="B35" s="4" t="n"/>
      <c r="C35" s="4" t="n"/>
      <c r="D35" s="4" t="n"/>
      <c r="E35" s="4" t="n"/>
      <c r="F35" s="4" t="n"/>
    </row>
    <row r="36" ht="15" customHeight="1">
      <c r="A36" s="10" t="inlineStr">
        <is>
          <t>Total Liabilities</t>
        </is>
      </c>
      <c r="B36" s="11">
        <f>B29+B34</f>
        <v/>
      </c>
      <c r="C36" s="11">
        <f>C29+C34</f>
        <v/>
      </c>
      <c r="D36" s="11">
        <f>D29+D34</f>
        <v/>
      </c>
      <c r="E36" s="11">
        <f>E29+E34</f>
        <v/>
      </c>
      <c r="F36" s="11">
        <f>F29+F34</f>
        <v/>
      </c>
    </row>
    <row r="37" ht="15" customHeight="1">
      <c r="A37" s="4" t="n"/>
      <c r="B37" s="4" t="n"/>
      <c r="C37" s="4" t="n"/>
      <c r="D37" s="4" t="n"/>
      <c r="E37" s="4" t="n"/>
      <c r="F37" s="4" t="n"/>
    </row>
    <row r="38" ht="15" customHeight="1">
      <c r="A38" s="12" t="inlineStr">
        <is>
          <t>Shareholders' Equity</t>
        </is>
      </c>
      <c r="B38" s="13" t="n"/>
      <c r="C38" s="13" t="n"/>
      <c r="D38" s="13" t="n"/>
      <c r="E38" s="13" t="n"/>
      <c r="F38" s="13" t="n"/>
    </row>
    <row r="39" ht="15" customHeight="1">
      <c r="A39" s="6" t="inlineStr">
        <is>
          <t>Common Stock &amp; Additional Paid-In Capital</t>
        </is>
      </c>
      <c r="B39" s="7" t="n">
        <v>57365</v>
      </c>
      <c r="C39" s="7" t="n">
        <v>64849</v>
      </c>
      <c r="D39" s="7" t="n">
        <v>73812</v>
      </c>
      <c r="E39" s="7" t="n">
        <v>83276</v>
      </c>
      <c r="F39" s="7" t="n">
        <v>88711</v>
      </c>
    </row>
    <row r="40" ht="15" customHeight="1">
      <c r="A40" s="8" t="inlineStr">
        <is>
          <t>Retained Earnings</t>
        </is>
      </c>
      <c r="B40" s="9" t="n">
        <v>5562</v>
      </c>
      <c r="C40" s="9" t="n">
        <v>-3068</v>
      </c>
      <c r="D40" s="20" t="n">
        <v>-214</v>
      </c>
      <c r="E40" s="9" t="n">
        <v>-19154</v>
      </c>
      <c r="F40" s="9" t="n">
        <v>-14302</v>
      </c>
    </row>
    <row r="41" ht="15" customHeight="1">
      <c r="A41" s="6" t="inlineStr">
        <is>
          <t>Accumulated Other Comprehensive Income (Loss)</t>
        </is>
      </c>
      <c r="B41" s="17" t="n">
        <v>163</v>
      </c>
      <c r="C41" s="7" t="n">
        <v>-11109</v>
      </c>
      <c r="D41" s="7" t="n">
        <v>-11452</v>
      </c>
      <c r="E41" s="7" t="n">
        <v>-7172</v>
      </c>
      <c r="F41" s="7" t="n">
        <v>-7892</v>
      </c>
    </row>
    <row r="42" ht="15" customHeight="1">
      <c r="A42" s="10" t="inlineStr">
        <is>
          <t>Total Shareholders' Equity</t>
        </is>
      </c>
      <c r="B42" s="11">
        <f>SUM(B39:B41)</f>
        <v/>
      </c>
      <c r="C42" s="11">
        <f>SUM(C39:C41)</f>
        <v/>
      </c>
      <c r="D42" s="11">
        <f>SUM(D39:D41)</f>
        <v/>
      </c>
      <c r="E42" s="11">
        <f>SUM(E39:E41)</f>
        <v/>
      </c>
      <c r="F42" s="11">
        <f>SUM(F39:F41)</f>
        <v/>
      </c>
    </row>
    <row r="43" ht="15" customHeight="1">
      <c r="A43" s="4" t="n"/>
      <c r="B43" s="4" t="n"/>
      <c r="C43" s="4" t="n"/>
      <c r="D43" s="4" t="n"/>
      <c r="E43" s="4" t="n"/>
      <c r="F43" s="4" t="n"/>
    </row>
    <row r="44" ht="15" customHeight="1">
      <c r="A44" s="10" t="inlineStr">
        <is>
          <t>Total Liabilities &amp; Shareholders' Equity</t>
        </is>
      </c>
      <c r="B44" s="11">
        <f>B36+B42</f>
        <v/>
      </c>
      <c r="C44" s="11">
        <f>C36+C42</f>
        <v/>
      </c>
      <c r="D44" s="11">
        <f>D36+D42</f>
        <v/>
      </c>
      <c r="E44" s="11">
        <f>E36+E42</f>
        <v/>
      </c>
      <c r="F44" s="11">
        <f>F36+F42</f>
        <v/>
      </c>
    </row>
    <row r="45" ht="15" customHeight="1">
      <c r="A45" s="4" t="n"/>
      <c r="B45" s="4" t="n"/>
      <c r="C45" s="4" t="n"/>
      <c r="D45" s="4" t="n"/>
      <c r="E45" s="4" t="n"/>
      <c r="F45" s="4" t="n"/>
    </row>
    <row r="46" ht="15" customHeight="1">
      <c r="A46" s="8" t="inlineStr">
        <is>
          <t>Check (Should be 0)</t>
        </is>
      </c>
      <c r="B46" s="21">
        <f>B20-B44</f>
        <v/>
      </c>
      <c r="C46" s="8">
        <f>C20-C44</f>
        <v/>
      </c>
      <c r="D46" s="8">
        <f>D20-D44</f>
        <v/>
      </c>
      <c r="E46" s="8">
        <f>E20-E44</f>
        <v/>
      </c>
      <c r="F46" s="8">
        <f>F20-F44</f>
        <v/>
      </c>
    </row>
  </sheetData>
  <mergeCells count="1">
    <mergeCell ref="A1:F1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3.xml><?xml version="1.0" encoding="utf-8"?>
<worksheet xmlns="http://schemas.openxmlformats.org/spreadsheetml/2006/main">
  <sheetPr>
    <tabColor rgb="FF1D1D1F"/>
    <outlinePr summaryBelow="1" summaryRight="1"/>
    <pageSetUpPr fitToPage="1"/>
  </sheetPr>
  <dimension ref="A1:I49"/>
  <sheetViews>
    <sheetView showGridLines="0" zoomScale="125" zoomScaleNormal="125" workbookViewId="0">
      <selection activeCell="A1" sqref="A1:F1"/>
    </sheetView>
  </sheetViews>
  <sheetFormatPr baseColWidth="10" defaultColWidth="8.83203125" defaultRowHeight="15"/>
  <cols>
    <col width="46" customWidth="1" min="1" max="1"/>
    <col width="13" customWidth="1" min="2" max="5"/>
    <col width="15.6640625" customWidth="1" min="6" max="6"/>
  </cols>
  <sheetData>
    <row r="1" ht="24" customHeight="1">
      <c r="A1" s="38" t="inlineStr">
        <is>
          <t>Apple Inc. - Cash Flow Statement (USD Millions)</t>
        </is>
      </c>
      <c r="B1" s="39" t="n"/>
      <c r="C1" s="39" t="n"/>
      <c r="D1" s="39" t="n"/>
      <c r="E1" s="39" t="n"/>
      <c r="F1" s="40" t="n"/>
    </row>
    <row r="2" ht="18" customHeight="1">
      <c r="A2" s="2" t="inlineStr">
        <is>
          <t>Fiscal Year Ending September</t>
        </is>
      </c>
      <c r="B2" s="3" t="inlineStr">
        <is>
          <t>FY 2021</t>
        </is>
      </c>
      <c r="C2" s="3" t="inlineStr">
        <is>
          <t>FY 2022</t>
        </is>
      </c>
      <c r="D2" s="3" t="inlineStr">
        <is>
          <t>FY 2023</t>
        </is>
      </c>
      <c r="E2" s="3" t="inlineStr">
        <is>
          <t>FY 2024</t>
        </is>
      </c>
      <c r="F2" s="3" t="inlineStr">
        <is>
          <t>FY 2025 (A)</t>
        </is>
      </c>
    </row>
    <row r="3" ht="15" customHeight="1">
      <c r="A3" s="4" t="n"/>
      <c r="B3" s="4" t="n"/>
      <c r="C3" s="4" t="n"/>
      <c r="D3" s="4" t="n"/>
      <c r="E3" s="4" t="n"/>
      <c r="F3" s="4" t="n"/>
    </row>
    <row r="4" ht="15" customHeight="1">
      <c r="A4" s="5" t="inlineStr">
        <is>
          <t>OPERATING ACTIVITIES</t>
        </is>
      </c>
      <c r="B4" s="5" t="n"/>
      <c r="C4" s="5" t="n"/>
      <c r="D4" s="5" t="n"/>
      <c r="E4" s="5" t="n"/>
      <c r="F4" s="5" t="n"/>
    </row>
    <row r="5" ht="15" customHeight="1">
      <c r="A5" s="10" t="inlineStr">
        <is>
          <t>Net Income</t>
        </is>
      </c>
      <c r="B5" s="11" t="n">
        <v>94680</v>
      </c>
      <c r="C5" s="11" t="n">
        <v>99803</v>
      </c>
      <c r="D5" s="11" t="n">
        <v>96995</v>
      </c>
      <c r="E5" s="11" t="n">
        <v>93736</v>
      </c>
      <c r="F5" s="11" t="n">
        <v>112010</v>
      </c>
    </row>
    <row r="6" ht="15" customHeight="1">
      <c r="A6" s="10" t="inlineStr">
        <is>
          <t>Adjustments to reconcile net income:</t>
        </is>
      </c>
      <c r="B6" s="10" t="n"/>
      <c r="C6" s="10" t="n"/>
      <c r="D6" s="10" t="n"/>
      <c r="E6" s="10" t="n"/>
      <c r="F6" s="10" t="n"/>
    </row>
    <row r="7" ht="15" customHeight="1">
      <c r="A7" s="6" t="inlineStr">
        <is>
          <t>Depreciation &amp; Amortization</t>
        </is>
      </c>
      <c r="B7" s="7" t="n">
        <v>11284</v>
      </c>
      <c r="C7" s="7" t="n">
        <v>11104</v>
      </c>
      <c r="D7" s="7" t="n">
        <v>11519</v>
      </c>
      <c r="E7" s="7" t="n">
        <v>11445</v>
      </c>
      <c r="F7" s="7" t="n">
        <v>11500</v>
      </c>
    </row>
    <row r="8" ht="15" customHeight="1">
      <c r="A8" s="8" t="inlineStr">
        <is>
          <t>Share-Based Compensation</t>
        </is>
      </c>
      <c r="B8" s="9" t="n">
        <v>7906</v>
      </c>
      <c r="C8" s="9" t="n">
        <v>9038</v>
      </c>
      <c r="D8" s="9" t="n">
        <v>10833</v>
      </c>
      <c r="E8" s="9" t="n">
        <v>11688</v>
      </c>
      <c r="F8" s="9" t="n">
        <v>12500</v>
      </c>
    </row>
    <row r="9" ht="15" customHeight="1">
      <c r="A9" s="6" t="inlineStr">
        <is>
          <t>Deferred Income Tax</t>
        </is>
      </c>
      <c r="B9" s="7" t="n">
        <v>-4774</v>
      </c>
      <c r="C9" s="17" t="n">
        <v>895</v>
      </c>
      <c r="D9" s="7" t="n">
        <v>5694</v>
      </c>
      <c r="E9" s="7" t="n">
        <v>-6500</v>
      </c>
      <c r="F9" s="17" t="n">
        <v>500</v>
      </c>
    </row>
    <row r="10" ht="15" customHeight="1">
      <c r="A10" s="8" t="inlineStr">
        <is>
          <t>Other</t>
        </is>
      </c>
      <c r="B10" s="20" t="n">
        <v>-147</v>
      </c>
      <c r="C10" s="9" t="n">
        <v>1006</v>
      </c>
      <c r="D10" s="9" t="n">
        <v>-5167</v>
      </c>
      <c r="E10" s="9" t="n">
        <v>1200</v>
      </c>
      <c r="F10" s="20" t="n">
        <v>0</v>
      </c>
    </row>
    <row r="11" ht="15" customHeight="1">
      <c r="A11" s="12" t="inlineStr">
        <is>
          <t>Changes in Operating Assets and Liabilities:</t>
        </is>
      </c>
      <c r="B11" s="13" t="n"/>
      <c r="C11" s="13" t="n"/>
      <c r="D11" s="13" t="n"/>
      <c r="E11" s="13" t="n"/>
      <c r="F11" s="13" t="n"/>
    </row>
    <row r="12" ht="15" customHeight="1">
      <c r="A12" s="6" t="inlineStr">
        <is>
          <t>Accounts Receivable</t>
        </is>
      </c>
      <c r="B12" s="7" t="n">
        <v>-10125</v>
      </c>
      <c r="C12" s="7" t="n">
        <v>-1823</v>
      </c>
      <c r="D12" s="7" t="n">
        <v>-1688</v>
      </c>
      <c r="E12" s="7" t="n">
        <v>-5577</v>
      </c>
      <c r="F12" s="7" t="n">
        <v>-3000</v>
      </c>
    </row>
    <row r="13" ht="15" customHeight="1">
      <c r="A13" s="8" t="inlineStr">
        <is>
          <t>Inventories</t>
        </is>
      </c>
      <c r="B13" s="9" t="n">
        <v>2642</v>
      </c>
      <c r="C13" s="9" t="n">
        <v>1484</v>
      </c>
      <c r="D13" s="9" t="n">
        <v>-1618</v>
      </c>
      <c r="E13" s="9" t="n">
        <v>-1330</v>
      </c>
      <c r="F13" s="20" t="n">
        <v>242</v>
      </c>
    </row>
    <row r="14" ht="15" customHeight="1">
      <c r="A14" s="6" t="inlineStr">
        <is>
          <t>Vendor Non-Trade Receivables</t>
        </is>
      </c>
      <c r="B14" s="7" t="n">
        <v>3903</v>
      </c>
      <c r="C14" s="7" t="n">
        <v>-7520</v>
      </c>
      <c r="D14" s="7" t="n">
        <v>1271</v>
      </c>
      <c r="E14" s="7" t="n">
        <v>-1356</v>
      </c>
      <c r="F14" s="7" t="n">
        <v>-1500</v>
      </c>
    </row>
    <row r="15" ht="15" customHeight="1">
      <c r="A15" s="8" t="inlineStr">
        <is>
          <t>Other Assets</t>
        </is>
      </c>
      <c r="B15" s="9" t="n">
        <v>-9519</v>
      </c>
      <c r="C15" s="9" t="n">
        <v>-6499</v>
      </c>
      <c r="D15" s="9" t="n">
        <v>6228</v>
      </c>
      <c r="E15" s="9" t="n">
        <v>-2769</v>
      </c>
      <c r="F15" s="9" t="n">
        <v>-2000</v>
      </c>
    </row>
    <row r="16" ht="15" customHeight="1">
      <c r="A16" s="6" t="inlineStr">
        <is>
          <t>Accounts Payable</t>
        </is>
      </c>
      <c r="B16" s="7" t="n">
        <v>12326</v>
      </c>
      <c r="C16" s="7" t="n">
        <v>9448</v>
      </c>
      <c r="D16" s="7" t="n">
        <v>-1889</v>
      </c>
      <c r="E16" s="7" t="n">
        <v>6799</v>
      </c>
      <c r="F16" s="7" t="n">
        <v>5000</v>
      </c>
    </row>
    <row r="17" ht="15" customHeight="1">
      <c r="A17" s="8" t="inlineStr">
        <is>
          <t>Other Liabilities</t>
        </is>
      </c>
      <c r="B17" s="9" t="n">
        <v>4128</v>
      </c>
      <c r="C17" s="9" t="n">
        <v>7475</v>
      </c>
      <c r="D17" s="9" t="n">
        <v>-5632</v>
      </c>
      <c r="E17" s="9" t="n">
        <v>8769</v>
      </c>
      <c r="F17" s="9" t="n">
        <v>10000</v>
      </c>
    </row>
    <row r="18" ht="15" customHeight="1">
      <c r="A18" s="8" t="inlineStr">
        <is>
          <t>Cash from Operating Activities</t>
        </is>
      </c>
      <c r="B18" s="9" t="n">
        <v>104038</v>
      </c>
      <c r="C18" s="9" t="n">
        <v>122151</v>
      </c>
      <c r="D18" s="9" t="n">
        <v>110543</v>
      </c>
      <c r="E18" s="9" t="n">
        <v>118254</v>
      </c>
      <c r="F18" s="21">
        <f>SUM(F5:F17)</f>
        <v/>
      </c>
      <c r="H18" s="14" t="n"/>
    </row>
    <row r="19" ht="15" customHeight="1">
      <c r="A19" s="4" t="n"/>
      <c r="B19" s="4" t="n"/>
      <c r="C19" s="4" t="n"/>
      <c r="D19" s="4" t="n"/>
      <c r="E19" s="4" t="n"/>
      <c r="F19" s="4" t="n"/>
    </row>
    <row r="20" ht="15" customHeight="1">
      <c r="A20" s="12" t="inlineStr">
        <is>
          <t>INVESTING ACTIVITIES</t>
        </is>
      </c>
      <c r="B20" s="13" t="n"/>
      <c r="C20" s="13" t="n"/>
      <c r="D20" s="13" t="n"/>
      <c r="E20" s="13" t="n"/>
      <c r="F20" s="13" t="n"/>
      <c r="I20" s="14" t="n"/>
    </row>
    <row r="21" ht="15" customHeight="1">
      <c r="A21" s="6" t="inlineStr">
        <is>
          <t>Purchase of Marketable Securities</t>
        </is>
      </c>
      <c r="B21" s="7" t="n">
        <v>-109689</v>
      </c>
      <c r="C21" s="7" t="n">
        <v>-76923</v>
      </c>
      <c r="D21" s="7" t="n">
        <v>-29513</v>
      </c>
      <c r="E21" s="7" t="n">
        <v>-29042</v>
      </c>
      <c r="F21" s="7" t="n">
        <v>-35000</v>
      </c>
    </row>
    <row r="22" ht="15" customHeight="1">
      <c r="A22" s="8" t="inlineStr">
        <is>
          <t>Proceeds from Maturities of Securities</t>
        </is>
      </c>
      <c r="B22" s="9" t="n">
        <v>59023</v>
      </c>
      <c r="C22" s="9" t="n">
        <v>29917</v>
      </c>
      <c r="D22" s="9" t="n">
        <v>45099</v>
      </c>
      <c r="E22" s="9" t="n">
        <v>53461</v>
      </c>
      <c r="F22" s="9" t="n">
        <v>50000</v>
      </c>
    </row>
    <row r="23" ht="15" customHeight="1">
      <c r="A23" s="6" t="inlineStr">
        <is>
          <t>Proceeds from Sales of Securities</t>
        </is>
      </c>
      <c r="B23" s="7" t="n">
        <v>47460</v>
      </c>
      <c r="C23" s="7" t="n">
        <v>37446</v>
      </c>
      <c r="D23" s="7" t="n">
        <v>27169</v>
      </c>
      <c r="E23" s="7" t="n">
        <v>8628</v>
      </c>
      <c r="F23" s="7" t="n">
        <v>15000</v>
      </c>
    </row>
    <row r="24" ht="15" customHeight="1">
      <c r="A24" s="8" t="inlineStr">
        <is>
          <t>Payments for Acquisition of PP&amp;E</t>
        </is>
      </c>
      <c r="B24" s="9" t="n">
        <v>-11085</v>
      </c>
      <c r="C24" s="9" t="n">
        <v>-10708</v>
      </c>
      <c r="D24" s="9" t="n">
        <v>-10959</v>
      </c>
      <c r="E24" s="9" t="n">
        <v>-9447</v>
      </c>
      <c r="F24" s="9" t="n">
        <v>-10000</v>
      </c>
    </row>
    <row r="25" ht="15" customHeight="1">
      <c r="A25" s="6" t="inlineStr">
        <is>
          <t>Other Investing Activities</t>
        </is>
      </c>
      <c r="B25" s="17" t="n">
        <v>-385</v>
      </c>
      <c r="C25" s="7" t="n">
        <v>-2086</v>
      </c>
      <c r="D25" s="7" t="n">
        <v>-1337</v>
      </c>
      <c r="E25" s="7" t="n">
        <v>-1817</v>
      </c>
      <c r="F25" s="7" t="n">
        <v>-1000</v>
      </c>
    </row>
    <row r="26" ht="15" customHeight="1">
      <c r="A26" s="8" t="inlineStr">
        <is>
          <t>Cash from Investing Activities</t>
        </is>
      </c>
      <c r="B26" s="21">
        <f>SUM(B21:B25)</f>
        <v/>
      </c>
      <c r="C26" s="21">
        <f>SUM(C21:C25)</f>
        <v/>
      </c>
      <c r="D26" s="21">
        <f>SUM(D21:D25)</f>
        <v/>
      </c>
      <c r="E26" s="21">
        <f>SUM(E21:E25)</f>
        <v/>
      </c>
      <c r="F26" s="21">
        <f>SUM(F21:F25)</f>
        <v/>
      </c>
    </row>
    <row r="27" ht="15" customHeight="1">
      <c r="A27" s="4" t="n"/>
      <c r="B27" s="4" t="n"/>
      <c r="C27" s="4" t="n"/>
      <c r="D27" s="4" t="n"/>
      <c r="E27" s="4" t="n"/>
      <c r="F27" s="4" t="n"/>
    </row>
    <row r="28" ht="15" customHeight="1">
      <c r="A28" s="12" t="inlineStr">
        <is>
          <t>FINANCING ACTIVITIES</t>
        </is>
      </c>
      <c r="B28" s="13" t="n"/>
      <c r="C28" s="13" t="n"/>
      <c r="D28" s="13" t="n"/>
      <c r="E28" s="13" t="n"/>
      <c r="F28" s="13" t="n"/>
    </row>
    <row r="29" ht="15" customHeight="1">
      <c r="A29" s="6" t="inlineStr">
        <is>
          <t>Proceeds from Issuance of Common Stock</t>
        </is>
      </c>
      <c r="B29" s="7" t="n">
        <v>1105</v>
      </c>
      <c r="C29" s="17" t="n">
        <v>0</v>
      </c>
      <c r="D29" s="17" t="n">
        <v>0</v>
      </c>
      <c r="E29" s="17" t="n">
        <v>0</v>
      </c>
      <c r="F29" s="17" t="n">
        <v>0</v>
      </c>
    </row>
    <row r="30" ht="15" customHeight="1">
      <c r="A30" s="8" t="inlineStr">
        <is>
          <t>Payments for Taxes on Stock Awards</t>
        </is>
      </c>
      <c r="B30" s="9" t="n">
        <v>-6556</v>
      </c>
      <c r="C30" s="9" t="n">
        <v>-6223</v>
      </c>
      <c r="D30" s="9" t="n">
        <v>-6584</v>
      </c>
      <c r="E30" s="9" t="n">
        <v>-6556</v>
      </c>
      <c r="F30" s="9" t="n">
        <v>-7000</v>
      </c>
    </row>
    <row r="31" ht="15" customHeight="1">
      <c r="A31" s="6" t="inlineStr">
        <is>
          <t>Payments for Dividends</t>
        </is>
      </c>
      <c r="B31" s="7" t="n">
        <v>-14467</v>
      </c>
      <c r="C31" s="7" t="n">
        <v>-14841</v>
      </c>
      <c r="D31" s="7" t="n">
        <v>-15025</v>
      </c>
      <c r="E31" s="7" t="n">
        <v>-15234</v>
      </c>
      <c r="F31" s="7" t="n">
        <v>-15500</v>
      </c>
    </row>
    <row r="32" ht="15" customHeight="1">
      <c r="A32" s="8" t="inlineStr">
        <is>
          <t>Repurchases of Common Stock</t>
        </is>
      </c>
      <c r="B32" s="9" t="n">
        <v>-85971</v>
      </c>
      <c r="C32" s="9" t="n">
        <v>-89402</v>
      </c>
      <c r="D32" s="9" t="n">
        <v>-77550</v>
      </c>
      <c r="E32" s="9" t="n">
        <v>-94949</v>
      </c>
      <c r="F32" s="9" t="n">
        <v>-100000</v>
      </c>
    </row>
    <row r="33" ht="15" customHeight="1">
      <c r="A33" s="6" t="inlineStr">
        <is>
          <t>Proceeds from Issuance of Debt</t>
        </is>
      </c>
      <c r="B33" s="7" t="n">
        <v>20393</v>
      </c>
      <c r="C33" s="7" t="n">
        <v>5465</v>
      </c>
      <c r="D33" s="7" t="n">
        <v>5228</v>
      </c>
      <c r="E33" s="17" t="n">
        <v>0</v>
      </c>
      <c r="F33" s="7" t="n">
        <v>5000</v>
      </c>
    </row>
    <row r="34" ht="15" customHeight="1">
      <c r="A34" s="8" t="inlineStr">
        <is>
          <t>Repayments of Debt</t>
        </is>
      </c>
      <c r="B34" s="9" t="n">
        <v>-8750</v>
      </c>
      <c r="C34" s="9" t="n">
        <v>-9543</v>
      </c>
      <c r="D34" s="9" t="n">
        <v>-11151</v>
      </c>
      <c r="E34" s="9" t="n">
        <v>-11445</v>
      </c>
      <c r="F34" s="9" t="n">
        <v>-10000</v>
      </c>
    </row>
    <row r="35" ht="15" customHeight="1">
      <c r="A35" s="6" t="inlineStr">
        <is>
          <t>Commercial Paper, net</t>
        </is>
      </c>
      <c r="B35" s="7" t="n">
        <v>1022</v>
      </c>
      <c r="C35" s="7" t="n">
        <v>3955</v>
      </c>
      <c r="D35" s="7" t="n">
        <v>-4025</v>
      </c>
      <c r="E35" s="7" t="n">
        <v>3982</v>
      </c>
      <c r="F35" s="17" t="n">
        <v>0</v>
      </c>
    </row>
    <row r="36" ht="15" customHeight="1">
      <c r="A36" s="8" t="inlineStr">
        <is>
          <t>Other Financing Activities</t>
        </is>
      </c>
      <c r="B36" s="20" t="n">
        <v>0</v>
      </c>
      <c r="C36" s="20" t="n">
        <v>0</v>
      </c>
      <c r="D36" s="20" t="n">
        <v>0</v>
      </c>
      <c r="E36" s="20" t="n">
        <v>0</v>
      </c>
      <c r="F36" s="20" t="n">
        <v>0</v>
      </c>
    </row>
    <row r="37" ht="15" customHeight="1">
      <c r="A37" s="8" t="inlineStr">
        <is>
          <t>Cash from Financing Activities</t>
        </is>
      </c>
      <c r="B37" s="21">
        <f>SUM(B29:B36)</f>
        <v/>
      </c>
      <c r="C37" s="21">
        <f>SUM(C29:C36)</f>
        <v/>
      </c>
      <c r="D37" s="21">
        <f>SUM(D29:D36)</f>
        <v/>
      </c>
      <c r="E37" s="21">
        <f>SUM(E29:E36)</f>
        <v/>
      </c>
      <c r="F37" s="21">
        <f>SUM(F29:F36)</f>
        <v/>
      </c>
    </row>
    <row r="38" ht="15" customHeight="1">
      <c r="A38" s="4" t="n"/>
      <c r="B38" s="4" t="n"/>
      <c r="C38" s="4" t="n"/>
      <c r="D38" s="4" t="n"/>
      <c r="E38" s="4" t="n"/>
      <c r="F38" s="4" t="n"/>
    </row>
    <row r="39" ht="15" customHeight="1">
      <c r="A39" s="10" t="inlineStr">
        <is>
          <t>Net Change in Cash</t>
        </is>
      </c>
      <c r="B39" s="11">
        <f>B18+B26+B37</f>
        <v/>
      </c>
      <c r="C39" s="11">
        <f>C18+C26+C37</f>
        <v/>
      </c>
      <c r="D39" s="11">
        <f>D18+D26+D37</f>
        <v/>
      </c>
      <c r="E39" s="11">
        <f>E18+E26+E37</f>
        <v/>
      </c>
      <c r="F39" s="11">
        <f>F18+F26+F37</f>
        <v/>
      </c>
    </row>
    <row r="40" ht="15" customHeight="1">
      <c r="A40" s="6" t="inlineStr">
        <is>
          <t>Cash at Beginning of Period</t>
        </is>
      </c>
      <c r="B40" s="7" t="n">
        <v>38016</v>
      </c>
      <c r="C40" s="22">
        <f>B41</f>
        <v/>
      </c>
      <c r="D40" s="22">
        <f>C41</f>
        <v/>
      </c>
      <c r="E40" s="22">
        <f>D41</f>
        <v/>
      </c>
      <c r="F40" s="22">
        <f>E41</f>
        <v/>
      </c>
    </row>
    <row r="41" ht="15" customHeight="1">
      <c r="A41" s="8" t="inlineStr">
        <is>
          <t>Cash at End of Period</t>
        </is>
      </c>
      <c r="B41" s="9" t="n">
        <v>34940</v>
      </c>
      <c r="C41" s="9" t="n">
        <v>23646</v>
      </c>
      <c r="D41" s="9" t="n">
        <v>29965</v>
      </c>
      <c r="E41" s="9" t="n">
        <v>29943</v>
      </c>
      <c r="F41" s="9" t="n">
        <v>28162</v>
      </c>
    </row>
    <row r="42" ht="15" customHeight="1">
      <c r="A42" s="4" t="n"/>
      <c r="B42" s="4" t="n"/>
      <c r="C42" s="4" t="n"/>
      <c r="D42" s="4" t="n"/>
      <c r="E42" s="4" t="n"/>
      <c r="F42" s="4" t="n"/>
    </row>
    <row r="43" ht="15" customHeight="1">
      <c r="A43" s="12" t="inlineStr">
        <is>
          <t>Supplemental Disclosures</t>
        </is>
      </c>
      <c r="B43" s="13" t="n"/>
      <c r="C43" s="13" t="n"/>
      <c r="D43" s="13" t="n"/>
      <c r="E43" s="13" t="n"/>
      <c r="F43" s="13" t="n"/>
    </row>
    <row r="44" ht="15" customHeight="1">
      <c r="A44" s="6" t="inlineStr">
        <is>
          <t>Cash Paid for Income Taxes</t>
        </is>
      </c>
      <c r="B44" s="7" t="n">
        <v>25385</v>
      </c>
      <c r="C44" s="7" t="n">
        <v>19573</v>
      </c>
      <c r="D44" s="7" t="n">
        <v>18679</v>
      </c>
      <c r="E44" s="7" t="n">
        <v>24250</v>
      </c>
      <c r="F44" s="7" t="n">
        <v>31000</v>
      </c>
    </row>
    <row r="45" ht="15" customHeight="1">
      <c r="A45" s="8" t="inlineStr">
        <is>
          <t>Cash Paid for Interest</t>
        </is>
      </c>
      <c r="B45" s="9" t="n">
        <v>2687</v>
      </c>
      <c r="C45" s="9" t="n">
        <v>2865</v>
      </c>
      <c r="D45" s="9" t="n">
        <v>3803</v>
      </c>
      <c r="E45" s="9" t="n">
        <v>3803</v>
      </c>
      <c r="F45" s="9" t="n">
        <v>3500</v>
      </c>
    </row>
    <row r="46" ht="15" customHeight="1">
      <c r="A46" s="4" t="n"/>
      <c r="B46" s="4" t="n"/>
      <c r="C46" s="4" t="n"/>
      <c r="D46" s="4" t="n"/>
      <c r="E46" s="4" t="n"/>
      <c r="F46" s="4" t="n"/>
    </row>
    <row r="47" ht="15" customHeight="1">
      <c r="A47" s="12" t="inlineStr">
        <is>
          <t>KEY METRICS</t>
        </is>
      </c>
      <c r="B47" s="13" t="n"/>
      <c r="C47" s="13" t="n"/>
      <c r="D47" s="13" t="n"/>
      <c r="E47" s="13" t="n"/>
      <c r="F47" s="13" t="n"/>
    </row>
    <row r="48" ht="15" customHeight="1">
      <c r="A48" s="10" t="inlineStr">
        <is>
          <t>Free Cash Flow (Operating CF - Capex)</t>
        </is>
      </c>
      <c r="B48" s="11">
        <f>B18+B24</f>
        <v/>
      </c>
      <c r="C48" s="11">
        <f>C18+C24</f>
        <v/>
      </c>
      <c r="D48" s="11">
        <f>D18+D24</f>
        <v/>
      </c>
      <c r="E48" s="11">
        <f>E18+E24</f>
        <v/>
      </c>
      <c r="F48" s="11" t="n">
        <v>135252</v>
      </c>
    </row>
    <row r="49" ht="15" customHeight="1">
      <c r="A49" s="8" t="inlineStr">
        <is>
          <t>FCF Margin %</t>
        </is>
      </c>
      <c r="B49" s="23">
        <f>B48/'Income Statement'!B7</f>
        <v/>
      </c>
      <c r="C49" s="23">
        <f>C48/'Income Statement'!C7</f>
        <v/>
      </c>
      <c r="D49" s="23">
        <f>D48/'Income Statement'!D7</f>
        <v/>
      </c>
      <c r="E49" s="23">
        <f>E48/'Income Statement'!E7</f>
        <v/>
      </c>
      <c r="F49" s="23">
        <f>F48/'Income Statement'!F7</f>
        <v/>
      </c>
    </row>
  </sheetData>
  <mergeCells count="1">
    <mergeCell ref="A1:F1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4.xml><?xml version="1.0" encoding="utf-8"?>
<worksheet xmlns="http://schemas.openxmlformats.org/spreadsheetml/2006/main">
  <sheetPr>
    <tabColor rgb="FF1D1D1F"/>
    <outlinePr summaryBelow="1" summaryRight="1"/>
    <pageSetUpPr fitToPage="1"/>
  </sheetPr>
  <dimension ref="A1:F42"/>
  <sheetViews>
    <sheetView showGridLines="0" topLeftCell="A4" zoomScaleNormal="100" workbookViewId="0">
      <selection activeCell="A34" sqref="A34:F34"/>
    </sheetView>
  </sheetViews>
  <sheetFormatPr baseColWidth="10" defaultColWidth="8.83203125" defaultRowHeight="15"/>
  <cols>
    <col width="35.6640625" customWidth="1" min="1" max="1"/>
    <col width="13" customWidth="1" min="2" max="5"/>
    <col width="15.6640625" customWidth="1" min="6" max="6"/>
  </cols>
  <sheetData>
    <row r="1" ht="24" customHeight="1">
      <c r="A1" s="38" t="inlineStr">
        <is>
          <t>Apple Inc. - Key Financial Ratios</t>
        </is>
      </c>
      <c r="B1" s="39" t="n"/>
      <c r="C1" s="39" t="n"/>
      <c r="D1" s="39" t="n"/>
      <c r="E1" s="39" t="n"/>
      <c r="F1" s="40" t="n"/>
    </row>
    <row r="2" ht="18" customHeight="1">
      <c r="A2" s="2" t="inlineStr">
        <is>
          <t>Fiscal Year Ending September</t>
        </is>
      </c>
      <c r="B2" s="3" t="inlineStr">
        <is>
          <t>FY 2021</t>
        </is>
      </c>
      <c r="C2" s="3" t="inlineStr">
        <is>
          <t>FY 2022</t>
        </is>
      </c>
      <c r="D2" s="3" t="inlineStr">
        <is>
          <t>FY 2023</t>
        </is>
      </c>
      <c r="E2" s="3" t="inlineStr">
        <is>
          <t>FY 2024</t>
        </is>
      </c>
      <c r="F2" s="3" t="inlineStr">
        <is>
          <t>FY 2025 (A)</t>
        </is>
      </c>
    </row>
    <row r="3" ht="15" customHeight="1">
      <c r="A3" s="4" t="n"/>
      <c r="B3" s="4" t="n"/>
      <c r="C3" s="4" t="n"/>
      <c r="D3" s="4" t="n"/>
      <c r="E3" s="4" t="n"/>
      <c r="F3" s="4" t="n"/>
    </row>
    <row r="4" ht="15.75" customHeight="1">
      <c r="A4" s="42" t="inlineStr">
        <is>
          <t>PROFITABILITY RATIOS</t>
        </is>
      </c>
      <c r="B4" s="39" t="n"/>
      <c r="C4" s="39" t="n"/>
      <c r="D4" s="39" t="n"/>
      <c r="E4" s="39" t="n"/>
      <c r="F4" s="40" t="n"/>
    </row>
    <row r="5" ht="15" customHeight="1">
      <c r="A5" s="6" t="inlineStr">
        <is>
          <t>Gross Margin %</t>
        </is>
      </c>
      <c r="B5" s="24">
        <f>'Income Statement'!B14/'Income Statement'!B7</f>
        <v/>
      </c>
      <c r="C5" s="24">
        <f>'Income Statement'!C14/'Income Statement'!C7</f>
        <v/>
      </c>
      <c r="D5" s="24">
        <f>'Income Statement'!D14/'Income Statement'!D7</f>
        <v/>
      </c>
      <c r="E5" s="24">
        <f>'Income Statement'!E14/'Income Statement'!E7</f>
        <v/>
      </c>
      <c r="F5" s="24">
        <f>'Income Statement'!F14/'Income Statement'!F7</f>
        <v/>
      </c>
    </row>
    <row r="6" ht="15" customHeight="1">
      <c r="A6" s="8" t="inlineStr">
        <is>
          <t>Operating Margin %</t>
        </is>
      </c>
      <c r="B6" s="23">
        <f>'Income Statement'!B22/'Income Statement'!B7</f>
        <v/>
      </c>
      <c r="C6" s="23">
        <f>'Income Statement'!C22/'Income Statement'!C7</f>
        <v/>
      </c>
      <c r="D6" s="23">
        <f>'Income Statement'!D22/'Income Statement'!D7</f>
        <v/>
      </c>
      <c r="E6" s="23">
        <f>'Income Statement'!E22/'Income Statement'!E7</f>
        <v/>
      </c>
      <c r="F6" s="23">
        <f>'Income Statement'!F22/'Income Statement'!F7</f>
        <v/>
      </c>
    </row>
    <row r="7" ht="15" customHeight="1">
      <c r="A7" s="6" t="inlineStr">
        <is>
          <t>Net Margin %</t>
        </is>
      </c>
      <c r="B7" s="24">
        <f>'Income Statement'!B35/'Income Statement'!B7</f>
        <v/>
      </c>
      <c r="C7" s="24">
        <f>'Income Statement'!C35/'Income Statement'!C7</f>
        <v/>
      </c>
      <c r="D7" s="24">
        <f>'Income Statement'!D35/'Income Statement'!D7</f>
        <v/>
      </c>
      <c r="E7" s="24">
        <f>'Income Statement'!E35/'Income Statement'!E7</f>
        <v/>
      </c>
      <c r="F7" s="24">
        <f>'Income Statement'!F35/'Income Statement'!F7</f>
        <v/>
      </c>
    </row>
    <row r="8" ht="15" customHeight="1">
      <c r="A8" s="8" t="inlineStr">
        <is>
          <t>EBITDA Margin %</t>
        </is>
      </c>
      <c r="B8" s="19" t="n">
        <v>0.3366</v>
      </c>
      <c r="C8" s="19" t="n">
        <v>0.331</v>
      </c>
      <c r="D8" s="19" t="n">
        <v>0.3283</v>
      </c>
      <c r="E8" s="19" t="n">
        <v>0.3444</v>
      </c>
      <c r="F8" s="19" t="n">
        <v>0.3319</v>
      </c>
    </row>
    <row r="9" ht="15" customHeight="1">
      <c r="A9" s="6" t="inlineStr">
        <is>
          <t>Return on Assets (ROA) %</t>
        </is>
      </c>
      <c r="B9" s="24">
        <f>'Income Statement'!B35/'Balance Sheet'!B20</f>
        <v/>
      </c>
      <c r="C9" s="24">
        <f>'Income Statement'!C35/'Balance Sheet'!C20</f>
        <v/>
      </c>
      <c r="D9" s="24">
        <f>'Income Statement'!D35/'Balance Sheet'!D20</f>
        <v/>
      </c>
      <c r="E9" s="24">
        <f>'Income Statement'!E35/'Balance Sheet'!E20</f>
        <v/>
      </c>
      <c r="F9" s="24">
        <f>'Income Statement'!F35/'Balance Sheet'!F20</f>
        <v/>
      </c>
    </row>
    <row r="10" ht="15" customHeight="1">
      <c r="A10" s="8" t="inlineStr">
        <is>
          <t>Return on Equity (ROE) %</t>
        </is>
      </c>
      <c r="B10" s="23">
        <f>'Income Statement'!B35/'Balance Sheet'!B42</f>
        <v/>
      </c>
      <c r="C10" s="23">
        <f>'Income Statement'!C35/'Balance Sheet'!C42</f>
        <v/>
      </c>
      <c r="D10" s="23">
        <f>'Income Statement'!D35/'Balance Sheet'!D42</f>
        <v/>
      </c>
      <c r="E10" s="23">
        <f>'Income Statement'!E35/'Balance Sheet'!E42</f>
        <v/>
      </c>
      <c r="F10" s="23">
        <f>'Income Statement'!F35/'Balance Sheet'!F42</f>
        <v/>
      </c>
    </row>
    <row r="11" ht="15" customHeight="1">
      <c r="A11" s="4" t="n"/>
      <c r="B11" s="4" t="n"/>
      <c r="C11" s="4" t="n"/>
      <c r="D11" s="4" t="n"/>
      <c r="E11" s="4" t="n"/>
      <c r="F11" s="4" t="n"/>
    </row>
    <row r="12" ht="15.75" customHeight="1">
      <c r="A12" s="41" t="inlineStr">
        <is>
          <t>LIQUIDITY RATIOS</t>
        </is>
      </c>
      <c r="B12" s="39" t="n"/>
      <c r="C12" s="39" t="n"/>
      <c r="D12" s="39" t="n"/>
      <c r="E12" s="39" t="n"/>
      <c r="F12" s="40" t="n"/>
    </row>
    <row r="13" ht="15" customHeight="1">
      <c r="A13" s="6" t="inlineStr">
        <is>
          <t>Current Ratio</t>
        </is>
      </c>
      <c r="B13" s="25">
        <f>'Balance Sheet'!B12/'Balance Sheet'!B29</f>
        <v/>
      </c>
      <c r="C13" s="25">
        <f>'Balance Sheet'!C12/'Balance Sheet'!C29</f>
        <v/>
      </c>
      <c r="D13" s="25">
        <f>'Balance Sheet'!D12/'Balance Sheet'!D29</f>
        <v/>
      </c>
      <c r="E13" s="25">
        <f>'Balance Sheet'!E12/'Balance Sheet'!E29</f>
        <v/>
      </c>
      <c r="F13" s="25">
        <f>'Balance Sheet'!F12/'Balance Sheet'!F29</f>
        <v/>
      </c>
    </row>
    <row r="14" ht="15" customHeight="1">
      <c r="A14" s="8" t="inlineStr">
        <is>
          <t>Quick Ratio</t>
        </is>
      </c>
      <c r="B14" s="20" t="n">
        <v>0.98</v>
      </c>
      <c r="C14" s="20" t="n">
        <v>0.83</v>
      </c>
      <c r="D14" s="20" t="n">
        <v>0.9399999999999999</v>
      </c>
      <c r="E14" s="20" t="n">
        <v>0.83</v>
      </c>
      <c r="F14" s="20" t="n">
        <v>0.84</v>
      </c>
    </row>
    <row r="15" ht="15" customHeight="1">
      <c r="A15" s="6" t="inlineStr">
        <is>
          <t>Cash Ratio</t>
        </is>
      </c>
      <c r="B15" s="25">
        <f>('Balance Sheet'!B6+'Balance Sheet'!B7)/'Balance Sheet'!B29</f>
        <v/>
      </c>
      <c r="C15" s="25">
        <f>('Balance Sheet'!C6+'Balance Sheet'!C7)/'Balance Sheet'!C29</f>
        <v/>
      </c>
      <c r="D15" s="25">
        <f>('Balance Sheet'!D6+'Balance Sheet'!D7)/'Balance Sheet'!D29</f>
        <v/>
      </c>
      <c r="E15" s="25">
        <f>('Balance Sheet'!E6+'Balance Sheet'!E7)/'Balance Sheet'!E29</f>
        <v/>
      </c>
      <c r="F15" s="25">
        <f>('Balance Sheet'!F6+'Balance Sheet'!F7)/'Balance Sheet'!F29</f>
        <v/>
      </c>
    </row>
    <row r="16" ht="15" customHeight="1">
      <c r="A16" s="4" t="n"/>
      <c r="B16" s="4" t="n"/>
      <c r="C16" s="4" t="n"/>
      <c r="D16" s="4" t="n"/>
      <c r="E16" s="4" t="n"/>
      <c r="F16" s="4" t="n"/>
    </row>
    <row r="17" ht="15.75" customHeight="1">
      <c r="A17" s="41" t="inlineStr">
        <is>
          <t>LEVERAGE RATIOS</t>
        </is>
      </c>
      <c r="B17" s="39" t="n"/>
      <c r="C17" s="39" t="n"/>
      <c r="D17" s="39" t="n"/>
      <c r="E17" s="39" t="n"/>
      <c r="F17" s="40" t="n"/>
    </row>
    <row r="18" ht="15" customHeight="1">
      <c r="A18" s="6" t="inlineStr">
        <is>
          <t>Debt to Equity</t>
        </is>
      </c>
      <c r="B18" s="17" t="n">
        <v>1.88</v>
      </c>
      <c r="C18" s="17" t="n">
        <v>2.17</v>
      </c>
      <c r="D18" s="17" t="n">
        <v>1.69</v>
      </c>
      <c r="E18" s="17" t="n">
        <v>1.7</v>
      </c>
      <c r="F18" s="17" t="n">
        <v>1.38</v>
      </c>
    </row>
    <row r="19" ht="15" customHeight="1">
      <c r="A19" s="8" t="inlineStr">
        <is>
          <t>Debt to Assets</t>
        </is>
      </c>
      <c r="B19" s="20" t="n">
        <v>0.34</v>
      </c>
      <c r="C19" s="20" t="n">
        <v>0.31</v>
      </c>
      <c r="D19" s="20" t="n">
        <v>0.3</v>
      </c>
      <c r="E19" s="20" t="n">
        <v>0.26</v>
      </c>
      <c r="F19" s="20" t="n">
        <v>0.25</v>
      </c>
    </row>
    <row r="20" ht="15" customHeight="1">
      <c r="A20" s="6" t="inlineStr">
        <is>
          <t>Interest Coverage Ratio</t>
        </is>
      </c>
      <c r="B20" s="17" t="n">
        <v>41.2</v>
      </c>
      <c r="C20" s="17" t="n">
        <v>40.75</v>
      </c>
      <c r="D20" s="17" t="n">
        <v>29.06</v>
      </c>
      <c r="E20" s="17" t="n">
        <v>32.4</v>
      </c>
      <c r="F20" s="17" t="n">
        <v>36.18</v>
      </c>
    </row>
    <row r="21" ht="15" customHeight="1">
      <c r="A21" s="4" t="n"/>
      <c r="B21" s="4" t="n"/>
      <c r="C21" s="4" t="n"/>
      <c r="D21" s="4" t="n"/>
      <c r="E21" s="4" t="n"/>
      <c r="F21" s="4" t="n"/>
    </row>
    <row r="22" ht="15.75" customHeight="1">
      <c r="A22" s="41" t="inlineStr">
        <is>
          <t>EFFICIENCY RATIOS</t>
        </is>
      </c>
      <c r="B22" s="39" t="n"/>
      <c r="C22" s="39" t="n"/>
      <c r="D22" s="39" t="n"/>
      <c r="E22" s="39" t="n"/>
      <c r="F22" s="40" t="n"/>
    </row>
    <row r="23" ht="15" customHeight="1">
      <c r="A23" s="6" t="inlineStr">
        <is>
          <t>Asset Turnover</t>
        </is>
      </c>
      <c r="B23" s="25">
        <f>'Income Statement'!B7/'Balance Sheet'!B20</f>
        <v/>
      </c>
      <c r="C23" s="25">
        <f>'Income Statement'!C7/'Balance Sheet'!C20</f>
        <v/>
      </c>
      <c r="D23" s="25">
        <f>'Income Statement'!D7/'Balance Sheet'!D20</f>
        <v/>
      </c>
      <c r="E23" s="25">
        <f>'Income Statement'!E7/'Balance Sheet'!E20</f>
        <v/>
      </c>
      <c r="F23" s="25">
        <f>'Income Statement'!F7/'Balance Sheet'!F20</f>
        <v/>
      </c>
    </row>
    <row r="24" ht="15" customHeight="1">
      <c r="A24" s="8" t="inlineStr">
        <is>
          <t>Inventory Turnover</t>
        </is>
      </c>
      <c r="B24" s="26">
        <f>'Income Statement'!B12/'Balance Sheet'!B9</f>
        <v/>
      </c>
      <c r="C24" s="26">
        <f>'Income Statement'!C12/'Balance Sheet'!C9</f>
        <v/>
      </c>
      <c r="D24" s="26">
        <f>'Income Statement'!D12/'Balance Sheet'!D9</f>
        <v/>
      </c>
      <c r="E24" s="26">
        <f>'Income Statement'!E12/'Balance Sheet'!E9</f>
        <v/>
      </c>
      <c r="F24" s="26">
        <f>'Income Statement'!F12/'Balance Sheet'!F9</f>
        <v/>
      </c>
    </row>
    <row r="25" ht="15" customHeight="1">
      <c r="A25" s="6" t="inlineStr">
        <is>
          <t>Days Inventory Outstanding</t>
        </is>
      </c>
      <c r="B25" s="6">
        <f>365/B24</f>
        <v/>
      </c>
      <c r="C25" s="6">
        <f>365/C24</f>
        <v/>
      </c>
      <c r="D25" s="6">
        <f>365/D24</f>
        <v/>
      </c>
      <c r="E25" s="6">
        <f>365/E24</f>
        <v/>
      </c>
      <c r="F25" s="6">
        <f>365/F24</f>
        <v/>
      </c>
    </row>
    <row r="26" ht="15" customHeight="1">
      <c r="A26" s="8" t="inlineStr">
        <is>
          <t>Days Sales Outstanding</t>
        </is>
      </c>
      <c r="B26" s="26">
        <f>365*'Balance Sheet'!B8/'Income Statement'!B7</f>
        <v/>
      </c>
      <c r="C26" s="26">
        <f>365*'Balance Sheet'!C8/'Income Statement'!C7</f>
        <v/>
      </c>
      <c r="D26" s="26">
        <f>365*'Balance Sheet'!D8/'Income Statement'!D7</f>
        <v/>
      </c>
      <c r="E26" s="26">
        <f>365*'Balance Sheet'!E8/'Income Statement'!E7</f>
        <v/>
      </c>
      <c r="F26" s="26">
        <f>365*'Balance Sheet'!F8/'Income Statement'!F7</f>
        <v/>
      </c>
    </row>
    <row r="27" ht="15" customHeight="1">
      <c r="A27" s="4" t="n"/>
      <c r="B27" s="4" t="n"/>
      <c r="C27" s="4" t="n"/>
      <c r="D27" s="4" t="n"/>
      <c r="E27" s="4" t="n"/>
      <c r="F27" s="4" t="n"/>
    </row>
    <row r="28" ht="15.75" customHeight="1">
      <c r="A28" s="41" t="inlineStr">
        <is>
          <t>PER SHARE DATA</t>
        </is>
      </c>
      <c r="B28" s="39" t="n"/>
      <c r="C28" s="39" t="n"/>
      <c r="D28" s="39" t="n"/>
      <c r="E28" s="39" t="n"/>
      <c r="F28" s="40" t="n"/>
    </row>
    <row r="29" ht="15" customHeight="1">
      <c r="A29" s="6" t="inlineStr">
        <is>
          <t>EPS (Diluted)</t>
        </is>
      </c>
      <c r="B29" s="25">
        <f>'Income Statement'!B35/'Income Statement'!B38</f>
        <v/>
      </c>
      <c r="C29" s="25">
        <f>'Income Statement'!C35/'Income Statement'!C38</f>
        <v/>
      </c>
      <c r="D29" s="25">
        <f>'Income Statement'!D35/'Income Statement'!D38</f>
        <v/>
      </c>
      <c r="E29" s="25">
        <f>'Income Statement'!E35/'Income Statement'!E38</f>
        <v/>
      </c>
      <c r="F29" s="25">
        <f>'Income Statement'!F35/'Income Statement'!F38</f>
        <v/>
      </c>
    </row>
    <row r="30" ht="15" customHeight="1">
      <c r="A30" s="8" t="inlineStr">
        <is>
          <t>Book Value Per Share</t>
        </is>
      </c>
      <c r="B30" s="26">
        <f>'Balance Sheet'!B42/'Income Statement'!B38</f>
        <v/>
      </c>
      <c r="C30" s="26">
        <f>'Balance Sheet'!C42/'Income Statement'!C38</f>
        <v/>
      </c>
      <c r="D30" s="26">
        <f>'Balance Sheet'!D42/'Income Statement'!D38</f>
        <v/>
      </c>
      <c r="E30" s="26">
        <f>'Balance Sheet'!E42/'Income Statement'!E38</f>
        <v/>
      </c>
      <c r="F30" s="26">
        <f>'Balance Sheet'!F42/'Income Statement'!F38</f>
        <v/>
      </c>
    </row>
    <row r="31" ht="15" customHeight="1">
      <c r="A31" s="6" t="inlineStr">
        <is>
          <t>Free Cash Flow Per Share</t>
        </is>
      </c>
      <c r="B31" s="25">
        <f>'Cash Flow Statement'!B48/'Income Statement'!B38</f>
        <v/>
      </c>
      <c r="C31" s="25">
        <f>'Cash Flow Statement'!C48/'Income Statement'!C38</f>
        <v/>
      </c>
      <c r="D31" s="25">
        <f>'Cash Flow Statement'!D48/'Income Statement'!D38</f>
        <v/>
      </c>
      <c r="E31" s="25">
        <f>'Cash Flow Statement'!E48/'Income Statement'!E38</f>
        <v/>
      </c>
      <c r="F31" s="25">
        <f>'Cash Flow Statement'!F48/'Income Statement'!F38</f>
        <v/>
      </c>
    </row>
    <row r="32" ht="15" customHeight="1">
      <c r="A32" s="8" t="inlineStr">
        <is>
          <t>Dividend Per Share</t>
        </is>
      </c>
      <c r="B32" s="20" t="n">
        <v>0.85</v>
      </c>
      <c r="C32" s="20" t="n">
        <v>0.91</v>
      </c>
      <c r="D32" s="20" t="n">
        <v>0.95</v>
      </c>
      <c r="E32" s="20" t="n">
        <v>0.99</v>
      </c>
      <c r="F32" s="20" t="n">
        <v>1.04</v>
      </c>
    </row>
    <row r="33" ht="15" customHeight="1">
      <c r="A33" s="4" t="n"/>
      <c r="B33" s="4" t="n"/>
      <c r="C33" s="4" t="n"/>
      <c r="D33" s="4" t="n"/>
      <c r="E33" s="4" t="n"/>
      <c r="F33" s="4" t="n"/>
    </row>
    <row r="34" ht="15.75" customHeight="1">
      <c r="A34" s="41" t="inlineStr">
        <is>
          <t>VALUATION METRICS (For DCF Model)</t>
        </is>
      </c>
      <c r="B34" s="39" t="n"/>
      <c r="C34" s="39" t="n"/>
      <c r="D34" s="39" t="n"/>
      <c r="E34" s="39" t="n"/>
      <c r="F34" s="40" t="n"/>
    </row>
    <row r="35" ht="15" customHeight="1">
      <c r="A35" s="6" t="inlineStr">
        <is>
          <t>Revenue Growth %</t>
        </is>
      </c>
      <c r="B35" s="18" t="n">
        <v>0.3326</v>
      </c>
      <c r="C35" s="24">
        <f>'Income Statement'!C7/'Income Statement'!B7-1</f>
        <v/>
      </c>
      <c r="D35" s="24">
        <f>'Income Statement'!D7/'Income Statement'!C7-1</f>
        <v/>
      </c>
      <c r="E35" s="24">
        <f>'Income Statement'!E7/'Income Statement'!D7-1</f>
        <v/>
      </c>
      <c r="F35" s="24">
        <f>'Income Statement'!F7/'Income Statement'!E7-1</f>
        <v/>
      </c>
    </row>
    <row r="36" ht="15" customHeight="1">
      <c r="A36" s="10" t="inlineStr">
        <is>
          <t>EBITDA</t>
        </is>
      </c>
      <c r="B36" s="11" t="n">
        <v>123141</v>
      </c>
      <c r="C36" s="11" t="n">
        <v>130541</v>
      </c>
      <c r="D36" s="11" t="n">
        <v>125820</v>
      </c>
      <c r="E36" s="11" t="n">
        <v>134663</v>
      </c>
      <c r="F36" s="11" t="n">
        <v>138123</v>
      </c>
    </row>
    <row r="37" ht="15" customHeight="1">
      <c r="A37" s="10" t="inlineStr">
        <is>
          <t>EBIT</t>
        </is>
      </c>
      <c r="B37" s="11">
        <f>'Income Statement'!B22</f>
        <v/>
      </c>
      <c r="C37" s="11">
        <f>'Income Statement'!C22</f>
        <v/>
      </c>
      <c r="D37" s="11">
        <f>'Income Statement'!D22</f>
        <v/>
      </c>
      <c r="E37" s="11">
        <f>'Income Statement'!E22</f>
        <v/>
      </c>
      <c r="F37" s="11">
        <f>'Income Statement'!F22</f>
        <v/>
      </c>
    </row>
    <row r="38" ht="15" customHeight="1">
      <c r="A38" s="8" t="inlineStr">
        <is>
          <t>Tax Rate %</t>
        </is>
      </c>
      <c r="B38" s="19" t="n">
        <v>0.133</v>
      </c>
      <c r="C38" s="19" t="n">
        <v>0.1616</v>
      </c>
      <c r="D38" s="19" t="n">
        <v>0.1462</v>
      </c>
      <c r="E38" s="19" t="n">
        <v>0.239</v>
      </c>
      <c r="F38" s="19" t="n">
        <v>0.1154</v>
      </c>
    </row>
    <row r="39" ht="15" customHeight="1">
      <c r="A39" s="6" t="inlineStr">
        <is>
          <t>Capital Expenditures</t>
        </is>
      </c>
      <c r="B39" s="27">
        <f>-'Cash Flow Statement'!B24</f>
        <v/>
      </c>
      <c r="C39" s="27">
        <f>-'Cash Flow Statement'!C24</f>
        <v/>
      </c>
      <c r="D39" s="27">
        <f>-'Cash Flow Statement'!D24</f>
        <v/>
      </c>
      <c r="E39" s="27">
        <f>-'Cash Flow Statement'!E24</f>
        <v/>
      </c>
      <c r="F39" s="27">
        <f>-'Cash Flow Statement'!F24</f>
        <v/>
      </c>
    </row>
    <row r="40" ht="15" customHeight="1">
      <c r="A40" s="8" t="inlineStr">
        <is>
          <t>Depreciation &amp; Amortization</t>
        </is>
      </c>
      <c r="B40" s="28">
        <f>'Cash Flow Statement'!B7</f>
        <v/>
      </c>
      <c r="C40" s="28">
        <f>'Cash Flow Statement'!C7</f>
        <v/>
      </c>
      <c r="D40" s="28">
        <f>'Cash Flow Statement'!D7</f>
        <v/>
      </c>
      <c r="E40" s="28">
        <f>'Cash Flow Statement'!E7</f>
        <v/>
      </c>
      <c r="F40" s="28">
        <f>'Cash Flow Statement'!F7</f>
        <v/>
      </c>
    </row>
    <row r="41" ht="15" customHeight="1">
      <c r="A41" s="6" t="inlineStr">
        <is>
          <t>Change in Net Working Capital</t>
        </is>
      </c>
      <c r="B41" s="17" t="n">
        <v>847</v>
      </c>
      <c r="C41" s="17" t="n">
        <v>-632</v>
      </c>
      <c r="D41" s="7" t="n">
        <v>2242</v>
      </c>
      <c r="E41" s="7" t="n">
        <v>-3261</v>
      </c>
      <c r="F41" s="7" t="n">
        <v>8742</v>
      </c>
    </row>
    <row r="42" ht="15" customHeight="1">
      <c r="A42" s="10" t="inlineStr">
        <is>
          <t>Unlevered Free Cash Flow</t>
        </is>
      </c>
      <c r="B42" s="11">
        <f>'Cash Flow Statement'!B48</f>
        <v/>
      </c>
      <c r="C42" s="11">
        <f>'Cash Flow Statement'!C48</f>
        <v/>
      </c>
      <c r="D42" s="11">
        <f>'Cash Flow Statement'!D48</f>
        <v/>
      </c>
      <c r="E42" s="11">
        <f>'Cash Flow Statement'!E48</f>
        <v/>
      </c>
      <c r="F42" s="11">
        <f>'Cash Flow Statement'!F48</f>
        <v/>
      </c>
    </row>
  </sheetData>
  <mergeCells count="7">
    <mergeCell ref="A28:F28"/>
    <mergeCell ref="A1:F1"/>
    <mergeCell ref="A22:F22"/>
    <mergeCell ref="A17:F17"/>
    <mergeCell ref="A34:F34"/>
    <mergeCell ref="A12:F12"/>
    <mergeCell ref="A4:F4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53" t="inlineStr">
        <is>
          <t>Apple Inc. — Multi-Method Valuation Summary</t>
        </is>
      </c>
    </row>
    <row r="2">
      <c r="A2" t="inlineStr">
        <is>
          <t>All figures USD; per-share in USD. Live price $333.26 (21-Jul-2026), 14,690M diluted shares, net cash $33.1B.</t>
        </is>
      </c>
    </row>
    <row r="4">
      <c r="A4" s="54" t="inlineStr">
        <is>
          <t>KEY INPUTS</t>
        </is>
      </c>
    </row>
    <row r="5">
      <c r="A5" t="inlineStr">
        <is>
          <t>Live share price ($)</t>
        </is>
      </c>
      <c r="B5" s="14" t="n">
        <v>333.26</v>
      </c>
    </row>
    <row r="6">
      <c r="A6" t="inlineStr">
        <is>
          <t>Diluted shares (M)</t>
        </is>
      </c>
      <c r="B6" s="14" t="n">
        <v>14690</v>
      </c>
    </row>
    <row r="7">
      <c r="A7" t="inlineStr">
        <is>
          <t>Net cash (cash − debt, $M)</t>
        </is>
      </c>
      <c r="B7" s="14">
        <f>'DCF Model'!B81-'DCF Model'!B82</f>
        <v/>
      </c>
    </row>
    <row r="8">
      <c r="A8" t="inlineStr">
        <is>
          <t>FY26E revenue ($M)</t>
        </is>
      </c>
      <c r="B8" s="14">
        <f>'DCF Model'!D9</f>
        <v/>
      </c>
    </row>
    <row r="9">
      <c r="A9" t="inlineStr">
        <is>
          <t>FY26E EBIT ($M)</t>
        </is>
      </c>
      <c r="B9" s="14">
        <f>'DCF Model'!D20</f>
        <v/>
      </c>
    </row>
    <row r="10">
      <c r="A10" t="inlineStr">
        <is>
          <t>FY26E D&amp;A ($M)</t>
        </is>
      </c>
      <c r="B10" s="14">
        <f>'DCF Model'!D30</f>
        <v/>
      </c>
    </row>
    <row r="11">
      <c r="A11" t="inlineStr">
        <is>
          <t>FY26E EBITDA ($M)</t>
        </is>
      </c>
      <c r="B11" s="14">
        <f>'DCF Model'!D20+'DCF Model'!D30</f>
        <v/>
      </c>
    </row>
    <row r="12">
      <c r="A12" t="inlineStr">
        <is>
          <t>FY26E EPS ($)</t>
        </is>
      </c>
      <c r="B12" s="55" t="n">
        <v>9.300000000000001</v>
      </c>
    </row>
    <row r="13">
      <c r="A13" t="inlineStr">
        <is>
          <t>FY26E Services revenue ($M)</t>
        </is>
      </c>
      <c r="B13" s="14" t="n">
        <v>123350</v>
      </c>
    </row>
    <row r="14">
      <c r="A14" t="inlineStr">
        <is>
          <t>FY26E Products revenue ($M)</t>
        </is>
      </c>
      <c r="B14" s="14">
        <f>'DCF Model'!D9-B13</f>
        <v/>
      </c>
    </row>
    <row r="16">
      <c r="A16" s="54" t="inlineStr">
        <is>
          <t>VALUATION METHODS</t>
        </is>
      </c>
    </row>
    <row r="17">
      <c r="A17" s="56" t="inlineStr">
        <is>
          <t>Method</t>
        </is>
      </c>
      <c r="B17" s="56" t="inlineStr">
        <is>
          <t>Assumption</t>
        </is>
      </c>
      <c r="C17" s="56" t="inlineStr">
        <is>
          <t>Implied value/share ($)</t>
        </is>
      </c>
      <c r="D17" s="56" t="inlineStr">
        <is>
          <t>vs price</t>
        </is>
      </c>
      <c r="E17" s="56" t="inlineStr">
        <is>
          <t>Weight</t>
        </is>
      </c>
    </row>
    <row r="18">
      <c r="A18" t="inlineStr">
        <is>
          <t>DCF (intrinsic, conservative floor)</t>
        </is>
      </c>
      <c r="B18" t="inlineStr">
        <is>
          <t>WACC 9.85%, g 3.5%</t>
        </is>
      </c>
      <c r="C18" s="55">
        <f>'DCF Model'!B86</f>
        <v/>
      </c>
      <c r="D18" s="57">
        <f>C18/B5-1</f>
        <v/>
      </c>
      <c r="E18" s="58" t="n">
        <v>0.1</v>
      </c>
    </row>
    <row r="19">
      <c r="A19" t="inlineStr">
        <is>
          <t>Justified P/E (relative)</t>
        </is>
      </c>
      <c r="B19" t="inlineStr">
        <is>
          <t>38x × FY26E EPS</t>
        </is>
      </c>
      <c r="C19" s="55">
        <f>38*B12</f>
        <v/>
      </c>
      <c r="D19" s="57">
        <f>C19/B5-1</f>
        <v/>
      </c>
      <c r="E19" s="58" t="n">
        <v>0.4</v>
      </c>
    </row>
    <row r="20">
      <c r="A20" t="inlineStr">
        <is>
          <t>EV/EBITDA (relative)</t>
        </is>
      </c>
      <c r="B20" t="inlineStr">
        <is>
          <t>28x × FY26E EBITDA</t>
        </is>
      </c>
      <c r="C20" s="55">
        <f>(28*B11+B7)/B6</f>
        <v/>
      </c>
      <c r="D20" s="57">
        <f>C20/B5-1</f>
        <v/>
      </c>
      <c r="E20" s="58" t="n">
        <v>0.3</v>
      </c>
    </row>
    <row r="21">
      <c r="A21" t="inlineStr">
        <is>
          <t>Sum-of-the-parts (Services + Products)</t>
        </is>
      </c>
      <c r="B21" t="inlineStr">
        <is>
          <t>Services 13x rev + Products 5.5x rev</t>
        </is>
      </c>
      <c r="C21" s="55">
        <f>(13*B13+5.5*B14+B7)/B6</f>
        <v/>
      </c>
      <c r="D21" s="57">
        <f>C21/B5-1</f>
        <v/>
      </c>
      <c r="E21" s="58" t="n">
        <v>0.2</v>
      </c>
    </row>
    <row r="22">
      <c r="A22" t="inlineStr">
        <is>
          <t>(Reference) current market multiple</t>
        </is>
      </c>
      <c r="B22" t="inlineStr">
        <is>
          <t>40x TTM EPS</t>
        </is>
      </c>
      <c r="C22" s="55">
        <f>B5</f>
        <v/>
      </c>
    </row>
    <row r="24">
      <c r="A24" s="54" t="inlineStr">
        <is>
          <t>BLENDED VALUATION &amp; RATING</t>
        </is>
      </c>
    </row>
    <row r="25">
      <c r="A25" t="inlineStr">
        <is>
          <t>Blended fair value ($) = Σ weight × method</t>
        </is>
      </c>
      <c r="B25" s="55">
        <f>SUMPRODUCT(C18:C21,E18:E21)</f>
        <v/>
      </c>
    </row>
    <row r="26">
      <c r="A26" t="inlineStr">
        <is>
          <t>Upside / (downside) vs $333.26</t>
        </is>
      </c>
      <c r="B26" s="57">
        <f>B25/B5-1</f>
        <v/>
      </c>
    </row>
    <row r="27">
      <c r="A27" t="inlineStr">
        <is>
          <t>Rating</t>
        </is>
      </c>
      <c r="B27">
        <f>IF(B26&gt;0.10,"BUY",IF(B26&gt;-0.10,"HOLD","REDUCE"))</f>
        <v/>
      </c>
    </row>
    <row r="28">
      <c r="A28" t="inlineStr">
        <is>
          <t>Note: DCF structurally under-prices a 40x quality compounder (Services 26% of revenue at ~75% GM); we weight relative + SOTP methods higher. Even so, every method except a premium P/E sits below spot — no margin of safety. DDM n/a (buyback-led capital return, ~0.4% yield). Street: Buy, median target ~$310 (below spot).</t>
        </is>
      </c>
    </row>
  </sheetData>
  <mergeCells count="4">
    <mergeCell ref="A16:E16"/>
    <mergeCell ref="A1:E1"/>
    <mergeCell ref="A4:E4"/>
    <mergeCell ref="A24:E24"/>
  </mergeCells>
  <pageMargins left="0.25" right="0.25" top="0.3" bottom="0.3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1D1D1F"/>
    <outlinePr summaryBelow="1" summaryRight="1"/>
    <pageSetUpPr fitToPage="1"/>
  </sheetPr>
  <dimension ref="A1:H99"/>
  <sheetViews>
    <sheetView showGridLines="0" zoomScale="112" zoomScaleNormal="112" workbookViewId="0">
      <selection activeCell="B88" sqref="B88"/>
    </sheetView>
  </sheetViews>
  <sheetFormatPr baseColWidth="10" defaultColWidth="10.6640625" defaultRowHeight="15"/>
  <cols>
    <col width="46" customWidth="1" min="1" max="1"/>
    <col width="21.83203125" customWidth="1" min="2" max="2"/>
    <col width="24.6640625" customWidth="1" min="3" max="3"/>
    <col width="20" customWidth="1" min="4" max="4"/>
    <col width="19.5" customWidth="1" min="5" max="5"/>
    <col width="18" customWidth="1" min="6" max="6"/>
    <col width="17.6640625" customWidth="1" min="7" max="7"/>
    <col width="18.1640625" customWidth="1" min="8" max="8"/>
  </cols>
  <sheetData>
    <row r="1" ht="24" customHeight="1">
      <c r="A1" s="38" t="inlineStr">
        <is>
          <t>Apple Inc. - DCF Valuation Model</t>
        </is>
      </c>
      <c r="B1" s="39" t="n"/>
      <c r="C1" s="39" t="n"/>
      <c r="D1" s="39" t="n"/>
      <c r="E1" s="39" t="n"/>
      <c r="F1" s="39" t="n"/>
      <c r="G1" s="39" t="n"/>
      <c r="H1" s="40" t="n"/>
    </row>
    <row r="2" ht="15" customHeight="1">
      <c r="A2" s="29" t="inlineStr">
        <is>
          <t>All figures in USD Millions except per share data</t>
        </is>
      </c>
      <c r="B2" s="29" t="n"/>
      <c r="C2" s="29" t="n"/>
      <c r="D2" s="29" t="n"/>
      <c r="E2" s="29" t="n"/>
      <c r="F2" s="29" t="n"/>
      <c r="G2" s="29" t="n"/>
      <c r="H2" s="29" t="n"/>
    </row>
    <row r="3" ht="15" customHeight="1">
      <c r="A3" s="5" t="inlineStr">
        <is>
          <t>Base Case Assumptions (refreshed 21 Jul 2026 — FY2025 10-K actuals + H1 FY2026)</t>
        </is>
      </c>
      <c r="B3" s="5" t="n"/>
      <c r="C3" s="5" t="n"/>
      <c r="D3" s="5" t="n"/>
      <c r="E3" s="5" t="n"/>
      <c r="F3" s="5" t="n"/>
      <c r="G3" s="5" t="n"/>
      <c r="H3" s="5" t="n"/>
    </row>
    <row r="4" ht="15" customHeight="1">
      <c r="A4" s="5" t="inlineStr">
        <is>
          <t>AI upgrade supercycle: H1 FY26 revenue +16.4% YoY; growth normalizes FY27 onward</t>
        </is>
      </c>
      <c r="B4" s="5" t="n"/>
      <c r="C4" s="5" t="n"/>
      <c r="D4" s="5" t="n"/>
      <c r="E4" s="5" t="n"/>
      <c r="F4" s="5" t="n"/>
      <c r="G4" s="5" t="n"/>
      <c r="H4" s="5" t="n"/>
    </row>
    <row r="5" ht="15" customHeight="1">
      <c r="A5" s="12" t="inlineStr">
        <is>
          <t>Services ~26% of revenue growing mid-teens; operating margin drifts to 33%</t>
        </is>
      </c>
      <c r="B5" s="13" t="n"/>
      <c r="C5" s="13" t="n"/>
      <c r="D5" s="13" t="n"/>
      <c r="E5" s="13" t="n"/>
      <c r="F5" s="13" t="n"/>
      <c r="G5" s="13" t="n"/>
      <c r="H5" s="13" t="n"/>
    </row>
    <row r="6" ht="15" customHeight="1">
      <c r="A6" s="4" t="n"/>
      <c r="B6" s="4" t="n"/>
      <c r="C6" s="4" t="n"/>
      <c r="D6" s="4" t="n"/>
      <c r="E6" s="4" t="n"/>
      <c r="F6" s="4" t="n"/>
      <c r="G6" s="4" t="n"/>
      <c r="H6" s="4" t="n"/>
    </row>
    <row r="7" ht="15.75" customHeight="1">
      <c r="A7" s="41" t="inlineStr">
        <is>
          <t>SECTION 1: REVENUE PROJECTIONS</t>
        </is>
      </c>
      <c r="B7" s="39" t="n"/>
      <c r="C7" s="39" t="n"/>
      <c r="D7" s="39" t="n"/>
      <c r="E7" s="39" t="n"/>
      <c r="F7" s="39" t="n"/>
      <c r="G7" s="39" t="n"/>
      <c r="H7" s="40" t="n"/>
    </row>
    <row r="8" ht="18" customHeight="1">
      <c r="A8" s="30" t="n"/>
      <c r="B8" s="31" t="inlineStr">
        <is>
          <t>FY2024 (A)</t>
        </is>
      </c>
      <c r="C8" s="30" t="inlineStr">
        <is>
          <t>FY2025 (A)</t>
        </is>
      </c>
      <c r="D8" s="30" t="inlineStr">
        <is>
          <t>FY2026 (E)</t>
        </is>
      </c>
      <c r="E8" s="30" t="inlineStr">
        <is>
          <t>FY2027 (F)</t>
        </is>
      </c>
      <c r="F8" s="30" t="inlineStr">
        <is>
          <t>FY2028 (F)</t>
        </is>
      </c>
      <c r="G8" s="30" t="inlineStr">
        <is>
          <t>FY2029 (F)</t>
        </is>
      </c>
      <c r="H8" s="30" t="inlineStr">
        <is>
          <t>FY2030 (F)</t>
        </is>
      </c>
    </row>
    <row r="9" ht="15" customHeight="1">
      <c r="A9" s="6" t="inlineStr">
        <is>
          <t>Revenue</t>
        </is>
      </c>
      <c r="B9" s="7" t="n">
        <v>391035</v>
      </c>
      <c r="C9" s="7" t="n">
        <v>416161</v>
      </c>
      <c r="D9" s="7" t="n">
        <v>477000</v>
      </c>
      <c r="E9" s="7" t="n">
        <v>515160</v>
      </c>
      <c r="F9" s="7" t="n">
        <v>551221</v>
      </c>
      <c r="G9" s="7" t="n">
        <v>584294</v>
      </c>
      <c r="H9" s="7" t="n">
        <v>613509</v>
      </c>
    </row>
    <row r="10" ht="15" customHeight="1">
      <c r="A10" s="8" t="inlineStr">
        <is>
          <t>Revenue Growth %</t>
        </is>
      </c>
      <c r="B10" s="19" t="n">
        <v>0.0202</v>
      </c>
      <c r="C10" s="19" t="n">
        <v>0.0643</v>
      </c>
      <c r="D10" s="19" t="n">
        <v>0.1462</v>
      </c>
      <c r="E10" s="19" t="n">
        <v>0.08</v>
      </c>
      <c r="F10" s="19" t="n">
        <v>0.07000000000000001</v>
      </c>
      <c r="G10" s="19" t="n">
        <v>0.06</v>
      </c>
      <c r="H10" s="19" t="n">
        <v>0.05</v>
      </c>
    </row>
    <row r="11" ht="15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 ht="15.75" customHeight="1">
      <c r="A12" s="41" t="inlineStr">
        <is>
          <t>SECTION 2: OPERATING MARGINS</t>
        </is>
      </c>
      <c r="B12" s="39" t="n"/>
      <c r="C12" s="39" t="n"/>
      <c r="D12" s="39" t="n"/>
      <c r="E12" s="39" t="n"/>
      <c r="F12" s="39" t="n"/>
      <c r="G12" s="39" t="n"/>
      <c r="H12" s="40" t="n"/>
    </row>
    <row r="13" ht="15" customHeight="1">
      <c r="A13" s="8" t="n"/>
      <c r="B13" s="8" t="inlineStr">
        <is>
          <t>FY2024 (A)</t>
        </is>
      </c>
      <c r="C13" s="8" t="inlineStr">
        <is>
          <t>FY2025 (A)</t>
        </is>
      </c>
      <c r="D13" s="8" t="inlineStr">
        <is>
          <t>FY2026 (E)</t>
        </is>
      </c>
      <c r="E13" s="8" t="inlineStr">
        <is>
          <t>FY2027 (F)</t>
        </is>
      </c>
      <c r="F13" s="8" t="inlineStr">
        <is>
          <t>FY2028 (F)</t>
        </is>
      </c>
      <c r="G13" s="8" t="inlineStr">
        <is>
          <t>FY2029 (F)</t>
        </is>
      </c>
      <c r="H13" s="8" t="inlineStr">
        <is>
          <t>FY2030 (F)</t>
        </is>
      </c>
    </row>
    <row r="14" ht="15" customHeight="1">
      <c r="A14" s="8" t="inlineStr">
        <is>
          <t>Gross Margin %</t>
        </is>
      </c>
      <c r="B14" s="19" t="n">
        <v>0.4621</v>
      </c>
      <c r="C14" s="19" t="n">
        <v>0.4691</v>
      </c>
      <c r="D14" s="19" t="n">
        <v>0.472</v>
      </c>
      <c r="E14" s="19" t="n">
        <v>0.472</v>
      </c>
      <c r="F14" s="19" t="n">
        <v>0.471</v>
      </c>
      <c r="G14" s="19" t="n">
        <v>0.47</v>
      </c>
      <c r="H14" s="19" t="n">
        <v>0.47</v>
      </c>
    </row>
    <row r="15" ht="15" customHeight="1">
      <c r="A15" s="6" t="inlineStr">
        <is>
          <t>Operating Margin %</t>
        </is>
      </c>
      <c r="B15" s="18" t="n">
        <v>0.3151</v>
      </c>
      <c r="C15" s="18" t="n">
        <v>0.3197</v>
      </c>
      <c r="D15" s="18" t="n">
        <v>0.325</v>
      </c>
      <c r="E15" s="18" t="n">
        <v>0.327</v>
      </c>
      <c r="F15" s="18" t="n">
        <v>0.33</v>
      </c>
      <c r="G15" s="18" t="n">
        <v>0.33</v>
      </c>
      <c r="H15" s="18" t="n">
        <v>0.33</v>
      </c>
    </row>
    <row r="16" ht="15" customHeight="1">
      <c r="A16" s="4" t="n"/>
      <c r="B16" s="4" t="n"/>
      <c r="C16" s="4" t="n"/>
      <c r="D16" s="4" t="n"/>
      <c r="E16" s="4" t="n"/>
      <c r="F16" s="4" t="n"/>
      <c r="G16" s="4" t="n"/>
      <c r="H16" s="4" t="n"/>
    </row>
    <row r="17" ht="15.75" customHeight="1">
      <c r="A17" s="43" t="inlineStr">
        <is>
          <t>SECTION 3: CALCULATE EBIT</t>
        </is>
      </c>
      <c r="B17" s="44" t="n"/>
      <c r="C17" s="44" t="n"/>
      <c r="D17" s="44" t="n"/>
      <c r="E17" s="44" t="n"/>
      <c r="F17" s="44" t="n"/>
      <c r="G17" s="44" t="n"/>
      <c r="H17" s="45" t="n"/>
    </row>
    <row r="18" ht="15" customHeight="1">
      <c r="A18" s="8" t="n"/>
      <c r="B18" s="8" t="inlineStr">
        <is>
          <t>FY2024 (A)</t>
        </is>
      </c>
      <c r="C18" s="8" t="inlineStr">
        <is>
          <t>FY2025 (A)</t>
        </is>
      </c>
      <c r="D18" s="8" t="inlineStr">
        <is>
          <t>FY2026 (E)</t>
        </is>
      </c>
      <c r="E18" s="8" t="inlineStr">
        <is>
          <t>FY2027 (F)</t>
        </is>
      </c>
      <c r="F18" s="8" t="inlineStr">
        <is>
          <t>FY2028 (F)</t>
        </is>
      </c>
      <c r="G18" s="8" t="inlineStr">
        <is>
          <t>FY2029 (F)</t>
        </is>
      </c>
      <c r="H18" s="8" t="inlineStr">
        <is>
          <t>FY2030 (F)</t>
        </is>
      </c>
    </row>
    <row r="19" ht="15" customHeight="1">
      <c r="A19" s="8" t="inlineStr">
        <is>
          <t>Revenue</t>
        </is>
      </c>
      <c r="B19" s="21">
        <f>B9</f>
        <v/>
      </c>
      <c r="C19" s="21">
        <f>C9</f>
        <v/>
      </c>
      <c r="D19" s="21">
        <f>D9</f>
        <v/>
      </c>
      <c r="E19" s="21">
        <f>E9</f>
        <v/>
      </c>
      <c r="F19" s="21">
        <f>F9</f>
        <v/>
      </c>
      <c r="G19" s="9">
        <f>G9</f>
        <v/>
      </c>
      <c r="H19" s="9">
        <f>H9</f>
        <v/>
      </c>
    </row>
    <row r="20" ht="15" customHeight="1">
      <c r="A20" s="10" t="inlineStr">
        <is>
          <t>EBIT</t>
        </is>
      </c>
      <c r="B20" s="11">
        <f>B19*B15</f>
        <v/>
      </c>
      <c r="C20" s="11">
        <f>C19*C15</f>
        <v/>
      </c>
      <c r="D20" s="11">
        <f>D19*D15</f>
        <v/>
      </c>
      <c r="E20" s="11">
        <f>E19*E15</f>
        <v/>
      </c>
      <c r="F20" s="11">
        <f>F19*F15</f>
        <v/>
      </c>
      <c r="G20" s="11">
        <f>G19*G15</f>
        <v/>
      </c>
      <c r="H20" s="11">
        <f>H19*H15</f>
        <v/>
      </c>
    </row>
    <row r="21" ht="15" customHeight="1">
      <c r="A21" s="4" t="n"/>
      <c r="B21" s="4" t="n"/>
      <c r="C21" s="4" t="n"/>
      <c r="D21" s="4" t="n"/>
      <c r="E21" s="4" t="n"/>
      <c r="F21" s="4" t="n"/>
      <c r="G21" s="4" t="n"/>
      <c r="H21" s="4" t="n"/>
    </row>
    <row r="22" ht="15.75" customHeight="1">
      <c r="A22" s="41" t="inlineStr">
        <is>
          <t>SECTION 4: TAX AND NOPAT</t>
        </is>
      </c>
      <c r="B22" s="39" t="n"/>
      <c r="C22" s="39" t="n"/>
      <c r="D22" s="39" t="n"/>
      <c r="E22" s="39" t="n"/>
      <c r="F22" s="39" t="n"/>
      <c r="G22" s="39" t="n"/>
      <c r="H22" s="40" t="n"/>
    </row>
    <row r="23" ht="15" customHeight="1">
      <c r="A23" s="8" t="n"/>
      <c r="B23" s="8" t="inlineStr">
        <is>
          <t>FY2024 (A)</t>
        </is>
      </c>
      <c r="C23" s="8" t="inlineStr">
        <is>
          <t>FY2025 (A)</t>
        </is>
      </c>
      <c r="D23" s="8" t="inlineStr">
        <is>
          <t>FY2026 (E)</t>
        </is>
      </c>
      <c r="E23" s="8" t="inlineStr">
        <is>
          <t>FY2027 (F)</t>
        </is>
      </c>
      <c r="F23" s="8" t="inlineStr">
        <is>
          <t>FY2028 (F)</t>
        </is>
      </c>
      <c r="G23" s="8" t="inlineStr">
        <is>
          <t>FY2029 (F)</t>
        </is>
      </c>
      <c r="H23" s="8" t="inlineStr">
        <is>
          <t>FY2030 (F)</t>
        </is>
      </c>
    </row>
    <row r="24" ht="15" customHeight="1">
      <c r="A24" s="8" t="inlineStr">
        <is>
          <t>Tax Rate %</t>
        </is>
      </c>
      <c r="B24" s="19" t="n">
        <v>0.239</v>
      </c>
      <c r="C24" s="19" t="n">
        <v>0.16</v>
      </c>
      <c r="D24" s="19" t="n">
        <v>0.16</v>
      </c>
      <c r="E24" s="19" t="n">
        <v>0.16</v>
      </c>
      <c r="F24" s="19" t="n">
        <v>0.16</v>
      </c>
      <c r="G24" s="19" t="n">
        <v>0.16</v>
      </c>
      <c r="H24" s="19" t="n">
        <v>0.16</v>
      </c>
    </row>
    <row r="25" ht="15" customHeight="1">
      <c r="A25" s="10" t="inlineStr">
        <is>
          <t>Taxes on EBIT</t>
        </is>
      </c>
      <c r="B25" s="11">
        <f>B20*B24</f>
        <v/>
      </c>
      <c r="C25" s="11">
        <f>C20*C24</f>
        <v/>
      </c>
      <c r="D25" s="11">
        <f>D20*D24</f>
        <v/>
      </c>
      <c r="E25" s="11">
        <f>E20*E24</f>
        <v/>
      </c>
      <c r="F25" s="11">
        <f>F20*F24</f>
        <v/>
      </c>
      <c r="G25" s="11">
        <f>G20*G24</f>
        <v/>
      </c>
      <c r="H25" s="11">
        <f>H20*H24</f>
        <v/>
      </c>
    </row>
    <row r="26" ht="15" customHeight="1">
      <c r="A26" s="10" t="inlineStr">
        <is>
          <t>NOPAT (EBIT - Taxes)</t>
        </is>
      </c>
      <c r="B26" s="11">
        <f>B20-B25</f>
        <v/>
      </c>
      <c r="C26" s="11">
        <f>C20-C25</f>
        <v/>
      </c>
      <c r="D26" s="11">
        <f>D20-D25</f>
        <v/>
      </c>
      <c r="E26" s="11">
        <f>E20-E25</f>
        <v/>
      </c>
      <c r="F26" s="11">
        <f>F20-F25</f>
        <v/>
      </c>
      <c r="G26" s="11">
        <f>G20-G25</f>
        <v/>
      </c>
      <c r="H26" s="11">
        <f>H20-H25</f>
        <v/>
      </c>
    </row>
    <row r="27" ht="15" customHeight="1">
      <c r="A27" s="4" t="n"/>
      <c r="B27" s="4" t="n"/>
      <c r="C27" s="4" t="n"/>
      <c r="D27" s="4" t="n"/>
      <c r="E27" s="4" t="n"/>
      <c r="F27" s="4" t="n"/>
      <c r="G27" s="4" t="n"/>
      <c r="H27" s="4" t="n"/>
    </row>
    <row r="28" ht="15.75" customHeight="1">
      <c r="A28" s="41" t="inlineStr">
        <is>
          <t>SECTION 5: ADD BACK D&amp;A</t>
        </is>
      </c>
      <c r="B28" s="39" t="n"/>
      <c r="C28" s="39" t="n"/>
      <c r="D28" s="39" t="n"/>
      <c r="E28" s="39" t="n"/>
      <c r="F28" s="39" t="n"/>
      <c r="G28" s="39" t="n"/>
      <c r="H28" s="40" t="n"/>
    </row>
    <row r="29" ht="15" customHeight="1">
      <c r="A29" s="8" t="n"/>
      <c r="B29" s="8" t="inlineStr">
        <is>
          <t>FY2024 (A)</t>
        </is>
      </c>
      <c r="C29" s="8" t="inlineStr">
        <is>
          <t>FY2025 (A)</t>
        </is>
      </c>
      <c r="D29" s="8" t="inlineStr">
        <is>
          <t>FY2026 (E)</t>
        </is>
      </c>
      <c r="E29" s="8" t="inlineStr">
        <is>
          <t>FY2027 (F)</t>
        </is>
      </c>
      <c r="F29" s="8" t="inlineStr">
        <is>
          <t>FY2028 (F)</t>
        </is>
      </c>
      <c r="G29" s="8" t="inlineStr">
        <is>
          <t>FY2029 (F)</t>
        </is>
      </c>
      <c r="H29" s="8" t="inlineStr">
        <is>
          <t>FY2030 (F)</t>
        </is>
      </c>
    </row>
    <row r="30" ht="15" customHeight="1">
      <c r="A30" s="8" t="inlineStr">
        <is>
          <t>Depreciation &amp; Amortization</t>
        </is>
      </c>
      <c r="B30" s="9" t="n">
        <v>11445</v>
      </c>
      <c r="C30" s="9" t="n">
        <v>11500</v>
      </c>
      <c r="D30" s="9" t="n">
        <v>12500</v>
      </c>
      <c r="E30" s="9" t="n">
        <v>13000</v>
      </c>
      <c r="F30" s="9" t="n">
        <v>13600</v>
      </c>
      <c r="G30" s="9" t="n">
        <v>14200</v>
      </c>
      <c r="H30" s="9" t="n">
        <v>14900</v>
      </c>
    </row>
    <row r="31" ht="15" customHeight="1">
      <c r="A31" s="4" t="n"/>
      <c r="B31" s="4" t="n"/>
      <c r="C31" s="4" t="n"/>
      <c r="D31" s="4" t="n"/>
      <c r="E31" s="4" t="n"/>
      <c r="F31" s="4" t="n"/>
      <c r="G31" s="4" t="n"/>
      <c r="H31" s="4" t="n"/>
    </row>
    <row r="32" ht="15.75" customHeight="1">
      <c r="A32" s="41" t="inlineStr">
        <is>
          <t>SECTION 6: CAPEX AND NWC</t>
        </is>
      </c>
      <c r="B32" s="39" t="n"/>
      <c r="C32" s="39" t="n"/>
      <c r="D32" s="39" t="n"/>
      <c r="E32" s="39" t="n"/>
      <c r="F32" s="39" t="n"/>
      <c r="G32" s="39" t="n"/>
      <c r="H32" s="40" t="n"/>
    </row>
    <row r="33" ht="15" customHeight="1">
      <c r="A33" s="8" t="n"/>
      <c r="B33" s="8" t="inlineStr">
        <is>
          <t>FY2024 (A)</t>
        </is>
      </c>
      <c r="C33" s="8" t="inlineStr">
        <is>
          <t>FY2025 (A)</t>
        </is>
      </c>
      <c r="D33" s="8" t="inlineStr">
        <is>
          <t>FY2026 (E)</t>
        </is>
      </c>
      <c r="E33" s="8" t="inlineStr">
        <is>
          <t>FY2027 (F)</t>
        </is>
      </c>
      <c r="F33" s="8" t="inlineStr">
        <is>
          <t>FY2028 (F)</t>
        </is>
      </c>
      <c r="G33" s="8" t="inlineStr">
        <is>
          <t>FY2029 (F)</t>
        </is>
      </c>
      <c r="H33" s="8" t="inlineStr">
        <is>
          <t>FY2030 (F)</t>
        </is>
      </c>
    </row>
    <row r="34" ht="15" customHeight="1">
      <c r="A34" s="8" t="inlineStr">
        <is>
          <t>Capital Expenditures (Capex)</t>
        </is>
      </c>
      <c r="B34" s="9" t="n">
        <v>9447</v>
      </c>
      <c r="C34" s="9" t="n">
        <v>10000</v>
      </c>
      <c r="D34" s="9" t="n">
        <v>14000</v>
      </c>
      <c r="E34" s="9" t="n">
        <v>15000</v>
      </c>
      <c r="F34" s="9" t="n">
        <v>15800</v>
      </c>
      <c r="G34" s="9" t="n">
        <v>16500</v>
      </c>
      <c r="H34" s="9" t="n">
        <v>17200</v>
      </c>
    </row>
    <row r="35" ht="15" customHeight="1">
      <c r="A35" s="6" t="inlineStr">
        <is>
          <t>Change in Net Working Capital</t>
        </is>
      </c>
      <c r="B35" s="7" t="n">
        <v>-3261</v>
      </c>
      <c r="C35" s="7" t="n">
        <v>8742</v>
      </c>
      <c r="D35" s="7" t="n">
        <v>1500</v>
      </c>
      <c r="E35" s="7" t="n">
        <v>1300</v>
      </c>
      <c r="F35" s="7" t="n">
        <v>1200</v>
      </c>
      <c r="G35" s="7" t="n">
        <v>1100</v>
      </c>
      <c r="H35" s="17" t="n">
        <v>1000</v>
      </c>
    </row>
    <row r="36" ht="15" customHeight="1">
      <c r="A36" s="4" t="n"/>
      <c r="B36" s="4" t="n"/>
      <c r="C36" s="4" t="n"/>
      <c r="D36" s="4" t="n"/>
      <c r="E36" s="4" t="n"/>
      <c r="F36" s="4" t="n"/>
      <c r="G36" s="4" t="n"/>
      <c r="H36" s="4" t="n"/>
    </row>
    <row r="37" ht="15.75" customHeight="1">
      <c r="A37" s="43" t="inlineStr">
        <is>
          <t>SECTION 7: UNLEVERED FCF</t>
        </is>
      </c>
      <c r="B37" s="44" t="n"/>
      <c r="C37" s="44" t="n"/>
      <c r="D37" s="44" t="n"/>
      <c r="E37" s="44" t="n"/>
      <c r="F37" s="44" t="n"/>
      <c r="G37" s="44" t="n"/>
      <c r="H37" s="45" t="n"/>
    </row>
    <row r="38" ht="15" customHeight="1">
      <c r="A38" s="8" t="n"/>
      <c r="B38" s="8" t="inlineStr">
        <is>
          <t>FY2024 (A)</t>
        </is>
      </c>
      <c r="C38" s="8" t="inlineStr">
        <is>
          <t>FY2025 (A)</t>
        </is>
      </c>
      <c r="D38" s="8" t="inlineStr">
        <is>
          <t>FY2026 (E)</t>
        </is>
      </c>
      <c r="E38" s="8" t="inlineStr">
        <is>
          <t>FY2027 (F)</t>
        </is>
      </c>
      <c r="F38" s="8" t="inlineStr">
        <is>
          <t>FY2028 (F)</t>
        </is>
      </c>
      <c r="G38" s="8" t="inlineStr">
        <is>
          <t>FY2029 (F)</t>
        </is>
      </c>
      <c r="H38" s="8" t="inlineStr">
        <is>
          <t>FY2030 (F)</t>
        </is>
      </c>
    </row>
    <row r="39" ht="15" customHeight="1">
      <c r="A39" s="8" t="inlineStr">
        <is>
          <t>NOPAT</t>
        </is>
      </c>
      <c r="B39" s="21">
        <f>B26</f>
        <v/>
      </c>
      <c r="C39" s="21">
        <f>C26</f>
        <v/>
      </c>
      <c r="D39" s="21">
        <f>D26</f>
        <v/>
      </c>
      <c r="E39" s="21">
        <f>E26</f>
        <v/>
      </c>
      <c r="F39" s="21">
        <f>F26</f>
        <v/>
      </c>
      <c r="G39" s="9">
        <f>G26</f>
        <v/>
      </c>
      <c r="H39" s="9">
        <f>H26</f>
        <v/>
      </c>
    </row>
    <row r="40" ht="15" customHeight="1">
      <c r="A40" s="6" t="inlineStr">
        <is>
          <t>Add: Depreciation &amp; Amortization</t>
        </is>
      </c>
      <c r="B40" s="22">
        <f>B30</f>
        <v/>
      </c>
      <c r="C40" s="22">
        <f>C30</f>
        <v/>
      </c>
      <c r="D40" s="22">
        <f>D30</f>
        <v/>
      </c>
      <c r="E40" s="22">
        <f>E30</f>
        <v/>
      </c>
      <c r="F40" s="22">
        <f>F30</f>
        <v/>
      </c>
      <c r="G40" s="7">
        <f>G30</f>
        <v/>
      </c>
      <c r="H40" s="7">
        <f>H30</f>
        <v/>
      </c>
    </row>
    <row r="41" ht="15" customHeight="1">
      <c r="A41" s="8" t="inlineStr">
        <is>
          <t>Less: Capital Expenditures</t>
        </is>
      </c>
      <c r="B41" s="21">
        <f>-B34</f>
        <v/>
      </c>
      <c r="C41" s="21">
        <f>-C34</f>
        <v/>
      </c>
      <c r="D41" s="21">
        <f>-D34</f>
        <v/>
      </c>
      <c r="E41" s="21">
        <f>-E34</f>
        <v/>
      </c>
      <c r="F41" s="21">
        <f>-F34</f>
        <v/>
      </c>
      <c r="G41" s="9">
        <f>-G34</f>
        <v/>
      </c>
      <c r="H41" s="9">
        <f>-H34</f>
        <v/>
      </c>
    </row>
    <row r="42" ht="15" customHeight="1">
      <c r="A42" s="6" t="inlineStr">
        <is>
          <t>Less: Change in NWC</t>
        </is>
      </c>
      <c r="B42" s="22">
        <f>-B35</f>
        <v/>
      </c>
      <c r="C42" s="22">
        <f>-C35</f>
        <v/>
      </c>
      <c r="D42" s="22">
        <f>-D35</f>
        <v/>
      </c>
      <c r="E42" s="22">
        <f>-E35</f>
        <v/>
      </c>
      <c r="F42" s="22">
        <f>-F35</f>
        <v/>
      </c>
      <c r="G42" s="7">
        <f>-G35</f>
        <v/>
      </c>
      <c r="H42" s="17">
        <f>-H35</f>
        <v/>
      </c>
    </row>
    <row r="43" ht="15" customHeight="1">
      <c r="A43" s="10" t="inlineStr">
        <is>
          <t>Unlevered Free Cash Flow</t>
        </is>
      </c>
      <c r="B43" s="11">
        <f>B39+B40+B41+B42</f>
        <v/>
      </c>
      <c r="C43" s="11">
        <f>C39+C40+C41+C42</f>
        <v/>
      </c>
      <c r="D43" s="11">
        <f>D39+D40+D41+D42</f>
        <v/>
      </c>
      <c r="E43" s="11">
        <f>E39+E40+E41+E42</f>
        <v/>
      </c>
      <c r="F43" s="11">
        <f>F39+F40+F41+F42</f>
        <v/>
      </c>
      <c r="G43" s="11">
        <f>G39+G40+G41+G42</f>
        <v/>
      </c>
      <c r="H43" s="11">
        <f>H39+H40+H41+H42</f>
        <v/>
      </c>
    </row>
    <row r="44" ht="15" customHeight="1">
      <c r="A44" s="4" t="n"/>
      <c r="B44" s="4" t="n"/>
      <c r="C44" s="4" t="n"/>
      <c r="D44" s="4" t="n"/>
      <c r="E44" s="4" t="n"/>
      <c r="F44" s="4" t="n"/>
      <c r="G44" s="4" t="n"/>
      <c r="H44" s="4" t="n"/>
    </row>
    <row r="45" ht="15.75" customHeight="1">
      <c r="A45" s="41" t="inlineStr">
        <is>
          <t>SECTION 8: WACC ASSUMPTIONS</t>
        </is>
      </c>
      <c r="B45" s="39" t="n"/>
      <c r="C45" s="39" t="n"/>
      <c r="D45" s="39" t="n"/>
      <c r="E45" s="39" t="n"/>
      <c r="F45" s="39" t="n"/>
      <c r="G45" s="39" t="n"/>
      <c r="H45" s="40" t="n"/>
    </row>
    <row r="46" ht="15" customHeight="1">
      <c r="A46" s="6" t="inlineStr">
        <is>
          <t>Risk-Free Rate</t>
        </is>
      </c>
      <c r="B46" s="18" t="n">
        <v>0.045</v>
      </c>
      <c r="C46" s="6" t="inlineStr">
        <is>
          <t>10-Year US Treasury</t>
        </is>
      </c>
      <c r="D46" s="4" t="n"/>
      <c r="E46" s="4" t="n"/>
      <c r="F46" s="4" t="n"/>
      <c r="G46" s="4" t="n"/>
      <c r="H46" s="4" t="n"/>
    </row>
    <row r="47" ht="15" customHeight="1">
      <c r="A47" s="8" t="inlineStr">
        <is>
          <t>Market Risk Premium</t>
        </is>
      </c>
      <c r="B47" s="19" t="n">
        <v>0.05</v>
      </c>
      <c r="C47" s="8" t="inlineStr">
        <is>
          <t>Equity risk premium</t>
        </is>
      </c>
      <c r="D47" s="8" t="n"/>
      <c r="E47" s="8" t="n"/>
      <c r="F47" s="8" t="n"/>
      <c r="G47" s="8" t="n"/>
      <c r="H47" s="8" t="n"/>
    </row>
    <row r="48" ht="15" customHeight="1">
      <c r="A48" s="6" t="inlineStr">
        <is>
          <t>Beta</t>
        </is>
      </c>
      <c r="B48" s="17" t="n">
        <v>1.1</v>
      </c>
      <c r="C48" s="6" t="inlineStr">
        <is>
          <t>Apple beta vs S&amp;P 500</t>
        </is>
      </c>
      <c r="D48" s="4" t="n"/>
      <c r="E48" s="4" t="n"/>
      <c r="F48" s="4" t="n"/>
      <c r="G48" s="4" t="n"/>
      <c r="H48" s="4" t="n"/>
    </row>
    <row r="49" ht="15" customHeight="1">
      <c r="A49" s="8" t="inlineStr">
        <is>
          <t>Cost of Equity (CAPM)</t>
        </is>
      </c>
      <c r="B49" s="15">
        <f>B46+B48*B47</f>
        <v/>
      </c>
      <c r="C49" s="15">
        <f>4.5% + (1.10 * 5%)</f>
        <v/>
      </c>
      <c r="D49" s="8" t="n"/>
      <c r="E49" s="8" t="n"/>
      <c r="F49" s="8" t="n"/>
      <c r="G49" s="8" t="n"/>
      <c r="H49" s="8" t="n"/>
    </row>
    <row r="50" ht="15" customHeight="1">
      <c r="A50" s="4" t="n"/>
      <c r="B50" s="4" t="n"/>
      <c r="C50" s="4" t="n"/>
      <c r="D50" s="4" t="n"/>
      <c r="E50" s="4" t="n"/>
      <c r="F50" s="4" t="n"/>
      <c r="G50" s="4" t="n"/>
      <c r="H50" s="4" t="n"/>
    </row>
    <row r="51" ht="15" customHeight="1">
      <c r="A51" s="6" t="inlineStr">
        <is>
          <t>Market Value of Equity</t>
        </is>
      </c>
      <c r="B51" s="7" t="n">
        <v>4896000</v>
      </c>
      <c r="C51" s="6" t="inlineStr">
        <is>
          <t>Current market cap (Jul 2026)</t>
        </is>
      </c>
      <c r="D51" s="4" t="n"/>
      <c r="E51" s="4" t="n"/>
      <c r="F51" s="4" t="n"/>
      <c r="G51" s="4" t="n"/>
      <c r="H51" s="4" t="n"/>
    </row>
    <row r="52" ht="15" customHeight="1">
      <c r="A52" s="8" t="inlineStr">
        <is>
          <t>Market Value of Debt</t>
        </is>
      </c>
      <c r="B52" s="9" t="n">
        <v>99300</v>
      </c>
      <c r="C52" s="8" t="inlineStr">
        <is>
          <t>Notes $91.3B + commercial paper $8.0B (FY25 10-K)</t>
        </is>
      </c>
      <c r="D52" s="8" t="n"/>
      <c r="E52" s="8" t="n"/>
      <c r="F52" s="8" t="n"/>
      <c r="G52" s="8" t="n"/>
      <c r="H52" s="8" t="n"/>
    </row>
    <row r="53" ht="15" customHeight="1">
      <c r="A53" s="6" t="inlineStr">
        <is>
          <t>Cost of Debt</t>
        </is>
      </c>
      <c r="B53" s="18" t="n">
        <v>0.032</v>
      </c>
      <c r="C53" s="6" t="inlineStr">
        <is>
          <t>Weighted avg debt cost</t>
        </is>
      </c>
      <c r="D53" s="4" t="n"/>
      <c r="E53" s="4" t="n"/>
      <c r="F53" s="4" t="n"/>
      <c r="G53" s="4" t="n"/>
      <c r="H53" s="4" t="n"/>
    </row>
    <row r="54" ht="15" customHeight="1">
      <c r="A54" s="8" t="inlineStr">
        <is>
          <t>Tax Rate</t>
        </is>
      </c>
      <c r="B54" s="19" t="n">
        <v>0.16</v>
      </c>
      <c r="C54" s="8" t="inlineStr">
        <is>
          <t>Normalized effective rate</t>
        </is>
      </c>
      <c r="D54" s="8" t="n"/>
      <c r="E54" s="8" t="n"/>
      <c r="F54" s="8" t="n"/>
      <c r="G54" s="8" t="n"/>
      <c r="H54" s="8" t="n"/>
    </row>
    <row r="55" ht="15" customHeight="1">
      <c r="A55" s="6" t="inlineStr">
        <is>
          <t>After-Tax Cost of Debt</t>
        </is>
      </c>
      <c r="B55" s="32">
        <f>B53*(1-B54)</f>
        <v/>
      </c>
      <c r="C55" s="6">
        <f>3.2% * (1 - 16%)</f>
        <v/>
      </c>
      <c r="D55" s="4" t="n"/>
      <c r="E55" s="4" t="n"/>
      <c r="F55" s="4" t="n"/>
      <c r="G55" s="4" t="n"/>
      <c r="H55" s="4" t="n"/>
    </row>
    <row r="56" ht="15" customHeight="1">
      <c r="A56" s="4" t="n"/>
      <c r="B56" s="4" t="n"/>
      <c r="C56" s="4" t="n"/>
      <c r="D56" s="4" t="n"/>
      <c r="E56" s="4" t="n"/>
      <c r="F56" s="4" t="n"/>
      <c r="G56" s="4" t="n"/>
      <c r="H56" s="4" t="n"/>
    </row>
    <row r="57" ht="15" customHeight="1">
      <c r="A57" s="10" t="inlineStr">
        <is>
          <t>Total Capital</t>
        </is>
      </c>
      <c r="B57" s="11">
        <f>B51+B52</f>
        <v/>
      </c>
      <c r="C57" s="10" t="inlineStr">
        <is>
          <t>Equity + Debt</t>
        </is>
      </c>
      <c r="D57" s="10" t="n"/>
      <c r="E57" s="10" t="n"/>
      <c r="F57" s="10" t="n"/>
      <c r="G57" s="10" t="n"/>
      <c r="H57" s="10" t="n"/>
    </row>
    <row r="58" ht="15" customHeight="1">
      <c r="A58" s="6" t="inlineStr">
        <is>
          <t>Weight of Equity</t>
        </is>
      </c>
      <c r="B58" s="18">
        <f>B51/B57</f>
        <v/>
      </c>
      <c r="C58" s="6" t="inlineStr">
        <is>
          <t>Equity / Total Capital</t>
        </is>
      </c>
      <c r="D58" s="4" t="n"/>
      <c r="E58" s="4" t="n"/>
      <c r="F58" s="4" t="n"/>
      <c r="G58" s="4" t="n"/>
      <c r="H58" s="4" t="n"/>
    </row>
    <row r="59" ht="15" customHeight="1">
      <c r="A59" s="8" t="inlineStr">
        <is>
          <t>Weight of Debt</t>
        </is>
      </c>
      <c r="B59" s="15">
        <f>B52/B57</f>
        <v/>
      </c>
      <c r="C59" s="8" t="inlineStr">
        <is>
          <t>Debt / Total Capital</t>
        </is>
      </c>
      <c r="D59" s="8" t="n"/>
      <c r="E59" s="8" t="n"/>
      <c r="F59" s="8" t="n"/>
      <c r="G59" s="8" t="n"/>
      <c r="H59" s="8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</row>
    <row r="61" ht="15" customHeight="1">
      <c r="A61" s="6" t="inlineStr">
        <is>
          <t>WACC</t>
        </is>
      </c>
      <c r="B61" s="18">
        <f>B49*B58+B55*B59</f>
        <v/>
      </c>
      <c r="C61" s="6">
        <f>(10.0% x 98.0%) + (2.69% x 2.0%)</f>
        <v/>
      </c>
      <c r="D61" s="4" t="n"/>
      <c r="E61" s="4" t="n"/>
      <c r="F61" s="4" t="n"/>
      <c r="G61" s="4" t="n"/>
      <c r="H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</row>
    <row r="63" ht="15.75" customHeight="1">
      <c r="A63" s="41" t="inlineStr">
        <is>
          <t>SECTION 9: TERMINAL VALUE</t>
        </is>
      </c>
      <c r="B63" s="39" t="n"/>
      <c r="C63" s="39" t="n"/>
      <c r="D63" s="39" t="n"/>
      <c r="E63" s="39" t="n"/>
      <c r="F63" s="39" t="n"/>
      <c r="G63" s="39" t="n"/>
      <c r="H63" s="40" t="n"/>
    </row>
    <row r="64" ht="15" customHeight="1">
      <c r="A64" s="6" t="inlineStr">
        <is>
          <t>Perpetual Growth Rate</t>
        </is>
      </c>
      <c r="B64" s="18" t="n">
        <v>0.035</v>
      </c>
      <c r="C64" s="6" t="inlineStr">
        <is>
          <t>Quality/AI premium to long-term GDP growth</t>
        </is>
      </c>
      <c r="D64" s="4" t="n"/>
      <c r="E64" s="4" t="n"/>
      <c r="F64" s="4" t="n"/>
      <c r="G64" s="4" t="n"/>
      <c r="H64" s="4" t="n"/>
    </row>
    <row r="65" ht="15" customHeight="1">
      <c r="A65" s="10" t="inlineStr">
        <is>
          <t>Terminal FCF (Year 2030)</t>
        </is>
      </c>
      <c r="B65" s="11">
        <f>H43</f>
        <v/>
      </c>
      <c r="C65" s="10" t="inlineStr">
        <is>
          <t>From projections above</t>
        </is>
      </c>
      <c r="D65" s="10" t="n"/>
      <c r="E65" s="10" t="n"/>
      <c r="F65" s="10" t="n"/>
      <c r="G65" s="10" t="n"/>
      <c r="H65" s="10" t="n"/>
    </row>
    <row r="66" ht="15" customHeight="1">
      <c r="A66" s="10" t="inlineStr">
        <is>
          <t>Terminal Year FCF (2031)</t>
        </is>
      </c>
      <c r="B66" s="11">
        <f>B65*(1+B64)</f>
        <v/>
      </c>
      <c r="C66" s="10" t="n">
        <v>0</v>
      </c>
      <c r="D66" s="4" t="n"/>
      <c r="E66" s="4" t="n"/>
      <c r="F66" s="4" t="n"/>
      <c r="G66" s="4" t="n"/>
      <c r="H66" s="4" t="n"/>
    </row>
    <row r="67" ht="15" customHeight="1">
      <c r="A67" s="8" t="inlineStr">
        <is>
          <t>Terminal Value</t>
        </is>
      </c>
      <c r="B67" s="9">
        <f>B66/(B61-B64)</f>
        <v/>
      </c>
      <c r="C67" s="20" t="n">
        <v>0</v>
      </c>
      <c r="D67" s="8" t="n"/>
      <c r="E67" s="8" t="n"/>
      <c r="F67" s="8" t="n"/>
      <c r="G67" s="8" t="n"/>
      <c r="H67" s="8" t="n"/>
    </row>
    <row r="68" ht="15" customHeight="1">
      <c r="A68" s="6" t="inlineStr">
        <is>
          <t>PV of Terminal Value</t>
        </is>
      </c>
      <c r="B68" s="7">
        <f>B67*F74</f>
        <v/>
      </c>
      <c r="C68" s="6" t="inlineStr">
        <is>
          <t>Discounted to present (5 years)</t>
        </is>
      </c>
      <c r="D68" s="4" t="n"/>
      <c r="E68" s="4" t="n"/>
      <c r="F68" s="4" t="n"/>
      <c r="G68" s="4" t="n"/>
      <c r="H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</row>
    <row r="70" ht="15.75" customHeight="1">
      <c r="A70" s="41" t="inlineStr">
        <is>
          <t>SECTION 10: DCF VALUATION</t>
        </is>
      </c>
      <c r="B70" s="39" t="n"/>
      <c r="C70" s="39" t="n"/>
      <c r="D70" s="39" t="n"/>
      <c r="E70" s="39" t="n"/>
      <c r="F70" s="39" t="n"/>
      <c r="G70" s="39" t="n"/>
      <c r="H70" s="40" t="n"/>
    </row>
    <row r="71" ht="15" customHeight="1">
      <c r="A71" s="8" t="n"/>
      <c r="B71" s="8" t="inlineStr">
        <is>
          <t>FY2026</t>
        </is>
      </c>
      <c r="C71" s="8" t="inlineStr">
        <is>
          <t>FY2027</t>
        </is>
      </c>
      <c r="D71" s="8" t="inlineStr">
        <is>
          <t>FY2028</t>
        </is>
      </c>
      <c r="E71" s="8" t="inlineStr">
        <is>
          <t>FY2029</t>
        </is>
      </c>
      <c r="F71" s="8" t="inlineStr">
        <is>
          <t>FY2030</t>
        </is>
      </c>
      <c r="G71" s="8" t="inlineStr">
        <is>
          <t>Total</t>
        </is>
      </c>
      <c r="H71" s="8" t="n"/>
    </row>
    <row r="72" ht="15" customHeight="1">
      <c r="A72" s="10" t="inlineStr">
        <is>
          <t>Unlevered FCF</t>
        </is>
      </c>
      <c r="B72" s="11">
        <f>D43</f>
        <v/>
      </c>
      <c r="C72" s="11">
        <f>E43</f>
        <v/>
      </c>
      <c r="D72" s="11">
        <f>F43</f>
        <v/>
      </c>
      <c r="E72" s="11">
        <f>G43</f>
        <v/>
      </c>
      <c r="F72" s="11">
        <f>H43</f>
        <v/>
      </c>
      <c r="G72" s="10" t="n"/>
      <c r="H72" s="10" t="n"/>
    </row>
    <row r="73" ht="15" customHeight="1">
      <c r="A73" s="6" t="inlineStr">
        <is>
          <t>Discount Period</t>
        </is>
      </c>
      <c r="B73" s="17" t="n">
        <v>1</v>
      </c>
      <c r="C73" s="17" t="n">
        <v>2</v>
      </c>
      <c r="D73" s="17" t="n">
        <v>3</v>
      </c>
      <c r="E73" s="17" t="n">
        <v>4</v>
      </c>
      <c r="F73" s="17" t="n">
        <v>5</v>
      </c>
      <c r="G73" s="4" t="n"/>
      <c r="H73" s="4" t="n"/>
    </row>
    <row r="74" ht="15" customHeight="1">
      <c r="A74" s="8" t="inlineStr">
        <is>
          <t>Discount Factor</t>
        </is>
      </c>
      <c r="B74" s="20">
        <f>1/(1+$B$61)^B73</f>
        <v/>
      </c>
      <c r="C74" s="20">
        <f>1/(1+$B$61)^C73</f>
        <v/>
      </c>
      <c r="D74" s="20">
        <f>1/(1+$B$61)^D73</f>
        <v/>
      </c>
      <c r="E74" s="20">
        <f>1/(1+$B$61)^E73</f>
        <v/>
      </c>
      <c r="F74" s="20">
        <f>1/(1+$B$61)^F73</f>
        <v/>
      </c>
      <c r="G74" s="8" t="n"/>
      <c r="H74" s="8" t="n"/>
    </row>
    <row r="75" ht="15" customHeight="1">
      <c r="A75" s="10" t="inlineStr">
        <is>
          <t>Present Value of FCF</t>
        </is>
      </c>
      <c r="B75" s="11">
        <f>B72*B74</f>
        <v/>
      </c>
      <c r="C75" s="11">
        <f>C72*C74</f>
        <v/>
      </c>
      <c r="D75" s="11">
        <f>D72*D74</f>
        <v/>
      </c>
      <c r="E75" s="11">
        <f>E72*E74</f>
        <v/>
      </c>
      <c r="F75" s="11">
        <f>F72*F74</f>
        <v/>
      </c>
      <c r="G75" s="11">
        <f>SUM(B75:F75)</f>
        <v/>
      </c>
      <c r="H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</row>
    <row r="77" ht="15" customHeight="1">
      <c r="A77" s="10" t="inlineStr">
        <is>
          <t>Sum of PV of FCF (5 years)</t>
        </is>
      </c>
      <c r="B77" s="11">
        <f>G75</f>
        <v/>
      </c>
      <c r="C77" s="10" t="inlineStr">
        <is>
          <t>Total of discounted FCF</t>
        </is>
      </c>
      <c r="D77" s="10" t="n"/>
      <c r="E77" s="10" t="n"/>
      <c r="F77" s="10" t="n"/>
      <c r="G77" s="10" t="n"/>
      <c r="H77" s="10" t="n"/>
    </row>
    <row r="78" ht="15" customHeight="1">
      <c r="A78" s="6" t="inlineStr">
        <is>
          <t>PV of Terminal Value</t>
        </is>
      </c>
      <c r="B78" s="7">
        <f>B68</f>
        <v/>
      </c>
      <c r="C78" s="6" t="inlineStr">
        <is>
          <t>From Section 9</t>
        </is>
      </c>
      <c r="D78" s="4" t="n"/>
      <c r="E78" s="4" t="n"/>
      <c r="F78" s="4" t="n"/>
      <c r="G78" s="4" t="n"/>
      <c r="H78" s="4" t="n"/>
    </row>
    <row r="79" ht="15" customHeight="1">
      <c r="A79" s="10" t="inlineStr">
        <is>
          <t>Enterprise Value</t>
        </is>
      </c>
      <c r="B79" s="11">
        <f>B77+B78</f>
        <v/>
      </c>
      <c r="C79" s="10" t="n">
        <v>0</v>
      </c>
      <c r="D79" s="10" t="n"/>
      <c r="E79" s="10" t="n"/>
      <c r="F79" s="10" t="n"/>
      <c r="G79" s="10" t="n"/>
      <c r="H79" s="10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</row>
    <row r="81" ht="15" customHeight="1">
      <c r="A81" s="6" t="inlineStr">
        <is>
          <t>Add: Cash and Marketable Securities</t>
        </is>
      </c>
      <c r="B81" s="7" t="n">
        <v>132420</v>
      </c>
      <c r="C81" s="6" t="inlineStr">
        <is>
          <t>Cash + marketable securities, FY25 10-K ($132.4B)</t>
        </is>
      </c>
      <c r="D81" s="4" t="n"/>
      <c r="E81" s="4" t="n"/>
      <c r="F81" s="4" t="n"/>
      <c r="G81" s="4" t="n"/>
      <c r="H81" s="4" t="n"/>
    </row>
    <row r="82" ht="15" customHeight="1">
      <c r="A82" s="10" t="inlineStr">
        <is>
          <t>Less: Total Debt</t>
        </is>
      </c>
      <c r="B82" s="11" t="n">
        <v>99300</v>
      </c>
      <c r="C82" s="10" t="inlineStr">
        <is>
          <t>Total debt (notes + CP), FY25 10-K</t>
        </is>
      </c>
      <c r="D82" s="10" t="n"/>
      <c r="E82" s="10" t="n"/>
      <c r="F82" s="10" t="n"/>
      <c r="G82" s="10" t="n"/>
      <c r="H82" s="10" t="n"/>
    </row>
    <row r="83" ht="15" customHeight="1">
      <c r="A83" s="10" t="inlineStr">
        <is>
          <t>Equity Value</t>
        </is>
      </c>
      <c r="B83" s="11">
        <f>B79+B81-B82</f>
        <v/>
      </c>
      <c r="C83" s="10" t="n">
        <v>0</v>
      </c>
      <c r="D83" s="4" t="n"/>
      <c r="E83" s="4" t="n"/>
      <c r="F83" s="4" t="n"/>
      <c r="G83" s="4" t="n"/>
      <c r="H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</row>
    <row r="85" ht="15" customHeight="1">
      <c r="A85" s="8" t="inlineStr">
        <is>
          <t>Shares Outstanding (millions)</t>
        </is>
      </c>
      <c r="B85" s="9" t="n">
        <v>14690</v>
      </c>
      <c r="C85" s="8" t="inlineStr">
        <is>
          <t>Diluted shares, Q2 FY2026</t>
        </is>
      </c>
      <c r="D85" s="8" t="n"/>
      <c r="E85" s="8" t="n"/>
      <c r="F85" s="8" t="n"/>
      <c r="G85" s="8" t="n"/>
      <c r="H85" s="8" t="n"/>
    </row>
    <row r="86" ht="15" customHeight="1">
      <c r="A86" s="6" t="inlineStr">
        <is>
          <t>Intrinsic Value Per Share</t>
        </is>
      </c>
      <c r="B86" s="49">
        <f>B83/B85</f>
        <v/>
      </c>
      <c r="C86" s="17" t="n">
        <v>0</v>
      </c>
      <c r="D86" s="4" t="n"/>
      <c r="E86" s="4" t="n"/>
      <c r="F86" s="4" t="n"/>
      <c r="G86" s="4" t="n"/>
      <c r="H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</row>
    <row r="88" ht="15" customHeight="1">
      <c r="A88" s="8" t="inlineStr">
        <is>
          <t>Current Stock Price (Jul 21, 2026)</t>
        </is>
      </c>
      <c r="B88" s="50" t="n">
        <v>333.26</v>
      </c>
      <c r="C88" s="8" t="inlineStr">
        <is>
          <t>Market price</t>
        </is>
      </c>
      <c r="D88" s="8" t="n"/>
      <c r="E88" s="8" t="n"/>
      <c r="F88" s="8" t="n"/>
      <c r="G88" s="8" t="n"/>
      <c r="H88" s="8" t="n"/>
    </row>
    <row r="89" ht="15" customHeight="1">
      <c r="A89" s="6" t="inlineStr">
        <is>
          <t>Upside / (Downside) %</t>
        </is>
      </c>
      <c r="B89" s="51">
        <f>B86/B88-1</f>
        <v/>
      </c>
      <c r="C89" s="6" t="inlineStr">
        <is>
          <t>DCF suggests significant overvaluation</t>
        </is>
      </c>
      <c r="D89" s="4" t="n"/>
      <c r="E89" s="4" t="n"/>
      <c r="F89" s="4" t="n"/>
      <c r="G89" s="4" t="n"/>
      <c r="H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</row>
    <row r="91" ht="18.75" customHeight="1">
      <c r="A91" s="41" t="inlineStr">
        <is>
          <t>SENSITIVITY ANALYSIS</t>
        </is>
      </c>
      <c r="B91" s="39" t="n"/>
      <c r="C91" s="39" t="n"/>
      <c r="D91" s="39" t="n"/>
      <c r="E91" s="39" t="n"/>
      <c r="F91" s="39" t="n"/>
      <c r="G91" s="39" t="n"/>
      <c r="H91" s="40" t="n"/>
    </row>
    <row r="92" ht="15" customHeight="1">
      <c r="A92" s="6" t="inlineStr">
        <is>
          <t>Scenario</t>
        </is>
      </c>
      <c r="B92" s="6" t="inlineStr">
        <is>
          <t>WACC</t>
        </is>
      </c>
      <c r="C92" s="6" t="inlineStr">
        <is>
          <t>Growth Rate</t>
        </is>
      </c>
      <c r="D92" s="6" t="inlineStr">
        <is>
          <t>Fair Value</t>
        </is>
      </c>
      <c r="E92" s="6" t="inlineStr">
        <is>
          <t>vs Current</t>
        </is>
      </c>
      <c r="F92" s="4" t="n"/>
      <c r="G92" s="4" t="n"/>
      <c r="H92" s="4" t="n"/>
    </row>
    <row r="93" ht="15" customHeight="1">
      <c r="A93" s="8" t="inlineStr">
        <is>
          <t>Bear Case</t>
        </is>
      </c>
      <c r="B93" s="19" t="n">
        <v>0.105</v>
      </c>
      <c r="C93" s="19" t="n">
        <v>0.03</v>
      </c>
      <c r="D93" s="8" t="inlineStr">
        <is>
          <t>$134</t>
        </is>
      </c>
      <c r="E93" s="33" t="n">
        <v>-0.59</v>
      </c>
      <c r="F93" s="8" t="n"/>
      <c r="G93" s="8" t="n"/>
      <c r="H93" s="8" t="n"/>
    </row>
    <row r="94" ht="15" customHeight="1">
      <c r="A94" s="6" t="inlineStr">
        <is>
          <t>Base Case</t>
        </is>
      </c>
      <c r="B94" s="18" t="n">
        <v>0.0985</v>
      </c>
      <c r="C94" s="18" t="n">
        <v>0.035</v>
      </c>
      <c r="D94" s="6" t="inlineStr">
        <is>
          <t>$155</t>
        </is>
      </c>
      <c r="E94" s="34" t="n">
        <v>-0.53</v>
      </c>
      <c r="F94" s="4" t="n"/>
      <c r="G94" s="4" t="n"/>
      <c r="H94" s="4" t="n"/>
    </row>
    <row r="95" ht="15" customHeight="1">
      <c r="A95" s="8" t="inlineStr">
        <is>
          <t>Bull Case (Higher Terminal)</t>
        </is>
      </c>
      <c r="B95" s="19" t="n">
        <v>0.09</v>
      </c>
      <c r="C95" s="19" t="n">
        <v>0.04</v>
      </c>
      <c r="D95" s="8" t="inlineStr">
        <is>
          <t>$194</t>
        </is>
      </c>
      <c r="E95" s="33" t="n">
        <v>-0.41</v>
      </c>
      <c r="F95" s="8" t="n"/>
      <c r="G95" s="8" t="n"/>
      <c r="H95" s="8" t="n"/>
    </row>
    <row r="96" ht="15" customHeight="1">
      <c r="A96" s="4" t="n"/>
      <c r="B96" s="4" t="n"/>
      <c r="C96" s="4" t="n"/>
      <c r="D96" s="4" t="n"/>
      <c r="E96" s="4" t="n"/>
      <c r="F96" s="4" t="n"/>
      <c r="G96" s="4" t="n"/>
      <c r="H96" s="4" t="n"/>
    </row>
    <row r="97" ht="15" customHeight="1">
      <c r="A97" s="12" t="inlineStr">
        <is>
          <t>NOTE: Even bull-case DCF (~$194) sits ~40% below market — market is pricing AI-cycle growth well beyond the model horizon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15" customHeight="1">
      <c r="A98" s="12" t="inlineStr">
        <is>
          <t>Terminal value represents ~75% of enterprise value — highly sensitive to WACC/g assumptions</t>
        </is>
      </c>
      <c r="B98" s="13" t="n"/>
      <c r="C98" s="13" t="n"/>
      <c r="D98" s="13" t="n"/>
      <c r="E98" s="13" t="n"/>
      <c r="F98" s="13" t="n"/>
      <c r="G98" s="13" t="n"/>
      <c r="H98" s="13" t="n"/>
    </row>
    <row r="99" ht="15" customHeight="1">
      <c r="A99" s="12" t="inlineStr">
        <is>
          <t>Multi-method blend (see Valuation Summary sheet): DCF $156 / P/E $353 / EV-EBITDA $322 / SOTP $244 -&gt; ~$302, HOLD. DCF alone (~$156) structurally under-prices a 40x quality compounder; do NOT anchor to it.</t>
        </is>
      </c>
      <c r="B99" s="13" t="n"/>
      <c r="C99" s="13" t="n"/>
      <c r="D99" s="13" t="n"/>
      <c r="E99" s="13" t="n"/>
      <c r="F99" s="13" t="n"/>
      <c r="G99" s="13" t="n"/>
      <c r="H99" s="13" t="n"/>
    </row>
  </sheetData>
  <mergeCells count="12">
    <mergeCell ref="A12:H12"/>
    <mergeCell ref="A70:H70"/>
    <mergeCell ref="A1:H1"/>
    <mergeCell ref="A91:H91"/>
    <mergeCell ref="A7:H7"/>
    <mergeCell ref="A63:H63"/>
    <mergeCell ref="A28:H28"/>
    <mergeCell ref="A45:H45"/>
    <mergeCell ref="A37:H37"/>
    <mergeCell ref="A32:H32"/>
    <mergeCell ref="A22:H22"/>
    <mergeCell ref="A17:H17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xl/worksheets/sheet7.xml><?xml version="1.0" encoding="utf-8"?>
<worksheet xmlns="http://schemas.openxmlformats.org/spreadsheetml/2006/main">
  <sheetPr>
    <tabColor rgb="FF1D1D1F"/>
    <outlinePr summaryBelow="1" summaryRight="1"/>
    <pageSetUpPr fitToPage="1"/>
  </sheetPr>
  <dimension ref="A1:F48"/>
  <sheetViews>
    <sheetView showGridLines="0" zoomScale="137" zoomScaleNormal="137" workbookViewId="0">
      <selection activeCell="A1" sqref="A1:F1"/>
    </sheetView>
  </sheetViews>
  <sheetFormatPr baseColWidth="10" defaultColWidth="8.83203125" defaultRowHeight="15"/>
  <cols>
    <col width="46" customWidth="1" min="1" max="1"/>
    <col width="13.6640625" customWidth="1" min="2" max="3"/>
    <col width="15.6640625" customWidth="1" min="4" max="4"/>
    <col width="13.6640625" customWidth="1" min="5" max="5"/>
    <col width="15.6640625" customWidth="1" min="6" max="6"/>
  </cols>
  <sheetData>
    <row r="1" ht="24" customHeight="1">
      <c r="A1" s="38" t="inlineStr">
        <is>
          <t>Apple Inc. - PE Ratio Analysis</t>
        </is>
      </c>
      <c r="B1" s="39" t="n"/>
      <c r="C1" s="39" t="n"/>
      <c r="D1" s="39" t="n"/>
      <c r="E1" s="39" t="n"/>
      <c r="F1" s="40" t="n"/>
    </row>
    <row r="2" ht="15" customHeight="1">
      <c r="A2" s="4" t="n"/>
      <c r="B2" s="4" t="n"/>
      <c r="C2" s="4" t="n"/>
      <c r="D2" s="4" t="n"/>
      <c r="E2" s="4" t="n"/>
      <c r="F2" s="4" t="n"/>
    </row>
    <row r="3" ht="15.75" customHeight="1">
      <c r="A3" s="42" t="inlineStr">
        <is>
          <t>HISTORICAL PE RATIOS</t>
        </is>
      </c>
      <c r="B3" s="39" t="n"/>
      <c r="C3" s="39" t="n"/>
      <c r="D3" s="39" t="n"/>
      <c r="E3" s="39" t="n"/>
      <c r="F3" s="40" t="n"/>
    </row>
    <row r="4" ht="18" customHeight="1">
      <c r="A4" s="35" t="inlineStr">
        <is>
          <t>Fiscal Year</t>
        </is>
      </c>
      <c r="B4" s="36" t="inlineStr">
        <is>
          <t>FY 2021</t>
        </is>
      </c>
      <c r="C4" s="36" t="inlineStr">
        <is>
          <t>FY 2022</t>
        </is>
      </c>
      <c r="D4" s="36" t="inlineStr">
        <is>
          <t>FY 2023</t>
        </is>
      </c>
      <c r="E4" s="36" t="inlineStr">
        <is>
          <t>FY 2024</t>
        </is>
      </c>
      <c r="F4" s="36" t="inlineStr">
        <is>
          <t>FY 2025 (A)</t>
        </is>
      </c>
    </row>
    <row r="5" ht="15" customHeight="1">
      <c r="A5" s="10" t="inlineStr">
        <is>
          <t>Net Income (USD Millions)</t>
        </is>
      </c>
      <c r="B5" s="11" t="n">
        <v>94680</v>
      </c>
      <c r="C5" s="11" t="n">
        <v>99803</v>
      </c>
      <c r="D5" s="11" t="n">
        <v>96995</v>
      </c>
      <c r="E5" s="11" t="n">
        <v>93736</v>
      </c>
      <c r="F5" s="11" t="n">
        <v>112010</v>
      </c>
    </row>
    <row r="6" ht="15" customHeight="1">
      <c r="A6" s="8" t="inlineStr">
        <is>
          <t>Diluted Shares Outstanding (Millions)</t>
        </is>
      </c>
      <c r="B6" s="9" t="n">
        <v>16865</v>
      </c>
      <c r="C6" s="9" t="n">
        <v>16325</v>
      </c>
      <c r="D6" s="9" t="n">
        <v>15812</v>
      </c>
      <c r="E6" s="9" t="n">
        <v>15204</v>
      </c>
      <c r="F6" s="9" t="n">
        <v>15016</v>
      </c>
    </row>
    <row r="7" ht="15" customHeight="1">
      <c r="A7" s="6" t="inlineStr">
        <is>
          <t>Diluted EPS</t>
        </is>
      </c>
      <c r="B7" s="17" t="n">
        <v>5.61</v>
      </c>
      <c r="C7" s="17" t="n">
        <v>6.11</v>
      </c>
      <c r="D7" s="17" t="n">
        <v>6.13</v>
      </c>
      <c r="E7" s="17" t="n">
        <v>6.16</v>
      </c>
      <c r="F7" s="17" t="n">
        <v>7.46</v>
      </c>
    </row>
    <row r="8" ht="15" customHeight="1">
      <c r="A8" s="4" t="n"/>
      <c r="B8" s="4" t="n"/>
      <c r="C8" s="4" t="n"/>
      <c r="D8" s="4" t="n"/>
      <c r="E8" s="4" t="n"/>
      <c r="F8" s="4" t="n"/>
    </row>
    <row r="9" ht="15" customHeight="1">
      <c r="A9" s="8" t="inlineStr">
        <is>
          <t>Average Stock Price (estimate)</t>
        </is>
      </c>
      <c r="B9" s="20" t="n">
        <v>140</v>
      </c>
      <c r="C9" s="20" t="n">
        <v>150</v>
      </c>
      <c r="D9" s="20" t="n">
        <v>175</v>
      </c>
      <c r="E9" s="20" t="n">
        <v>220</v>
      </c>
      <c r="F9" s="20" t="n">
        <v>235</v>
      </c>
    </row>
    <row r="10" ht="15" customHeight="1">
      <c r="A10" s="8" t="inlineStr">
        <is>
          <t>PE Ratio</t>
        </is>
      </c>
      <c r="B10" s="20" t="n">
        <v>24.96</v>
      </c>
      <c r="C10" s="20" t="n">
        <v>24.55</v>
      </c>
      <c r="D10" s="20" t="n">
        <v>28.55</v>
      </c>
      <c r="E10" s="20" t="n">
        <v>35.71</v>
      </c>
      <c r="F10" s="20" t="n">
        <v>31.5</v>
      </c>
    </row>
    <row r="11" ht="15" customHeight="1">
      <c r="A11" s="4" t="n"/>
      <c r="B11" s="4" t="n"/>
      <c r="C11" s="4" t="n"/>
      <c r="D11" s="4" t="n"/>
      <c r="E11" s="4" t="n"/>
      <c r="F11" s="4" t="n"/>
    </row>
    <row r="12" ht="15" customHeight="1">
      <c r="A12" s="12" t="inlineStr">
        <is>
          <t>PEER COMPARISON (Jul 2026)</t>
        </is>
      </c>
      <c r="B12" s="13" t="n"/>
      <c r="C12" s="13" t="n"/>
      <c r="D12" s="13" t="n"/>
      <c r="E12" s="13" t="n"/>
      <c r="F12" s="13" t="n"/>
    </row>
    <row r="13" ht="15" customHeight="1">
      <c r="A13" s="8" t="inlineStr">
        <is>
          <t>Company</t>
        </is>
      </c>
      <c r="B13" s="8" t="inlineStr">
        <is>
          <t>Market Cap</t>
        </is>
      </c>
      <c r="C13" s="8" t="inlineStr">
        <is>
          <t>Net Income</t>
        </is>
      </c>
      <c r="D13" s="8" t="inlineStr">
        <is>
          <t>EPS</t>
        </is>
      </c>
      <c r="E13" s="8" t="inlineStr">
        <is>
          <t>Stock Price</t>
        </is>
      </c>
      <c r="F13" s="8" t="inlineStr">
        <is>
          <t>PE Ratio</t>
        </is>
      </c>
    </row>
    <row r="14" ht="15" customHeight="1">
      <c r="A14" s="8" t="inlineStr">
        <is>
          <t>Apple (AAPL)</t>
        </is>
      </c>
      <c r="B14" s="9" t="n">
        <v>4810000</v>
      </c>
      <c r="C14" s="9" t="n">
        <v>122580</v>
      </c>
      <c r="D14" s="20" t="n">
        <v>8.27</v>
      </c>
      <c r="E14" s="20" t="n">
        <v>327.44</v>
      </c>
      <c r="F14" s="20">
        <f>E14/D14</f>
        <v/>
      </c>
    </row>
    <row r="15" ht="15" customHeight="1">
      <c r="A15" s="6" t="inlineStr">
        <is>
          <t>Microsoft (MSFT)</t>
        </is>
      </c>
      <c r="B15" s="6" t="n">
        <v>2930000</v>
      </c>
      <c r="C15" s="6" t="n">
        <v>133182</v>
      </c>
      <c r="D15" s="6" t="n">
        <v>17.9</v>
      </c>
      <c r="E15" s="6" t="n">
        <v>393.8</v>
      </c>
      <c r="F15" s="6">
        <f>E15/D15</f>
        <v/>
      </c>
    </row>
    <row r="16" ht="15" customHeight="1">
      <c r="A16" s="8" t="inlineStr">
        <is>
          <t>Alphabet (GOOGL)</t>
        </is>
      </c>
      <c r="B16" s="8" t="n">
        <v>4350000</v>
      </c>
      <c r="C16" s="8" t="n">
        <v>153764</v>
      </c>
      <c r="D16" s="8" t="n">
        <v>12.73</v>
      </c>
      <c r="E16" s="8" t="n">
        <v>360</v>
      </c>
      <c r="F16" s="8">
        <f>E16/D16</f>
        <v/>
      </c>
    </row>
    <row r="17" ht="15" customHeight="1">
      <c r="A17" s="6" t="inlineStr">
        <is>
          <t>Amazon (AMZN)</t>
        </is>
      </c>
      <c r="B17" s="6" t="n">
        <v>2690000</v>
      </c>
      <c r="C17" s="6" t="n">
        <v>96071</v>
      </c>
      <c r="D17" s="6" t="n">
        <v>8.94</v>
      </c>
      <c r="E17" s="6" t="n">
        <v>250.42</v>
      </c>
      <c r="F17" s="6">
        <f>E17/D17</f>
        <v/>
      </c>
    </row>
    <row r="18" ht="15" customHeight="1">
      <c r="A18" s="8" t="inlineStr">
        <is>
          <t>Meta (META)</t>
        </is>
      </c>
      <c r="B18" s="8" t="inlineStr">
        <is>
          <t>n/a</t>
        </is>
      </c>
      <c r="C18" s="8" t="inlineStr">
        <is>
          <t>n/a</t>
        </is>
      </c>
      <c r="D18" s="8" t="inlineStr">
        <is>
          <t>n/a</t>
        </is>
      </c>
      <c r="E18" s="8" t="inlineStr">
        <is>
          <t>n/a</t>
        </is>
      </c>
      <c r="F18" s="8" t="n">
        <v>23.55</v>
      </c>
    </row>
    <row r="19" ht="15" customHeight="1">
      <c r="A19" s="4" t="n"/>
      <c r="B19" s="4" t="n"/>
      <c r="C19" s="4" t="n"/>
      <c r="D19" s="4" t="n"/>
      <c r="E19" s="4" t="n"/>
      <c r="F19" s="4" t="n"/>
    </row>
    <row r="20" ht="15" customHeight="1">
      <c r="A20" s="6" t="inlineStr">
        <is>
          <t>Sector Average PE</t>
        </is>
      </c>
      <c r="B20" s="6">
        <f>AVERAGE(F15:F18)</f>
        <v/>
      </c>
      <c r="C20" s="4" t="n"/>
      <c r="D20" s="4" t="n"/>
      <c r="E20" s="4" t="n"/>
      <c r="F20" s="4" t="n"/>
    </row>
    <row r="21" ht="15" customHeight="1">
      <c r="A21" s="8" t="inlineStr">
        <is>
          <t>Apple Premium / Discount to Sector</t>
        </is>
      </c>
      <c r="B21" s="16">
        <f>F14/B20-1</f>
        <v/>
      </c>
      <c r="C21" s="8" t="n"/>
      <c r="D21" s="8" t="n"/>
      <c r="E21" s="8" t="n"/>
      <c r="F21" s="8" t="n"/>
    </row>
    <row r="22" ht="15" customHeight="1">
      <c r="A22" s="4" t="n"/>
      <c r="B22" s="4" t="n"/>
      <c r="C22" s="4" t="n"/>
      <c r="D22" s="4" t="n"/>
      <c r="E22" s="4" t="n"/>
      <c r="F22" s="4" t="n"/>
    </row>
    <row r="23" ht="15.75" customHeight="1">
      <c r="A23" s="41" t="inlineStr">
        <is>
          <t>FORWARD PE ANALYSIS</t>
        </is>
      </c>
      <c r="B23" s="39" t="n"/>
      <c r="C23" s="39" t="n"/>
      <c r="D23" s="39" t="n"/>
      <c r="E23" s="39" t="n"/>
      <c r="F23" s="40" t="n"/>
    </row>
    <row r="24" ht="15" customHeight="1">
      <c r="A24" s="8" t="n"/>
      <c r="B24" s="8" t="inlineStr">
        <is>
          <t>FY 2026 (E)</t>
        </is>
      </c>
      <c r="C24" s="8" t="inlineStr">
        <is>
          <t>FY 2027 (F)</t>
        </is>
      </c>
      <c r="D24" s="8" t="inlineStr">
        <is>
          <t>FY 2028 (F)</t>
        </is>
      </c>
      <c r="E24" s="8" t="inlineStr">
        <is>
          <t>FY 2029 (F)</t>
        </is>
      </c>
      <c r="F24" s="8" t="n"/>
    </row>
    <row r="25" ht="15" customHeight="1">
      <c r="A25" s="8" t="inlineStr">
        <is>
          <t>Projected EPS</t>
        </is>
      </c>
      <c r="B25" s="20" t="n">
        <v>9</v>
      </c>
      <c r="C25" s="8" t="n">
        <v>9.9</v>
      </c>
      <c r="D25" s="8" t="n">
        <v>10.8</v>
      </c>
      <c r="E25" s="8" t="n">
        <v>11.7</v>
      </c>
      <c r="F25" s="8" t="n"/>
    </row>
    <row r="26" ht="15" customHeight="1">
      <c r="A26" s="6" t="inlineStr">
        <is>
          <t>Current Stock Price</t>
        </is>
      </c>
      <c r="B26" s="17" t="n">
        <v>327.44</v>
      </c>
      <c r="C26" s="17" t="n">
        <v>327.44</v>
      </c>
      <c r="D26" s="17" t="n">
        <v>327.44</v>
      </c>
      <c r="E26" s="17" t="n">
        <v>327.44</v>
      </c>
      <c r="F26" s="4" t="n"/>
    </row>
    <row r="27" ht="15" customHeight="1">
      <c r="A27" s="8" t="inlineStr">
        <is>
          <t>Forward PE Ratio</t>
        </is>
      </c>
      <c r="B27" s="20">
        <f>B26/B25</f>
        <v/>
      </c>
      <c r="C27" s="8">
        <f>C26/C25</f>
        <v/>
      </c>
      <c r="D27" s="8">
        <f>D26/D25</f>
        <v/>
      </c>
      <c r="E27" s="8">
        <f>E26/E25</f>
        <v/>
      </c>
      <c r="F27" s="8" t="n"/>
    </row>
    <row r="28" ht="15" customHeight="1">
      <c r="A28" s="4" t="n"/>
      <c r="B28" s="4" t="n"/>
      <c r="C28" s="4" t="n"/>
      <c r="D28" s="4" t="n"/>
      <c r="E28" s="4" t="n"/>
      <c r="F28" s="4" t="n"/>
    </row>
    <row r="29" ht="15" customHeight="1">
      <c r="A29" s="12" t="inlineStr">
        <is>
          <t>VALUATION USING PE MULTIPLE</t>
        </is>
      </c>
      <c r="B29" s="13" t="n"/>
      <c r="C29" s="13" t="n"/>
      <c r="D29" s="13" t="n"/>
      <c r="E29" s="13" t="n"/>
      <c r="F29" s="13" t="n"/>
    </row>
    <row r="30" ht="15" customHeight="1">
      <c r="A30" s="6" t="inlineStr">
        <is>
          <t>Method</t>
        </is>
      </c>
      <c r="B30" s="6" t="inlineStr">
        <is>
          <t>EPS</t>
        </is>
      </c>
      <c r="C30" s="6" t="inlineStr">
        <is>
          <t>Target PE</t>
        </is>
      </c>
      <c r="D30" s="6" t="inlineStr">
        <is>
          <t>Implied Price</t>
        </is>
      </c>
      <c r="E30" s="6" t="inlineStr">
        <is>
          <t>Upside %</t>
        </is>
      </c>
      <c r="F30" s="4" t="n"/>
    </row>
    <row r="31" ht="15" customHeight="1">
      <c r="A31" s="8" t="inlineStr">
        <is>
          <t>Historical Average PE</t>
        </is>
      </c>
      <c r="B31" s="20" t="n">
        <v>9</v>
      </c>
      <c r="C31" s="20" t="n">
        <v>29</v>
      </c>
      <c r="D31" s="8">
        <f>B31*C31</f>
        <v/>
      </c>
      <c r="E31" s="16">
        <f>D31/327.44-1</f>
        <v/>
      </c>
      <c r="F31" s="8" t="n"/>
    </row>
    <row r="32" ht="15" customHeight="1">
      <c r="A32" s="6" t="inlineStr">
        <is>
          <t>Sector Average PE</t>
        </is>
      </c>
      <c r="B32" s="17" t="n">
        <v>9</v>
      </c>
      <c r="C32" s="6" t="n">
        <v>25.5</v>
      </c>
      <c r="D32" s="6">
        <f>B32*C32</f>
        <v/>
      </c>
      <c r="E32" s="52">
        <f>D32/327.44-1</f>
        <v/>
      </c>
      <c r="F32" s="4" t="n"/>
    </row>
    <row r="33" ht="15" customHeight="1">
      <c r="A33" s="8" t="inlineStr">
        <is>
          <t>High Growth Scenario (PE 35x)</t>
        </is>
      </c>
      <c r="B33" s="20" t="n">
        <v>9</v>
      </c>
      <c r="C33" s="20" t="n">
        <v>35</v>
      </c>
      <c r="D33" s="8">
        <f>B33*C33</f>
        <v/>
      </c>
      <c r="E33" s="16">
        <f>D33/327.44-1</f>
        <v/>
      </c>
      <c r="F33" s="8" t="n"/>
    </row>
    <row r="34" ht="15" customHeight="1">
      <c r="A34" s="6" t="inlineStr">
        <is>
          <t>Conservative Scenario (PE 25x)</t>
        </is>
      </c>
      <c r="B34" s="17" t="n">
        <v>9</v>
      </c>
      <c r="C34" s="17" t="n">
        <v>25</v>
      </c>
      <c r="D34" s="6">
        <f>B34*C34</f>
        <v/>
      </c>
      <c r="E34" s="52">
        <f>D34/327.44-1</f>
        <v/>
      </c>
      <c r="F34" s="4" t="n"/>
    </row>
    <row r="35" ht="15" customHeight="1">
      <c r="A35" s="4" t="n"/>
      <c r="B35" s="4" t="n"/>
      <c r="C35" s="4" t="n"/>
      <c r="D35" s="4" t="n"/>
      <c r="E35" s="4" t="n"/>
      <c r="F35" s="4" t="n"/>
    </row>
    <row r="36" ht="15.75" customHeight="1">
      <c r="A36" s="41" t="inlineStr">
        <is>
          <t>PEG RATIO ANALYSIS</t>
        </is>
      </c>
      <c r="B36" s="39" t="n"/>
      <c r="C36" s="39" t="n"/>
      <c r="D36" s="39" t="n"/>
      <c r="E36" s="39" t="n"/>
      <c r="F36" s="40" t="n"/>
    </row>
    <row r="37" ht="15" customHeight="1">
      <c r="A37" s="8" t="n"/>
      <c r="B37" s="37" t="inlineStr">
        <is>
          <t>Value</t>
        </is>
      </c>
      <c r="C37" s="8" t="n"/>
      <c r="D37" s="8" t="n"/>
      <c r="E37" s="8" t="n"/>
      <c r="F37" s="8" t="n"/>
    </row>
    <row r="38" ht="15" customHeight="1">
      <c r="A38" s="6" t="inlineStr">
        <is>
          <t>Current PE Ratio</t>
        </is>
      </c>
      <c r="B38" s="17" t="n">
        <v>39.6</v>
      </c>
      <c r="C38" s="4" t="n"/>
      <c r="D38" s="4" t="n"/>
      <c r="E38" s="4" t="n"/>
      <c r="F38" s="4" t="n"/>
    </row>
    <row r="39" ht="15" customHeight="1">
      <c r="A39" s="8" t="inlineStr">
        <is>
          <t>Expected EPS Growth Rate (Next 3Y)</t>
        </is>
      </c>
      <c r="B39" s="8" t="n">
        <v>0.12</v>
      </c>
      <c r="C39" s="8" t="n"/>
      <c r="D39" s="8" t="n"/>
      <c r="E39" s="8" t="n"/>
      <c r="F39" s="8" t="n"/>
    </row>
    <row r="40" ht="15" customHeight="1">
      <c r="A40" s="6" t="inlineStr">
        <is>
          <t>PEG Ratio</t>
        </is>
      </c>
      <c r="B40" s="6">
        <f>B38/(B39*100)</f>
        <v/>
      </c>
      <c r="C40" s="4" t="n"/>
      <c r="D40" s="4" t="n"/>
      <c r="E40" s="4" t="n"/>
      <c r="F40" s="4" t="n"/>
    </row>
    <row r="41" ht="15" customHeight="1">
      <c r="A41" s="12" t="inlineStr">
        <is>
          <t>Interpretation: &lt;1 = Undervalued, 1-2 = Fair, &gt;2 = Overvalued</t>
        </is>
      </c>
      <c r="B41" s="13" t="n"/>
      <c r="C41" s="13" t="n"/>
      <c r="D41" s="13" t="n"/>
      <c r="E41" s="13" t="n"/>
      <c r="F41" s="13" t="n"/>
    </row>
    <row r="42" ht="15" customHeight="1">
      <c r="A42" s="4" t="n"/>
      <c r="B42" s="4" t="n"/>
      <c r="C42" s="4" t="n"/>
      <c r="D42" s="4" t="n"/>
      <c r="E42" s="4" t="n"/>
      <c r="F42" s="4" t="n"/>
    </row>
    <row r="43" ht="24" customHeight="1">
      <c r="A43" s="41" t="inlineStr">
        <is>
          <t>KEY OBSERVATIONS</t>
        </is>
      </c>
      <c r="B43" s="39" t="n"/>
      <c r="C43" s="39" t="n"/>
      <c r="D43" s="39" t="n"/>
      <c r="E43" s="39" t="n"/>
      <c r="F43" s="40" t="n"/>
    </row>
    <row r="44" ht="18.75" customHeight="1">
      <c r="A44" s="12" t="inlineStr">
        <is>
          <t>1. Apple's PE has ranged from 24.5x to 35.7x over last 5 years</t>
        </is>
      </c>
      <c r="B44" s="13" t="n"/>
      <c r="C44" s="13" t="n"/>
      <c r="D44" s="13" t="n"/>
      <c r="E44" s="13" t="n"/>
      <c r="F44" s="13" t="n"/>
    </row>
    <row r="45" ht="18.75" customHeight="1">
      <c r="A45" s="12" t="inlineStr">
        <is>
          <t>2. Premium valuation reflects strong brand and ecosystem</t>
        </is>
      </c>
      <c r="B45" s="13" t="n"/>
      <c r="C45" s="13" t="n"/>
      <c r="D45" s="13" t="n"/>
      <c r="E45" s="13" t="n"/>
      <c r="F45" s="13" t="n"/>
    </row>
    <row r="46" ht="18.75" customHeight="1">
      <c r="A46" s="12" t="inlineStr">
        <is>
          <t>3. Recent buybacks have reduced share count 11.4% since FY2021</t>
        </is>
      </c>
      <c r="B46" s="13" t="n"/>
      <c r="C46" s="13" t="n"/>
      <c r="D46" s="13" t="n"/>
      <c r="E46" s="13" t="n"/>
      <c r="F46" s="13" t="n"/>
    </row>
    <row r="47" ht="18.75" customHeight="1">
      <c r="A47" s="12" t="inlineStr">
        <is>
          <t>4. Services revenue growth commands higher multiple</t>
        </is>
      </c>
      <c r="B47" s="13" t="n"/>
      <c r="C47" s="13" t="n"/>
      <c r="D47" s="13" t="n"/>
      <c r="E47" s="13" t="n"/>
      <c r="F47" s="13" t="n"/>
    </row>
    <row r="48" ht="18.75" customHeight="1">
      <c r="A48" s="12" t="inlineStr">
        <is>
          <t>5. Compare to sector average for relative valuation</t>
        </is>
      </c>
      <c r="B48" s="13" t="n"/>
      <c r="C48" s="13" t="n"/>
      <c r="D48" s="13" t="n"/>
      <c r="E48" s="13" t="n"/>
      <c r="F48" s="13" t="n"/>
    </row>
  </sheetData>
  <mergeCells count="5">
    <mergeCell ref="A36:F36"/>
    <mergeCell ref="A1:F1"/>
    <mergeCell ref="A23:F23"/>
    <mergeCell ref="A3:F3"/>
    <mergeCell ref="A43:F43"/>
  </mergeCells>
  <pageMargins left="0.25" right="0.25" top="0.3" bottom="0.3" header="0.511811023622047" footer="0.511811023622047"/>
  <pageSetup orientation="landscape" paperSize="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2026-03-09T06:11:47Z</dcterms:created>
  <dcterms:modified xmlns:dcterms="http://purl.org/dc/terms/" xmlns:xsi="http://www.w3.org/2001/XMLSchema-instance" xsi:type="dcterms:W3CDTF">2026-07-21T02:56:06Z</dcterms:modified>
  <cp:lastModifiedBy>Debjit Mukherjee</cp:lastModifiedBy>
  <cp:revision>0</cp:revision>
</cp:coreProperties>
</file>