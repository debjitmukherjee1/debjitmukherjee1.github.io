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xmlns:r="http://schemas.openxmlformats.org/officeDocument/2006/relationships" name="Scenario Valuation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 Statement" sheetId="4" state="visible" r:id="rId4"/>
    <sheet xmlns:r="http://schemas.openxmlformats.org/officeDocument/2006/relationships" name="Summary &amp; Ratios" sheetId="5" state="visible" r:id="rId5"/>
    <sheet xmlns:r="http://schemas.openxmlformats.org/officeDocument/2006/relationships" name="Peer Comps" sheetId="6" state="visible" r:id="rId6"/>
  </sheets>
  <definedNames>
    <definedName name="_xlnm.Print_Area" localSheetId="0">'Scenario Valuation'!$A$1:$F$28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;\(#,##0\)"/>
    <numFmt numFmtId="165" formatCode="0.0"/>
    <numFmt numFmtId="166" formatCode="0.0%"/>
  </numFmts>
  <fonts count="3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rgb="FF1F1F1F"/>
      <sz val="14"/>
    </font>
    <font>
      <name val="Arial"/>
      <charset val="1"/>
      <family val="0"/>
      <color rgb="FF0000FF"/>
      <sz val="14"/>
    </font>
    <font>
      <name val="Arial"/>
      <charset val="1"/>
      <family val="0"/>
      <b val="1"/>
      <color rgb="FF171A20"/>
      <sz val="14"/>
    </font>
    <font>
      <name val="Calibri"/>
      <charset val="1"/>
      <family val="2"/>
      <color theme="1"/>
      <sz val="14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FFFFFF"/>
      <sz val="14"/>
    </font>
    <font>
      <name val="Arial"/>
      <charset val="1"/>
      <family val="0"/>
      <b val="1"/>
      <color rgb="FF1F1F1F"/>
      <sz val="14"/>
    </font>
    <font>
      <name val="Arial"/>
      <charset val="1"/>
      <family val="0"/>
      <color rgb="FF1F1F1F"/>
      <sz val="12"/>
    </font>
    <font>
      <name val="Arial"/>
      <charset val="1"/>
      <family val="0"/>
      <color rgb="FF0000FF"/>
      <sz val="12"/>
    </font>
    <font>
      <name val="Calibri"/>
      <charset val="1"/>
      <family val="2"/>
      <color theme="1"/>
      <sz val="12"/>
    </font>
    <font>
      <name val="Arial"/>
      <charset val="1"/>
      <family val="0"/>
      <b val="1"/>
      <color rgb="FF1F1F1F"/>
      <sz val="12"/>
    </font>
    <font>
      <name val="Arial"/>
      <charset val="1"/>
      <family val="0"/>
      <color rgb="FFFFFFFF"/>
      <sz val="12"/>
    </font>
    <font>
      <name val="Arial"/>
      <charset val="1"/>
      <family val="0"/>
      <b val="1"/>
      <color rgb="FF171A20"/>
      <sz val="12"/>
    </font>
    <font>
      <name val="Arial"/>
      <charset val="1"/>
      <family val="0"/>
      <b val="1"/>
      <color rgb="FF171A20"/>
      <sz val="10"/>
    </font>
    <font>
      <name val="Arial"/>
      <charset val="1"/>
      <family val="0"/>
      <color rgb="FFFFFFFF"/>
      <sz val="10"/>
    </font>
    <font>
      <name val="Arial"/>
      <charset val="1"/>
      <family val="0"/>
      <color rgb="FF1F1F1F"/>
      <sz val="10"/>
    </font>
    <font>
      <name val="Arial"/>
      <charset val="1"/>
      <family val="0"/>
      <color rgb="FF0000FF"/>
      <sz val="10"/>
    </font>
    <font>
      <name val="Arial"/>
      <color rgb="FF0000FF"/>
      <sz val="14"/>
    </font>
    <font>
      <name val="Arial"/>
      <color rgb="FF0000FF"/>
      <sz val="10"/>
    </font>
    <font>
      <b val="1"/>
      <color rgb="00FFFFFF"/>
      <sz val="14"/>
    </font>
    <font>
      <sz val="11"/>
    </font>
    <font>
      <b val="1"/>
      <sz val="11"/>
    </font>
    <font>
      <b val="1"/>
      <color rgb="00FFFFFF"/>
      <sz val="11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FF171A20"/>
        <bgColor rgb="FF1F1F1F"/>
      </patternFill>
    </fill>
    <fill>
      <patternFill patternType="solid">
        <fgColor rgb="FFF4F4F4"/>
        <bgColor rgb="FFFFFFFF"/>
      </patternFill>
    </fill>
    <fill>
      <patternFill patternType="solid">
        <fgColor rgb="FFFBE5E7"/>
        <bgColor rgb="FFF4F4F4"/>
      </patternFill>
    </fill>
    <fill>
      <patternFill patternType="solid">
        <fgColor rgb="FF3F434C"/>
        <bgColor rgb="FF333399"/>
      </patternFill>
    </fill>
    <fill>
      <patternFill patternType="solid">
        <fgColor rgb="00393C41"/>
      </patternFill>
    </fill>
    <fill>
      <patternFill patternType="solid">
        <fgColor rgb="001F3864"/>
      </patternFill>
    </fill>
    <fill>
      <patternFill patternType="solid">
        <fgColor rgb="002E5496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E82127"/>
      </top>
      <bottom style="thin">
        <color rgb="FFE8212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5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164" fontId="6" fillId="3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8" fillId="4" borderId="2" applyAlignment="1" pivotButton="0" quotePrefix="0" xfId="0">
      <alignment horizontal="general" vertical="bottom"/>
    </xf>
    <xf numFmtId="164" fontId="8" fillId="4" borderId="2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12" fillId="3" borderId="1" applyAlignment="1" pivotButton="0" quotePrefix="0" xfId="0">
      <alignment horizontal="general" vertical="bottom"/>
    </xf>
    <xf numFmtId="165" fontId="6" fillId="3" borderId="1" applyAlignment="1" pivotButton="0" quotePrefix="0" xfId="0">
      <alignment horizontal="general" vertical="bottom"/>
    </xf>
    <xf numFmtId="0" fontId="5" fillId="5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general" vertical="bottom"/>
    </xf>
    <xf numFmtId="164" fontId="14" fillId="0" borderId="1" applyAlignment="1" pivotButton="0" quotePrefix="0" xfId="0">
      <alignment horizontal="general" vertical="bottom"/>
    </xf>
    <xf numFmtId="0" fontId="13" fillId="3" borderId="1" applyAlignment="1" pivotButton="0" quotePrefix="0" xfId="0">
      <alignment horizontal="general" vertical="bottom"/>
    </xf>
    <xf numFmtId="164" fontId="14" fillId="3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0" fontId="16" fillId="3" borderId="1" applyAlignment="1" pivotButton="0" quotePrefix="0" xfId="0">
      <alignment horizontal="general" vertical="bottom"/>
    </xf>
    <xf numFmtId="165" fontId="13" fillId="3" borderId="1" applyAlignment="1" pivotButton="0" quotePrefix="0" xfId="0">
      <alignment horizontal="general" vertical="bottom"/>
    </xf>
    <xf numFmtId="0" fontId="17" fillId="5" borderId="1" applyAlignment="1" pivotButton="0" quotePrefix="0" xfId="0">
      <alignment horizontal="general" vertical="bottom"/>
    </xf>
    <xf numFmtId="0" fontId="14" fillId="3" borderId="1" applyAlignment="1" pivotButton="0" quotePrefix="0" xfId="0">
      <alignment horizontal="general" vertical="bottom"/>
    </xf>
    <xf numFmtId="0" fontId="18" fillId="4" borderId="2" applyAlignment="1" pivotButton="0" quotePrefix="0" xfId="0">
      <alignment horizontal="general" vertical="bottom"/>
    </xf>
    <xf numFmtId="164" fontId="18" fillId="4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 indent="3"/>
    </xf>
    <xf numFmtId="0" fontId="0" fillId="0" borderId="0" applyAlignment="1" pivotButton="0" quotePrefix="0" xfId="0">
      <alignment horizontal="left" vertical="bottom" indent="2"/>
    </xf>
    <xf numFmtId="0" fontId="5" fillId="2" borderId="1" applyAlignment="1" pivotButton="0" quotePrefix="0" xfId="0">
      <alignment horizontal="left" vertical="bottom" indent="3"/>
    </xf>
    <xf numFmtId="0" fontId="5" fillId="2" borderId="1" applyAlignment="1" pivotButton="0" quotePrefix="0" xfId="0">
      <alignment horizontal="left" vertical="bottom" indent="2"/>
    </xf>
    <xf numFmtId="0" fontId="9" fillId="0" borderId="1" applyAlignment="1" pivotButton="0" quotePrefix="0" xfId="0">
      <alignment horizontal="left" vertical="bottom" indent="3"/>
    </xf>
    <xf numFmtId="0" fontId="9" fillId="0" borderId="1" applyAlignment="1" pivotButton="0" quotePrefix="0" xfId="0">
      <alignment horizontal="left" vertical="bottom" indent="2"/>
    </xf>
    <xf numFmtId="0" fontId="10" fillId="2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left" vertical="bottom" indent="3"/>
    </xf>
    <xf numFmtId="164" fontId="7" fillId="0" borderId="1" applyAlignment="1" pivotButton="0" quotePrefix="0" xfId="0">
      <alignment horizontal="left" vertical="bottom" indent="2"/>
    </xf>
    <xf numFmtId="164" fontId="7" fillId="3" borderId="1" applyAlignment="1" pivotButton="0" quotePrefix="0" xfId="0">
      <alignment horizontal="left" vertical="bottom" indent="3"/>
    </xf>
    <xf numFmtId="0" fontId="7" fillId="3" borderId="1" applyAlignment="1" pivotButton="0" quotePrefix="0" xfId="0">
      <alignment horizontal="left" vertical="bottom" indent="3"/>
    </xf>
    <xf numFmtId="164" fontId="7" fillId="3" borderId="1" applyAlignment="1" pivotButton="0" quotePrefix="0" xfId="0">
      <alignment horizontal="left" vertical="bottom" indent="2"/>
    </xf>
    <xf numFmtId="164" fontId="8" fillId="4" borderId="2" applyAlignment="1" pivotButton="0" quotePrefix="0" xfId="0">
      <alignment horizontal="left" vertical="bottom" indent="3"/>
    </xf>
    <xf numFmtId="0" fontId="5" fillId="5" borderId="1" applyAlignment="1" pivotButton="0" quotePrefix="0" xfId="0">
      <alignment horizontal="left" vertical="bottom" indent="3"/>
    </xf>
    <xf numFmtId="0" fontId="5" fillId="5" borderId="1" applyAlignment="1" pivotButton="0" quotePrefix="0" xfId="0">
      <alignment horizontal="left" vertical="bottom" indent="2"/>
    </xf>
    <xf numFmtId="0" fontId="7" fillId="3" borderId="1" applyAlignment="1" pivotButton="0" quotePrefix="0" xfId="0">
      <alignment horizontal="left" vertical="bottom" indent="2"/>
    </xf>
    <xf numFmtId="0" fontId="7" fillId="0" borderId="1" applyAlignment="1" pivotButton="0" quotePrefix="0" xfId="0">
      <alignment horizontal="left" vertical="bottom" indent="3"/>
    </xf>
    <xf numFmtId="0" fontId="7" fillId="0" borderId="1" applyAlignment="1" pivotButton="0" quotePrefix="0" xfId="0">
      <alignment horizontal="left" vertical="bottom" indent="2"/>
    </xf>
    <xf numFmtId="164" fontId="8" fillId="4" borderId="2" applyAlignment="1" pivotButton="0" quotePrefix="0" xfId="0">
      <alignment horizontal="left" vertical="bottom" indent="2"/>
    </xf>
    <xf numFmtId="0" fontId="11" fillId="5" borderId="1" applyAlignment="1" pivotButton="0" quotePrefix="0" xfId="0">
      <alignment horizontal="left" vertical="bottom" indent="3"/>
    </xf>
    <xf numFmtId="0" fontId="11" fillId="5" borderId="1" applyAlignment="1" pivotButton="0" quotePrefix="0" xfId="0">
      <alignment horizontal="left" vertical="bottom" indent="2"/>
    </xf>
    <xf numFmtId="0" fontId="19" fillId="4" borderId="2" applyAlignment="1" pivotButton="0" quotePrefix="0" xfId="0">
      <alignment horizontal="general" vertical="bottom"/>
    </xf>
    <xf numFmtId="164" fontId="19" fillId="4" borderId="2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20" fillId="5" borderId="1" applyAlignment="1" pivotButton="0" quotePrefix="0" xfId="0">
      <alignment horizontal="general" vertical="bottom"/>
    </xf>
    <xf numFmtId="0" fontId="21" fillId="0" borderId="1" applyAlignment="1" pivotButton="0" quotePrefix="0" xfId="0">
      <alignment horizontal="general" vertical="bottom"/>
    </xf>
    <xf numFmtId="164" fontId="22" fillId="0" borderId="1" applyAlignment="1" pivotButton="0" quotePrefix="0" xfId="0">
      <alignment horizontal="general" vertical="bottom"/>
    </xf>
    <xf numFmtId="0" fontId="21" fillId="3" borderId="1" applyAlignment="1" pivotButton="0" quotePrefix="0" xfId="0">
      <alignment horizontal="general" vertical="bottom"/>
    </xf>
    <xf numFmtId="0" fontId="22" fillId="3" borderId="1" applyAlignment="1" pivotButton="0" quotePrefix="0" xfId="0">
      <alignment horizontal="general" vertical="bottom"/>
    </xf>
    <xf numFmtId="164" fontId="22" fillId="3" borderId="1" applyAlignment="1" pivotButton="0" quotePrefix="0" xfId="0">
      <alignment horizontal="general" vertical="bottom"/>
    </xf>
    <xf numFmtId="0" fontId="22" fillId="0" borderId="1" applyAlignment="1" pivotButton="0" quotePrefix="0" xfId="0">
      <alignment horizontal="general" vertical="bottom"/>
    </xf>
    <xf numFmtId="164" fontId="21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164" fontId="23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164" fontId="23" fillId="3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8" fillId="4" borderId="2" applyAlignment="1" pivotButton="0" quotePrefix="0" xfId="0">
      <alignment horizontal="general" vertical="bottom"/>
    </xf>
    <xf numFmtId="164" fontId="8" fillId="4" borderId="2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12" fillId="3" borderId="1" applyAlignment="1" pivotButton="0" quotePrefix="0" xfId="0">
      <alignment horizontal="general" vertical="bottom"/>
    </xf>
    <xf numFmtId="165" fontId="6" fillId="3" borderId="1" applyAlignment="1" pivotButton="0" quotePrefix="0" xfId="0">
      <alignment horizontal="general" vertical="bottom"/>
    </xf>
    <xf numFmtId="0" fontId="5" fillId="5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general" vertical="bottom"/>
    </xf>
    <xf numFmtId="164" fontId="14" fillId="0" borderId="1" applyAlignment="1" pivotButton="0" quotePrefix="0" xfId="0">
      <alignment horizontal="general" vertical="bottom"/>
    </xf>
    <xf numFmtId="0" fontId="13" fillId="3" borderId="1" applyAlignment="1" pivotButton="0" quotePrefix="0" xfId="0">
      <alignment horizontal="general" vertical="bottom"/>
    </xf>
    <xf numFmtId="164" fontId="14" fillId="3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0" fontId="16" fillId="3" borderId="1" applyAlignment="1" pivotButton="0" quotePrefix="0" xfId="0">
      <alignment horizontal="general" vertical="bottom"/>
    </xf>
    <xf numFmtId="165" fontId="13" fillId="3" borderId="1" applyAlignment="1" pivotButton="0" quotePrefix="0" xfId="0">
      <alignment horizontal="general" vertical="bottom"/>
    </xf>
    <xf numFmtId="0" fontId="17" fillId="5" borderId="1" applyAlignment="1" pivotButton="0" quotePrefix="0" xfId="0">
      <alignment horizontal="general" vertical="bottom"/>
    </xf>
    <xf numFmtId="0" fontId="14" fillId="3" borderId="1" applyAlignment="1" pivotButton="0" quotePrefix="0" xfId="0">
      <alignment horizontal="general" vertical="bottom"/>
    </xf>
    <xf numFmtId="0" fontId="18" fillId="4" borderId="2" applyAlignment="1" pivotButton="0" quotePrefix="0" xfId="0">
      <alignment horizontal="general" vertical="bottom"/>
    </xf>
    <xf numFmtId="164" fontId="18" fillId="4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 indent="3"/>
    </xf>
    <xf numFmtId="0" fontId="0" fillId="0" borderId="0" applyAlignment="1" pivotButton="0" quotePrefix="0" xfId="0">
      <alignment horizontal="left" vertical="bottom" indent="2"/>
    </xf>
    <xf numFmtId="0" fontId="5" fillId="2" borderId="1" applyAlignment="1" pivotButton="0" quotePrefix="0" xfId="0">
      <alignment horizontal="left" vertical="bottom" indent="3"/>
    </xf>
    <xf numFmtId="0" fontId="5" fillId="2" borderId="1" applyAlignment="1" pivotButton="0" quotePrefix="0" xfId="0">
      <alignment horizontal="left" vertical="bottom" indent="2"/>
    </xf>
    <xf numFmtId="0" fontId="9" fillId="0" borderId="1" applyAlignment="1" pivotButton="0" quotePrefix="0" xfId="0">
      <alignment horizontal="left" vertical="bottom" indent="3"/>
    </xf>
    <xf numFmtId="0" fontId="9" fillId="0" borderId="1" applyAlignment="1" pivotButton="0" quotePrefix="0" xfId="0">
      <alignment horizontal="left" vertical="bottom" indent="2"/>
    </xf>
    <xf numFmtId="0" fontId="10" fillId="2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left" vertical="bottom" indent="3"/>
    </xf>
    <xf numFmtId="164" fontId="7" fillId="0" borderId="1" applyAlignment="1" pivotButton="0" quotePrefix="0" xfId="0">
      <alignment horizontal="left" vertical="bottom" indent="2"/>
    </xf>
    <xf numFmtId="164" fontId="7" fillId="3" borderId="1" applyAlignment="1" pivotButton="0" quotePrefix="0" xfId="0">
      <alignment horizontal="left" vertical="bottom" indent="3"/>
    </xf>
    <xf numFmtId="0" fontId="7" fillId="3" borderId="1" applyAlignment="1" pivotButton="0" quotePrefix="0" xfId="0">
      <alignment horizontal="left" vertical="bottom" indent="3"/>
    </xf>
    <xf numFmtId="164" fontId="7" fillId="3" borderId="1" applyAlignment="1" pivotButton="0" quotePrefix="0" xfId="0">
      <alignment horizontal="left" vertical="bottom" indent="2"/>
    </xf>
    <xf numFmtId="164" fontId="8" fillId="4" borderId="2" applyAlignment="1" pivotButton="0" quotePrefix="0" xfId="0">
      <alignment horizontal="left" vertical="bottom" indent="3"/>
    </xf>
    <xf numFmtId="0" fontId="5" fillId="5" borderId="1" applyAlignment="1" pivotButton="0" quotePrefix="0" xfId="0">
      <alignment horizontal="left" vertical="bottom" indent="3"/>
    </xf>
    <xf numFmtId="0" fontId="5" fillId="5" borderId="1" applyAlignment="1" pivotButton="0" quotePrefix="0" xfId="0">
      <alignment horizontal="left" vertical="bottom" indent="2"/>
    </xf>
    <xf numFmtId="0" fontId="7" fillId="3" borderId="1" applyAlignment="1" pivotButton="0" quotePrefix="0" xfId="0">
      <alignment horizontal="left" vertical="bottom" indent="2"/>
    </xf>
    <xf numFmtId="0" fontId="7" fillId="0" borderId="1" applyAlignment="1" pivotButton="0" quotePrefix="0" xfId="0">
      <alignment horizontal="left" vertical="bottom" indent="3"/>
    </xf>
    <xf numFmtId="0" fontId="7" fillId="0" borderId="1" applyAlignment="1" pivotButton="0" quotePrefix="0" xfId="0">
      <alignment horizontal="left" vertical="bottom" indent="2"/>
    </xf>
    <xf numFmtId="164" fontId="8" fillId="4" borderId="2" applyAlignment="1" pivotButton="0" quotePrefix="0" xfId="0">
      <alignment horizontal="left" vertical="bottom" indent="2"/>
    </xf>
    <xf numFmtId="0" fontId="11" fillId="5" borderId="1" applyAlignment="1" pivotButton="0" quotePrefix="0" xfId="0">
      <alignment horizontal="left" vertical="bottom" indent="3"/>
    </xf>
    <xf numFmtId="0" fontId="11" fillId="5" borderId="1" applyAlignment="1" pivotButton="0" quotePrefix="0" xfId="0">
      <alignment horizontal="left" vertical="bottom" indent="2"/>
    </xf>
    <xf numFmtId="0" fontId="19" fillId="4" borderId="2" applyAlignment="1" pivotButton="0" quotePrefix="0" xfId="0">
      <alignment horizontal="general" vertical="bottom"/>
    </xf>
    <xf numFmtId="164" fontId="19" fillId="4" borderId="2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20" fillId="5" borderId="1" applyAlignment="1" pivotButton="0" quotePrefix="0" xfId="0">
      <alignment horizontal="general" vertical="bottom"/>
    </xf>
    <xf numFmtId="0" fontId="21" fillId="0" borderId="1" applyAlignment="1" pivotButton="0" quotePrefix="0" xfId="0">
      <alignment horizontal="general" vertical="bottom"/>
    </xf>
    <xf numFmtId="164" fontId="22" fillId="0" borderId="1" applyAlignment="1" pivotButton="0" quotePrefix="0" xfId="0">
      <alignment horizontal="general" vertical="bottom"/>
    </xf>
    <xf numFmtId="0" fontId="21" fillId="3" borderId="1" applyAlignment="1" pivotButton="0" quotePrefix="0" xfId="0">
      <alignment horizontal="general" vertical="bottom"/>
    </xf>
    <xf numFmtId="0" fontId="22" fillId="3" borderId="1" applyAlignment="1" pivotButton="0" quotePrefix="0" xfId="0">
      <alignment horizontal="general" vertical="bottom"/>
    </xf>
    <xf numFmtId="164" fontId="22" fillId="3" borderId="1" applyAlignment="1" pivotButton="0" quotePrefix="0" xfId="0">
      <alignment horizontal="general" vertical="bottom"/>
    </xf>
    <xf numFmtId="0" fontId="22" fillId="0" borderId="1" applyAlignment="1" pivotButton="0" quotePrefix="0" xfId="0">
      <alignment horizontal="general" vertical="bottom"/>
    </xf>
    <xf numFmtId="164" fontId="24" fillId="0" borderId="1" applyAlignment="1" pivotButton="0" quotePrefix="0" xfId="0">
      <alignment horizontal="general" vertical="bottom"/>
    </xf>
    <xf numFmtId="0" fontId="24" fillId="3" borderId="1" applyAlignment="1" pivotButton="0" quotePrefix="0" xfId="0">
      <alignment horizontal="general" vertical="bottom"/>
    </xf>
    <xf numFmtId="0" fontId="25" fillId="6" borderId="0" applyAlignment="1" pivotButton="0" quotePrefix="0" xfId="0">
      <alignment vertical="center" indent="1"/>
    </xf>
    <xf numFmtId="0" fontId="26" fillId="0" borderId="0" pivotButton="0" quotePrefix="0" xfId="0"/>
    <xf numFmtId="0" fontId="27" fillId="0" borderId="0" pivotButton="0" quotePrefix="0" xfId="0"/>
    <xf numFmtId="0" fontId="28" fillId="7" borderId="0" pivotButton="0" quotePrefix="0" xfId="0"/>
    <xf numFmtId="0" fontId="29" fillId="8" borderId="0" pivotButton="0" quotePrefix="0" xfId="0"/>
    <xf numFmtId="0" fontId="30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E82127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4F4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5E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71A20"/>
      <rgbColor rgb="FF1F1F1F"/>
      <rgbColor rgb="FF993300"/>
      <rgbColor rgb="FF993366"/>
      <rgbColor rgb="FF333399"/>
      <rgbColor rgb="FF3F434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workbookViewId="0">
      <selection activeCell="A1" sqref="A1"/>
    </sheetView>
  </sheetViews>
  <sheetFormatPr baseColWidth="8" defaultRowHeight="15"/>
  <cols>
    <col width="40" customWidth="1" style="67" min="1" max="1"/>
    <col width="15" customWidth="1" style="67" min="2" max="2"/>
    <col width="15" customWidth="1" style="67" min="3" max="3"/>
    <col width="15" customWidth="1" style="67" min="4" max="4"/>
    <col width="32" customWidth="1" style="67" min="6" max="6"/>
  </cols>
  <sheetData>
    <row r="1">
      <c r="A1" s="137" t="inlineStr">
        <is>
          <t>Tesla (TSLA) — Scenario / Real-Options Valuation</t>
        </is>
      </c>
    </row>
    <row r="2" ht="28" customHeight="1" s="67">
      <c r="A2" s="144" t="inlineStr">
        <is>
          <t>USD bn / per share. 3,234M shares; net cash ~$36bn; mkt cap ~$1.0T at $313. Live $313 (24-Jul-2026, post-Q2). Core on DCF-consistent multiples; a conventional P/E (~290x) is not meaningful — see Peer Comps.</t>
        </is>
      </c>
    </row>
    <row r="4">
      <c r="A4" s="138" t="inlineStr">
        <is>
          <t>CORE BUSINESS (SOTP)</t>
        </is>
      </c>
    </row>
    <row r="6">
      <c r="A6" s="139" t="inlineStr">
        <is>
          <t>Segment</t>
        </is>
      </c>
      <c r="B6" s="139" t="inlineStr">
        <is>
          <t>Revenue ($bn)</t>
        </is>
      </c>
      <c r="C6" s="139" t="inlineStr">
        <is>
          <t>Multiple</t>
        </is>
      </c>
      <c r="D6" s="139" t="inlineStr">
        <is>
          <t>Value ($bn)</t>
        </is>
      </c>
      <c r="E6" s="139" t="inlineStr"/>
      <c r="F6" s="139" t="inlineStr">
        <is>
          <t>Basis</t>
        </is>
      </c>
    </row>
    <row r="7">
      <c r="A7" s="66" t="inlineStr">
        <is>
          <t>Automotive</t>
        </is>
      </c>
      <c r="B7" s="66" t="n">
        <v>69.5</v>
      </c>
      <c r="C7" s="66" t="n">
        <v>1.4</v>
      </c>
      <c r="D7" s="140">
        <f>B7*C7</f>
        <v/>
      </c>
      <c r="F7" s="66" t="inlineStr">
        <is>
          <t>Barely profitable; ~$30/sh (Street DCF)</t>
        </is>
      </c>
    </row>
    <row r="8">
      <c r="A8" s="66" t="inlineStr">
        <is>
          <t>Energy gen &amp; storage</t>
        </is>
      </c>
      <c r="B8" s="66" t="n">
        <v>12.8</v>
      </c>
      <c r="C8" s="66" t="n">
        <v>6</v>
      </c>
      <c r="D8" s="140">
        <f>B8*C8</f>
        <v/>
      </c>
      <c r="F8" s="66" t="inlineStr">
        <is>
          <t>High growth (~27%), margins rising</t>
        </is>
      </c>
    </row>
    <row r="9">
      <c r="A9" s="66" t="inlineStr">
        <is>
          <t>Services &amp; Supercharging</t>
        </is>
      </c>
      <c r="B9" s="66" t="n">
        <v>12.5</v>
      </c>
      <c r="C9" s="66" t="n">
        <v>3</v>
      </c>
      <c r="D9" s="140">
        <f>B9*C9</f>
        <v/>
      </c>
      <c r="F9" s="66" t="inlineStr">
        <is>
          <t>Recurring + low-margin used cars</t>
        </is>
      </c>
    </row>
    <row r="10">
      <c r="A10" s="66" t="inlineStr">
        <is>
          <t>Net cash</t>
        </is>
      </c>
      <c r="B10" s="66" t="n">
        <v>36</v>
      </c>
      <c r="C10" s="66" t="n">
        <v>1</v>
      </c>
      <c r="D10" s="140">
        <f>B10*C10</f>
        <v/>
      </c>
      <c r="F10" s="66" t="inlineStr">
        <is>
          <t>Balance sheet</t>
        </is>
      </c>
    </row>
    <row r="11">
      <c r="A11" s="139" t="inlineStr">
        <is>
          <t>Core business value ($bn)</t>
        </is>
      </c>
      <c r="D11" s="140">
        <f>SUM(D7:D10)</f>
        <v/>
      </c>
    </row>
    <row r="12">
      <c r="A12" s="66" t="inlineStr">
        <is>
          <t>Core value per share ($)</t>
        </is>
      </c>
      <c r="D12" s="141">
        <f>D11*1000/3234</f>
        <v/>
      </c>
    </row>
    <row r="14">
      <c r="A14" s="138" t="inlineStr">
        <is>
          <t>AUTONOMY + OPTIMUS OPTIONALITY (scenario-weighted)</t>
        </is>
      </c>
    </row>
    <row r="16">
      <c r="A16" s="139" t="inlineStr">
        <is>
          <t>Scenario</t>
        </is>
      </c>
      <c r="B16" s="139" t="inlineStr">
        <is>
          <t>Probability</t>
        </is>
      </c>
      <c r="C16" s="139" t="inlineStr">
        <is>
          <t>Optionality/share ($)</t>
        </is>
      </c>
      <c r="D16" s="139" t="inlineStr">
        <is>
          <t>Value/share = core + option ($)</t>
        </is>
      </c>
      <c r="E16" s="139" t="inlineStr"/>
      <c r="F16" s="139" t="inlineStr"/>
    </row>
    <row r="17">
      <c r="A17" s="66" t="inlineStr">
        <is>
          <t>Bear — autonomy underdelivers; mostly carmaker+energy (≈ Wells Fargo $125 Sell)</t>
        </is>
      </c>
      <c r="B17" s="142" t="n">
        <v>0.37</v>
      </c>
      <c r="C17" s="141" t="n">
        <v>48</v>
      </c>
      <c r="D17" s="141">
        <f>$D$12+C17</f>
        <v/>
      </c>
    </row>
    <row r="18">
      <c r="A18" s="66" t="inlineStr">
        <is>
          <t>Base — robotaxi scales slowly; option slightly rich vs Q2 deceleration</t>
        </is>
      </c>
      <c r="B18" s="142" t="n">
        <v>0.43</v>
      </c>
      <c r="C18" s="141" t="n">
        <v>228</v>
      </c>
      <c r="D18" s="141">
        <f>$D$12+C18</f>
        <v/>
      </c>
    </row>
    <row r="19">
      <c r="A19" s="66" t="inlineStr">
        <is>
          <t>Bull — robotaxi + Optimus inflect (≈ Wedbush $600)</t>
        </is>
      </c>
      <c r="B19" s="142" t="n">
        <v>0.2</v>
      </c>
      <c r="C19" s="141" t="n">
        <v>523</v>
      </c>
      <c r="D19" s="141">
        <f>$D$12+C19</f>
        <v/>
      </c>
    </row>
    <row r="21">
      <c r="A21" s="138" t="inlineStr">
        <is>
          <t>PROBABILITY-WEIGHTED VALUE &amp; RATING</t>
        </is>
      </c>
    </row>
    <row r="22">
      <c r="A22" s="66" t="inlineStr">
        <is>
          <t>Probability-weighted value / share ($)</t>
        </is>
      </c>
      <c r="B22" s="141">
        <f>SUMPRODUCT(B17:B19,D17:D19)</f>
        <v/>
      </c>
    </row>
    <row r="23">
      <c r="A23" s="66" t="inlineStr">
        <is>
          <t>Current price ($)</t>
        </is>
      </c>
      <c r="B23" s="66" t="n">
        <v>313</v>
      </c>
    </row>
    <row r="24">
      <c r="A24" s="66" t="inlineStr">
        <is>
          <t>Upside / (downside)</t>
        </is>
      </c>
      <c r="B24" s="143">
        <f>B22/B23-1</f>
        <v/>
      </c>
    </row>
    <row r="25">
      <c r="A25" s="66" t="inlineStr">
        <is>
          <t>Scenario range ($/share)</t>
        </is>
      </c>
      <c r="B25" s="141">
        <f>D17</f>
        <v/>
      </c>
      <c r="C25" s="66" t="inlineStr">
        <is>
          <t xml:space="preserve"> to </t>
        </is>
      </c>
      <c r="D25" s="141">
        <f>D19</f>
        <v/>
      </c>
    </row>
    <row r="26">
      <c r="A26" s="66" t="inlineStr">
        <is>
          <t>Rating</t>
        </is>
      </c>
      <c r="B26" s="66">
        <f>IF(B24&gt;0.15,"BUY",IF(B24&gt;0.05,"ACCUMULATE",IF(B24&gt;-0.10,"HOLD","REDUCE")))</f>
        <v/>
      </c>
    </row>
    <row r="28" ht="48" customHeight="1" s="67">
      <c r="A28" s="144" t="inlineStr">
        <is>
          <t>Analyst view: on DCF-consistent multiples the car business alone is worth only ~$30/share (Street SOTP); our full core (auto+energy+services+cash) ~$77. At $313 the market pays ~$236/share for autonomy — &gt;70% of the price. Probability-weighted fair value ~$297, about 5% BELOW the price: even after the 15% drop, Tesla is not cheap. HOLD with a downside tilt; would turn cautious on any rally without fundamental improvement.</t>
        </is>
      </c>
    </row>
    <row r="29" ht="46" customHeight="1" s="67">
      <c r="A29" s="144" t="inlineStr">
        <is>
          <t>Q2 FY2026 (22-Jul): record revenue $28.2bn (+26%) and 480,126 deliveries (+25%), but adj EPS $0.33 miss (cons ~$0.51), 16.8% gross margin, 1.4% operating margin, FCF −$1.1bn, 2026 capex raised &gt;$25bn. Stock fell ~15% on the print — worst day in over a year — briefly dipping market cap below $1T.</t>
        </is>
      </c>
    </row>
    <row r="30" ht="48" customHeight="1" s="67">
      <c r="A30" s="144" t="n"/>
    </row>
  </sheetData>
  <mergeCells count="7">
    <mergeCell ref="A2:F2"/>
    <mergeCell ref="A28:F28"/>
    <mergeCell ref="A14:F14"/>
    <mergeCell ref="A1:F1"/>
    <mergeCell ref="A4:F4"/>
    <mergeCell ref="A21:F21"/>
    <mergeCell ref="A29:F29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 filterMode="0">
    <tabColor rgb="FF171A20"/>
    <outlinePr summaryBelow="1" summaryRight="1"/>
    <pageSetUpPr fitToPage="0"/>
  </sheetPr>
  <dimension ref="A1:K45"/>
  <sheetViews>
    <sheetView showFormulas="0" showGridLines="0" showRowColHeaders="1" showZeros="1" rightToLeft="0" tabSelected="0" showOutlineSymbols="1" defaultGridColor="1" view="normal" topLeftCell="A25" colorId="64" zoomScale="124" zoomScaleNormal="124" zoomScalePageLayoutView="100" workbookViewId="0">
      <selection pane="topLeft" activeCell="H22" activeCellId="0" sqref="H22"/>
    </sheetView>
  </sheetViews>
  <sheetFormatPr baseColWidth="8" defaultColWidth="8.83203125" defaultRowHeight="15" customHeight="0" zeroHeight="0" outlineLevelRow="0"/>
  <cols>
    <col width="43.83" customWidth="1" style="66" min="1" max="1"/>
    <col width="13" customWidth="1" style="66" min="2" max="11"/>
  </cols>
  <sheetData>
    <row r="1" ht="18" customHeight="1" s="67">
      <c r="A1" s="68" t="inlineStr">
        <is>
          <t>Line Item</t>
        </is>
      </c>
      <c r="B1" s="69" t="n">
        <v>2020</v>
      </c>
      <c r="C1" s="69" t="n">
        <v>2021</v>
      </c>
      <c r="D1" s="69" t="n">
        <v>2022</v>
      </c>
      <c r="E1" s="69" t="n">
        <v>2023</v>
      </c>
      <c r="F1" s="69" t="n">
        <v>2024</v>
      </c>
      <c r="G1" s="69" t="n">
        <v>2025</v>
      </c>
    </row>
    <row r="2" ht="18.75" customHeight="1" s="67">
      <c r="A2" s="70" t="inlineStr">
        <is>
          <t>REVENUE</t>
        </is>
      </c>
      <c r="B2" s="71" t="n"/>
      <c r="C2" s="71" t="n"/>
      <c r="D2" s="71" t="n"/>
      <c r="E2" s="71" t="n"/>
      <c r="F2" s="71" t="n"/>
      <c r="G2" s="71" t="n"/>
      <c r="H2" s="72" t="n"/>
      <c r="I2" s="72" t="n"/>
      <c r="J2" s="72" t="n"/>
      <c r="K2" s="72" t="n"/>
    </row>
    <row r="3" ht="18.75" customHeight="1" s="67">
      <c r="A3" s="73" t="inlineStr">
        <is>
          <t>Automotive Sales</t>
        </is>
      </c>
      <c r="B3" s="74" t="n">
        <v>24324</v>
      </c>
      <c r="C3" s="74" t="n">
        <v>44125</v>
      </c>
      <c r="D3" s="74" t="n">
        <v>67210</v>
      </c>
      <c r="E3" s="74" t="n">
        <v>78503</v>
      </c>
      <c r="F3" s="74" t="n">
        <v>73258</v>
      </c>
      <c r="G3" s="74" t="n">
        <v>65821</v>
      </c>
    </row>
    <row r="4" ht="18.75" customHeight="1" s="67">
      <c r="A4" s="75" t="inlineStr">
        <is>
          <t>Automotive Regulatory Credits</t>
        </is>
      </c>
      <c r="B4" s="76" t="n">
        <v>1580</v>
      </c>
      <c r="C4" s="76" t="n">
        <v>1465</v>
      </c>
      <c r="D4" s="76" t="n">
        <v>1776</v>
      </c>
      <c r="E4" s="76" t="n">
        <v>1790</v>
      </c>
      <c r="F4" s="75" t="n">
        <v>2070</v>
      </c>
      <c r="G4" s="75" t="n">
        <v>1993</v>
      </c>
    </row>
    <row r="5" ht="19.5" customHeight="1" s="67">
      <c r="A5" s="73" t="inlineStr">
        <is>
          <t>Automotive Leasing</t>
        </is>
      </c>
      <c r="B5" s="77" t="n">
        <v>1052</v>
      </c>
      <c r="C5" s="77" t="n">
        <v>1642</v>
      </c>
      <c r="D5" s="77" t="n">
        <v>2476</v>
      </c>
      <c r="E5" s="77" t="n">
        <v>2126</v>
      </c>
      <c r="F5" s="77" t="n">
        <v>1742</v>
      </c>
      <c r="G5" s="77" t="n">
        <v>1712</v>
      </c>
    </row>
    <row r="6" ht="19.5" customHeight="1" s="67">
      <c r="A6" s="78" t="inlineStr">
        <is>
          <t>Total Automotive Revenue</t>
        </is>
      </c>
      <c r="B6" s="79">
        <f>SUM(B3:B5)</f>
        <v/>
      </c>
      <c r="C6" s="79">
        <f>SUM(C3:C5)</f>
        <v/>
      </c>
      <c r="D6" s="79">
        <f>SUM(D3:D5)</f>
        <v/>
      </c>
      <c r="E6" s="79">
        <f>SUM(E3:E5)</f>
        <v/>
      </c>
      <c r="F6" s="79">
        <f>SUM(F3:F5)</f>
        <v/>
      </c>
      <c r="G6" s="79">
        <f>SUM(G3:G5)</f>
        <v/>
      </c>
    </row>
    <row r="7" ht="18.75" customHeight="1" s="67">
      <c r="A7" s="73" t="inlineStr">
        <is>
          <t>Energy Generation &amp; Storage</t>
        </is>
      </c>
      <c r="B7" s="77" t="n">
        <v>1994</v>
      </c>
      <c r="C7" s="77" t="n">
        <v>2789</v>
      </c>
      <c r="D7" s="77" t="n">
        <v>3909</v>
      </c>
      <c r="E7" s="77" t="n">
        <v>6035</v>
      </c>
      <c r="F7" s="77" t="n">
        <v>10086</v>
      </c>
      <c r="G7" s="77" t="n">
        <v>12771</v>
      </c>
    </row>
    <row r="8" ht="19.5" customHeight="1" s="67">
      <c r="A8" s="75" t="inlineStr">
        <is>
          <t>Services and Other</t>
        </is>
      </c>
      <c r="B8" s="80" t="n">
        <v>2306</v>
      </c>
      <c r="C8" s="80" t="n">
        <v>3802</v>
      </c>
      <c r="D8" s="80" t="n">
        <v>6091</v>
      </c>
      <c r="E8" s="80" t="n">
        <v>8319</v>
      </c>
      <c r="F8" s="80" t="n">
        <v>10534</v>
      </c>
      <c r="G8" s="80" t="n">
        <v>12530</v>
      </c>
      <c r="K8" s="81" t="n"/>
    </row>
    <row r="9" ht="19.5" customHeight="1" s="67">
      <c r="A9" s="78" t="inlineStr">
        <is>
          <t>Total Revenue</t>
        </is>
      </c>
      <c r="B9" s="79">
        <f>SUM(B6:B8)</f>
        <v/>
      </c>
      <c r="C9" s="79">
        <f>SUM(C6:C8)</f>
        <v/>
      </c>
      <c r="D9" s="79">
        <f>SUM(D6:D8)</f>
        <v/>
      </c>
      <c r="E9" s="79">
        <f>SUM(E6:E8)</f>
        <v/>
      </c>
      <c r="F9" s="79">
        <f>SUM(F6:F8)</f>
        <v/>
      </c>
      <c r="G9" s="79">
        <f>SUM(G6:G8)</f>
        <v/>
      </c>
    </row>
    <row r="10" ht="18.75" customHeight="1" s="67">
      <c r="A10" s="82" t="n"/>
      <c r="B10" s="82" t="n"/>
      <c r="C10" s="82" t="n"/>
      <c r="D10" s="82" t="n"/>
      <c r="E10" s="82" t="n"/>
      <c r="F10" s="82" t="n"/>
      <c r="G10" s="82" t="n"/>
    </row>
    <row r="11" ht="18.75" customHeight="1" s="67">
      <c r="A11" s="83" t="inlineStr">
        <is>
          <t>COST OF REVENUE</t>
        </is>
      </c>
      <c r="B11" s="84" t="n"/>
      <c r="C11" s="84" t="n"/>
      <c r="D11" s="84" t="n"/>
      <c r="E11" s="84" t="n"/>
      <c r="F11" s="84" t="n"/>
      <c r="G11" s="84" t="n"/>
    </row>
    <row r="12" ht="18.75" customHeight="1" s="67">
      <c r="A12" s="73" t="inlineStr">
        <is>
          <t>Automotive Cost of Sales</t>
        </is>
      </c>
      <c r="B12" s="77" t="n">
        <v>19696</v>
      </c>
      <c r="C12" s="77" t="n">
        <v>32415</v>
      </c>
      <c r="D12" s="77" t="n">
        <v>49599</v>
      </c>
      <c r="E12" s="77" t="n">
        <v>65121</v>
      </c>
      <c r="F12" s="77" t="n">
        <v>60702</v>
      </c>
      <c r="G12" s="77" t="n">
        <v>56267</v>
      </c>
    </row>
    <row r="13" ht="19.5" customHeight="1" s="67">
      <c r="A13" s="75" t="inlineStr">
        <is>
          <t>Automotive Leasing Cost</t>
        </is>
      </c>
      <c r="B13" s="85" t="n">
        <v>408</v>
      </c>
      <c r="C13" s="85" t="n">
        <v>549</v>
      </c>
      <c r="D13" s="85" t="n">
        <v>979</v>
      </c>
      <c r="E13" s="85" t="n">
        <v>921</v>
      </c>
      <c r="F13" s="85" t="n">
        <v>800</v>
      </c>
      <c r="G13" s="85" t="n">
        <v>898</v>
      </c>
    </row>
    <row r="14" ht="19.5" customHeight="1" s="67">
      <c r="A14" s="78" t="inlineStr">
        <is>
          <t>Total Automotive Cost</t>
        </is>
      </c>
      <c r="B14" s="79">
        <f>SUM(B12:B13)</f>
        <v/>
      </c>
      <c r="C14" s="79">
        <f>SUM(C12:C13)</f>
        <v/>
      </c>
      <c r="D14" s="79">
        <f>SUM(D12:D13)</f>
        <v/>
      </c>
      <c r="E14" s="79">
        <f>SUM(E12:E13)</f>
        <v/>
      </c>
      <c r="F14" s="79">
        <f>SUM(F12:F13)</f>
        <v/>
      </c>
      <c r="G14" s="79">
        <f>SUM(G12:G13)</f>
        <v/>
      </c>
    </row>
    <row r="15" ht="18.75" customHeight="1" s="67">
      <c r="A15" s="75" t="inlineStr">
        <is>
          <t>Energy Generation &amp; Storage Cost</t>
        </is>
      </c>
      <c r="B15" s="80" t="n">
        <v>2139</v>
      </c>
      <c r="C15" s="80" t="n">
        <v>2111</v>
      </c>
      <c r="D15" s="80" t="n">
        <v>2918</v>
      </c>
      <c r="E15" s="80" t="n">
        <v>4479</v>
      </c>
      <c r="F15" s="80" t="n">
        <v>8023</v>
      </c>
      <c r="G15" s="80" t="n">
        <v>8969</v>
      </c>
    </row>
    <row r="16" ht="19.5" customHeight="1" s="67">
      <c r="A16" s="73" t="inlineStr">
        <is>
          <t>Services and Other Cost</t>
        </is>
      </c>
      <c r="B16" s="77" t="n">
        <v>2663</v>
      </c>
      <c r="C16" s="77" t="n">
        <v>3142</v>
      </c>
      <c r="D16" s="77" t="n">
        <v>7113</v>
      </c>
      <c r="E16" s="77" t="n">
        <v>8301</v>
      </c>
      <c r="F16" s="77" t="n">
        <v>9925</v>
      </c>
      <c r="G16" s="77" t="n">
        <v>11599</v>
      </c>
    </row>
    <row r="17" ht="19.5" customHeight="1" s="67">
      <c r="A17" s="78" t="inlineStr">
        <is>
          <t>Total Cost of Revenue</t>
        </is>
      </c>
      <c r="B17" s="79">
        <f>SUM(B14:B16)</f>
        <v/>
      </c>
      <c r="C17" s="79">
        <f>SUM(C14:C16)</f>
        <v/>
      </c>
      <c r="D17" s="79">
        <f>SUM(D14:D16)</f>
        <v/>
      </c>
      <c r="E17" s="79">
        <f>SUM(E14:E16)</f>
        <v/>
      </c>
      <c r="F17" s="79">
        <f>SUM(F14:F16)</f>
        <v/>
      </c>
      <c r="G17" s="79">
        <f>SUM(G14:G16)</f>
        <v/>
      </c>
      <c r="H17" s="81" t="n"/>
    </row>
    <row r="18" ht="19.5" customHeight="1" s="67">
      <c r="A18" s="82" t="n"/>
      <c r="B18" s="82" t="n"/>
      <c r="C18" s="82" t="n"/>
      <c r="D18" s="82" t="n"/>
      <c r="E18" s="82" t="n"/>
      <c r="F18" s="82" t="n"/>
      <c r="G18" s="82" t="n"/>
    </row>
    <row r="19" ht="18.75" customHeight="1" s="67">
      <c r="A19" s="78" t="inlineStr">
        <is>
          <t>GROSS PROFIT</t>
        </is>
      </c>
      <c r="B19" s="79">
        <f>B9-B17</f>
        <v/>
      </c>
      <c r="C19" s="79">
        <f>C9-C17</f>
        <v/>
      </c>
      <c r="D19" s="79">
        <f>D9-D17</f>
        <v/>
      </c>
      <c r="E19" s="79">
        <f>E9-E17</f>
        <v/>
      </c>
      <c r="F19" s="79">
        <f>F9-F17</f>
        <v/>
      </c>
      <c r="G19" s="79">
        <f>G9-G17</f>
        <v/>
      </c>
    </row>
    <row r="20" ht="19.5" customHeight="1" s="67">
      <c r="A20" s="86" t="inlineStr">
        <is>
          <t>Gross Profit Margin %</t>
        </is>
      </c>
      <c r="B20" s="87">
        <f>B19/B9*100</f>
        <v/>
      </c>
      <c r="C20" s="87">
        <f>C19/C9*100</f>
        <v/>
      </c>
      <c r="D20" s="87">
        <f>D19/D9*100</f>
        <v/>
      </c>
      <c r="E20" s="87">
        <f>E19/E9*100</f>
        <v/>
      </c>
      <c r="F20" s="87">
        <f>F19/F9*100</f>
        <v/>
      </c>
      <c r="G20" s="87">
        <f>G19/G9*100</f>
        <v/>
      </c>
    </row>
    <row r="21" ht="19.5" customHeight="1" s="67">
      <c r="A21" s="82" t="n"/>
      <c r="B21" s="82" t="n"/>
      <c r="C21" s="82" t="n"/>
      <c r="D21" s="82" t="n"/>
      <c r="E21" s="82" t="n"/>
      <c r="F21" s="82" t="n"/>
      <c r="G21" s="82" t="n"/>
    </row>
    <row r="22" ht="19.5" customHeight="1" s="67">
      <c r="A22" s="83" t="inlineStr">
        <is>
          <t>OPERATING EXPENSES</t>
        </is>
      </c>
      <c r="B22" s="88" t="n"/>
      <c r="C22" s="88" t="n"/>
      <c r="D22" s="88" t="n"/>
      <c r="E22" s="88" t="n"/>
      <c r="F22" s="88" t="n"/>
      <c r="G22" s="88" t="n"/>
    </row>
    <row r="23" ht="15.75" customHeight="1" s="67">
      <c r="A23" s="89" t="inlineStr">
        <is>
          <t>Research &amp; Development</t>
        </is>
      </c>
      <c r="B23" s="90" t="n">
        <v>1491</v>
      </c>
      <c r="C23" s="90" t="n">
        <v>2593</v>
      </c>
      <c r="D23" s="90" t="n">
        <v>3075</v>
      </c>
      <c r="E23" s="90" t="n">
        <v>3969</v>
      </c>
      <c r="F23" s="90" t="n">
        <v>4276</v>
      </c>
      <c r="G23" s="90" t="n">
        <v>6411</v>
      </c>
    </row>
    <row r="24" ht="15.75" customHeight="1" s="67">
      <c r="A24" s="91" t="inlineStr">
        <is>
          <t>Selling, General &amp; Administrative</t>
        </is>
      </c>
      <c r="B24" s="92" t="n">
        <v>3145</v>
      </c>
      <c r="C24" s="92" t="n">
        <v>4517</v>
      </c>
      <c r="D24" s="92" t="n">
        <v>3946</v>
      </c>
      <c r="E24" s="92" t="n">
        <v>4639</v>
      </c>
      <c r="F24" s="92" t="n">
        <v>5031</v>
      </c>
      <c r="G24" s="92" t="n">
        <v>5834</v>
      </c>
    </row>
    <row r="25" ht="16.5" customHeight="1" s="67">
      <c r="A25" s="89" t="inlineStr">
        <is>
          <t>Restructuring and Other</t>
        </is>
      </c>
      <c r="B25" s="93" t="n">
        <v>0</v>
      </c>
      <c r="C25" s="93" t="n">
        <v>-27</v>
      </c>
      <c r="D25" s="93" t="n">
        <v>176</v>
      </c>
      <c r="E25" s="93" t="n">
        <v>283</v>
      </c>
      <c r="F25" s="93" t="n">
        <v>-648</v>
      </c>
      <c r="G25" s="93" t="n">
        <v>494</v>
      </c>
    </row>
    <row r="26" ht="19.5" customHeight="1" s="67">
      <c r="A26" s="78" t="inlineStr">
        <is>
          <t>Total Operating Expenses</t>
        </is>
      </c>
      <c r="B26" s="79">
        <f>SUM(B23:B25)</f>
        <v/>
      </c>
      <c r="C26" s="79">
        <f>SUM(C23:C25)</f>
        <v/>
      </c>
      <c r="D26" s="79">
        <f>SUM(D23:D25)</f>
        <v/>
      </c>
      <c r="E26" s="79">
        <f>SUM(E23:E25)</f>
        <v/>
      </c>
      <c r="F26" s="79">
        <f>SUM(F23:F25)</f>
        <v/>
      </c>
      <c r="G26" s="79">
        <f>SUM(G23:G25)</f>
        <v/>
      </c>
    </row>
    <row r="27" ht="16.5" customHeight="1" s="67">
      <c r="A27" s="94" t="n"/>
      <c r="B27" s="94" t="n"/>
      <c r="C27" s="94" t="n"/>
      <c r="D27" s="94" t="n"/>
      <c r="E27" s="94" t="n"/>
      <c r="F27" s="94" t="n"/>
      <c r="G27" s="94" t="n"/>
    </row>
    <row r="28" ht="18.75" customHeight="1" s="67">
      <c r="A28" s="78" t="inlineStr">
        <is>
          <t>OPERATING INCOME (EBIT)</t>
        </is>
      </c>
      <c r="B28" s="79">
        <f>B19-B26</f>
        <v/>
      </c>
      <c r="C28" s="79">
        <f>C19-C26</f>
        <v/>
      </c>
      <c r="D28" s="79">
        <f>D19-D26</f>
        <v/>
      </c>
      <c r="E28" s="79">
        <f>E19-E26</f>
        <v/>
      </c>
      <c r="F28" s="79">
        <f>F19-F26</f>
        <v/>
      </c>
      <c r="G28" s="79">
        <f>G19-G26</f>
        <v/>
      </c>
    </row>
    <row r="29" ht="16.5" customHeight="1" s="67">
      <c r="A29" s="95" t="inlineStr">
        <is>
          <t>Operating Margin %</t>
        </is>
      </c>
      <c r="B29" s="96">
        <f>B28/B9*100</f>
        <v/>
      </c>
      <c r="C29" s="96">
        <f>C28/C9*100</f>
        <v/>
      </c>
      <c r="D29" s="96">
        <f>D28/D9*100</f>
        <v/>
      </c>
      <c r="E29" s="96">
        <f>E28/E9*100</f>
        <v/>
      </c>
      <c r="F29" s="96">
        <f>F28/F9*100</f>
        <v/>
      </c>
      <c r="G29" s="96">
        <f>G28/G9*100</f>
        <v/>
      </c>
    </row>
    <row r="30" ht="15.75" customHeight="1" s="67">
      <c r="A30" s="94" t="n"/>
      <c r="B30" s="94" t="n"/>
      <c r="C30" s="94" t="n"/>
      <c r="D30" s="94" t="n"/>
      <c r="E30" s="94" t="n"/>
      <c r="F30" s="94" t="n"/>
      <c r="G30" s="94" t="n"/>
    </row>
    <row r="31" ht="15.75" customHeight="1" s="67">
      <c r="A31" s="83" t="inlineStr">
        <is>
          <t>OTHER INCOME/EXPENSE</t>
        </is>
      </c>
      <c r="B31" s="97" t="n"/>
      <c r="C31" s="97" t="n"/>
      <c r="D31" s="97" t="n"/>
      <c r="E31" s="97" t="n"/>
      <c r="F31" s="97" t="n"/>
      <c r="G31" s="97" t="n"/>
    </row>
    <row r="32" ht="15.75" customHeight="1" s="67">
      <c r="A32" s="89" t="inlineStr">
        <is>
          <t>Interest Income</t>
        </is>
      </c>
      <c r="B32" s="93" t="n">
        <v>30</v>
      </c>
      <c r="C32" s="93" t="n">
        <v>56</v>
      </c>
      <c r="D32" s="93" t="n">
        <v>297</v>
      </c>
      <c r="E32" s="90" t="n">
        <v>1066</v>
      </c>
      <c r="F32" s="90" t="n">
        <v>1683</v>
      </c>
      <c r="G32" s="90" t="n">
        <v>1680</v>
      </c>
    </row>
    <row r="33" ht="15.75" customHeight="1" s="67">
      <c r="A33" s="91" t="inlineStr">
        <is>
          <t>Interest Expense</t>
        </is>
      </c>
      <c r="B33" s="98" t="n">
        <v>-748</v>
      </c>
      <c r="C33" s="98" t="n">
        <v>-371</v>
      </c>
      <c r="D33" s="98" t="n">
        <v>-191</v>
      </c>
      <c r="E33" s="98" t="n">
        <v>-433</v>
      </c>
      <c r="F33" s="98" t="n">
        <v>-354</v>
      </c>
      <c r="G33" s="98" t="n">
        <v>-338</v>
      </c>
    </row>
    <row r="34" ht="16.5" customHeight="1" s="67">
      <c r="A34" s="89" t="inlineStr">
        <is>
          <t>Other Income (Expense), Net</t>
        </is>
      </c>
      <c r="B34" s="93" t="n">
        <v>-122</v>
      </c>
      <c r="C34" s="93" t="n">
        <v>135</v>
      </c>
      <c r="D34" s="93" t="n">
        <v>-43</v>
      </c>
      <c r="E34" s="93" t="n">
        <v>197</v>
      </c>
      <c r="F34" s="90" t="n">
        <v>-9609</v>
      </c>
      <c r="G34" s="93" t="n">
        <v>-419</v>
      </c>
    </row>
    <row r="35" ht="16.5" customHeight="1" s="67">
      <c r="A35" s="95" t="inlineStr">
        <is>
          <t>Total Other Income/Expense</t>
        </is>
      </c>
      <c r="B35" s="91">
        <f>SUM(B32:B34)</f>
        <v/>
      </c>
      <c r="C35" s="91">
        <f>SUM(C32:C34)</f>
        <v/>
      </c>
      <c r="D35" s="91">
        <f>SUM(D32:D34)</f>
        <v/>
      </c>
      <c r="E35" s="91">
        <f>SUM(E32:E34)</f>
        <v/>
      </c>
      <c r="F35" s="91">
        <f>SUM(F32:F34)</f>
        <v/>
      </c>
      <c r="G35" s="91">
        <f>SUM(G32:G34)</f>
        <v/>
      </c>
    </row>
    <row r="36" ht="15.75" customHeight="1" s="67">
      <c r="A36" s="94" t="n"/>
      <c r="B36" s="94" t="n"/>
      <c r="C36" s="94" t="n"/>
      <c r="D36" s="94" t="n"/>
      <c r="E36" s="94" t="n"/>
      <c r="F36" s="94" t="n"/>
      <c r="G36" s="94" t="n"/>
    </row>
    <row r="37" ht="15.75" customHeight="1" s="67">
      <c r="A37" s="95" t="inlineStr">
        <is>
          <t>INCOME BEFORE TAXES</t>
        </is>
      </c>
      <c r="B37" s="91">
        <f>B28+B35</f>
        <v/>
      </c>
      <c r="C37" s="91">
        <f>C28+C35</f>
        <v/>
      </c>
      <c r="D37" s="91">
        <f>D28+D35</f>
        <v/>
      </c>
      <c r="E37" s="91">
        <f>E28+E35</f>
        <v/>
      </c>
      <c r="F37" s="91">
        <f>F28+F35</f>
        <v/>
      </c>
      <c r="G37" s="91">
        <f>G28+G35</f>
        <v/>
      </c>
    </row>
    <row r="38" ht="16.5" customHeight="1" s="67">
      <c r="A38" s="91" t="inlineStr">
        <is>
          <t>Provision for Income Taxes</t>
        </is>
      </c>
      <c r="B38" s="98" t="n">
        <v>292</v>
      </c>
      <c r="C38" s="98" t="n">
        <v>699</v>
      </c>
      <c r="D38" s="92" t="n">
        <v>1132</v>
      </c>
      <c r="E38" s="92" t="n">
        <v>-5107</v>
      </c>
      <c r="F38" s="92" t="n">
        <v>-5790</v>
      </c>
      <c r="G38" s="92" t="n">
        <v>1423</v>
      </c>
    </row>
    <row r="39" ht="16.5" customHeight="1" s="67">
      <c r="A39" s="99" t="inlineStr">
        <is>
          <t>NET INCOME</t>
        </is>
      </c>
      <c r="B39" s="100">
        <f>B37-B38</f>
        <v/>
      </c>
      <c r="C39" s="100">
        <f>C37-C38</f>
        <v/>
      </c>
      <c r="D39" s="100">
        <f>D37-D38</f>
        <v/>
      </c>
      <c r="E39" s="100">
        <f>E37-E38</f>
        <v/>
      </c>
      <c r="F39" s="100">
        <f>F37-F38</f>
        <v/>
      </c>
      <c r="G39" s="100">
        <f>G37-G38</f>
        <v/>
      </c>
    </row>
    <row r="40" ht="16.5" customHeight="1" s="67">
      <c r="A40" s="95" t="inlineStr">
        <is>
          <t>Net Income Margin %</t>
        </is>
      </c>
      <c r="B40" s="96">
        <f>B39/B9*100</f>
        <v/>
      </c>
      <c r="C40" s="96">
        <f>C39/C9*100</f>
        <v/>
      </c>
      <c r="D40" s="96">
        <f>D39/D9*100</f>
        <v/>
      </c>
      <c r="E40" s="96">
        <f>E39/E9*100</f>
        <v/>
      </c>
      <c r="F40" s="96">
        <f>F39/F9*100</f>
        <v/>
      </c>
      <c r="G40" s="96">
        <f>G39/G9*100</f>
        <v/>
      </c>
    </row>
    <row r="41" ht="16.5" customHeight="1" s="67">
      <c r="A41" s="94" t="n"/>
      <c r="B41" s="94" t="n"/>
      <c r="C41" s="94" t="n"/>
      <c r="D41" s="94" t="n"/>
      <c r="E41" s="94" t="n"/>
      <c r="F41" s="94" t="n"/>
      <c r="G41" s="94" t="n"/>
    </row>
    <row r="42" ht="16.5" customHeight="1" s="67">
      <c r="A42" s="83" t="inlineStr">
        <is>
          <t>ADJUSTED METRICS</t>
        </is>
      </c>
      <c r="B42" s="97" t="n"/>
      <c r="C42" s="97" t="n"/>
      <c r="D42" s="97" t="n"/>
      <c r="E42" s="97" t="n"/>
      <c r="F42" s="97" t="n"/>
      <c r="G42" s="97" t="n"/>
    </row>
    <row r="43" ht="15.75" customHeight="1" s="67">
      <c r="A43" s="99" t="inlineStr">
        <is>
          <t>EBITDA (Adjusted)</t>
        </is>
      </c>
      <c r="B43" s="100" t="n">
        <v>4273</v>
      </c>
      <c r="C43" s="100" t="n">
        <v>9434</v>
      </c>
      <c r="D43" s="100" t="n">
        <v>17235</v>
      </c>
      <c r="E43" s="100" t="n">
        <v>13558</v>
      </c>
      <c r="F43" s="100" t="n">
        <v>13027</v>
      </c>
      <c r="G43" s="100" t="n">
        <v>10503</v>
      </c>
    </row>
    <row r="44" ht="15.75" customHeight="1" s="67">
      <c r="A44" s="91" t="inlineStr">
        <is>
          <t>EBITDA Margin %</t>
        </is>
      </c>
      <c r="B44" s="98" t="n">
        <v>13.5</v>
      </c>
      <c r="C44" s="98" t="n">
        <v>17.5</v>
      </c>
      <c r="D44" s="98" t="n">
        <v>21.2</v>
      </c>
      <c r="E44" s="98" t="n">
        <v>14</v>
      </c>
      <c r="F44" s="98" t="n">
        <v>13.3</v>
      </c>
      <c r="G44" s="98" t="n">
        <v>11.08</v>
      </c>
    </row>
    <row r="45" ht="16.5" customHeight="1" s="67">
      <c r="A45" s="89" t="inlineStr">
        <is>
          <t>Depreciation &amp; Amortization</t>
        </is>
      </c>
      <c r="B45" s="90" t="n">
        <v>2322</v>
      </c>
      <c r="C45" s="90" t="n">
        <v>2593</v>
      </c>
      <c r="D45" s="90" t="n">
        <v>3398</v>
      </c>
      <c r="E45" s="90" t="n">
        <v>3668</v>
      </c>
      <c r="F45" s="90" t="n">
        <v>3446</v>
      </c>
      <c r="G45" s="90" t="n">
        <v>6148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171A20"/>
    <outlinePr summaryBelow="1" summaryRight="1"/>
    <pageSetUpPr fitToPage="0"/>
  </sheetPr>
  <dimension ref="A1:G53"/>
  <sheetViews>
    <sheetView showFormulas="0" showGridLines="0" showRowColHeaders="1" showZeros="1" rightToLeft="0" tabSelected="0" showOutlineSymbols="1" defaultGridColor="1" view="normal" topLeftCell="A1" colorId="64" zoomScale="150" zoomScaleNormal="150" zoomScalePageLayoutView="100" workbookViewId="0">
      <selection pane="topLeft" activeCell="F21" activeCellId="0" sqref="F21"/>
    </sheetView>
  </sheetViews>
  <sheetFormatPr baseColWidth="8" defaultColWidth="8.83203125" defaultRowHeight="15" customHeight="0" zeroHeight="0" outlineLevelRow="0"/>
  <cols>
    <col width="42" customWidth="1" style="66" min="1" max="1"/>
    <col width="13" customWidth="1" style="101" min="2" max="4"/>
    <col width="13" customWidth="1" style="102" min="5" max="5"/>
    <col width="13" customWidth="1" style="101" min="6" max="6"/>
    <col width="13" customWidth="1" style="66" min="7" max="7"/>
  </cols>
  <sheetData>
    <row r="1" ht="18" customHeight="1" s="67">
      <c r="A1" s="68" t="inlineStr">
        <is>
          <t>Line Item</t>
        </is>
      </c>
      <c r="B1" s="69" t="n">
        <v>2020</v>
      </c>
      <c r="C1" s="69" t="n">
        <v>2021</v>
      </c>
      <c r="D1" s="69" t="n">
        <v>2022</v>
      </c>
      <c r="E1" s="69" t="n">
        <v>2023</v>
      </c>
      <c r="F1" s="69" t="n">
        <v>2024</v>
      </c>
      <c r="G1" s="69" t="n">
        <v>2025</v>
      </c>
    </row>
    <row r="2" ht="18.75" customHeight="1" s="67">
      <c r="A2" s="70" t="inlineStr">
        <is>
          <t>ASSETS</t>
        </is>
      </c>
      <c r="B2" s="103" t="n"/>
      <c r="C2" s="103" t="n"/>
      <c r="D2" s="103" t="n"/>
      <c r="E2" s="104" t="n"/>
      <c r="F2" s="103" t="n"/>
      <c r="G2" s="103" t="n"/>
    </row>
    <row r="3" ht="18.75" customHeight="1" s="67">
      <c r="A3" s="82" t="n"/>
      <c r="B3" s="105" t="n"/>
      <c r="C3" s="105" t="n"/>
      <c r="D3" s="105" t="n"/>
      <c r="E3" s="106" t="n"/>
      <c r="F3" s="105" t="n"/>
      <c r="G3" s="105" t="n"/>
    </row>
    <row r="4" ht="18.75" customHeight="1" s="67">
      <c r="A4" s="107" t="inlineStr">
        <is>
          <t>CURRENT ASSETS</t>
        </is>
      </c>
      <c r="B4" s="103" t="n"/>
      <c r="C4" s="103" t="n"/>
      <c r="D4" s="103" t="n"/>
      <c r="E4" s="104" t="n"/>
      <c r="F4" s="103" t="n"/>
      <c r="G4" s="103" t="n"/>
    </row>
    <row r="5" ht="18.75" customHeight="1" s="67">
      <c r="A5" s="73" t="inlineStr">
        <is>
          <t>Cash and Cash Equivalents</t>
        </is>
      </c>
      <c r="B5" s="108" t="n">
        <v>6268</v>
      </c>
      <c r="C5" s="108" t="n">
        <v>6580</v>
      </c>
      <c r="D5" s="108" t="n">
        <v>16398</v>
      </c>
      <c r="E5" s="109" t="n">
        <v>16398</v>
      </c>
      <c r="F5" s="108" t="n">
        <v>17533</v>
      </c>
      <c r="G5" s="108" t="n">
        <v>16513</v>
      </c>
    </row>
    <row r="6" ht="19.5" customHeight="1" s="67">
      <c r="A6" s="75" t="inlineStr">
        <is>
          <t>Short-term Investments</t>
        </is>
      </c>
      <c r="B6" s="110" t="n">
        <v>12709</v>
      </c>
      <c r="C6" s="110" t="n">
        <v>11564</v>
      </c>
      <c r="D6" s="111" t="n">
        <v>526</v>
      </c>
      <c r="E6" s="112" t="n">
        <v>12879</v>
      </c>
      <c r="F6" s="110" t="n">
        <v>16047</v>
      </c>
      <c r="G6" s="110" t="n">
        <v>27546</v>
      </c>
    </row>
    <row r="7" ht="19.5" customHeight="1" s="67">
      <c r="A7" s="78" t="inlineStr">
        <is>
          <t>Total Cash &amp; Investments</t>
        </is>
      </c>
      <c r="B7" s="113">
        <f>SUM(B5:B6)</f>
        <v/>
      </c>
      <c r="C7" s="113">
        <f>SUM(C5:C6)</f>
        <v/>
      </c>
      <c r="D7" s="113">
        <f>SUM(D5:D6)</f>
        <v/>
      </c>
      <c r="E7" s="113">
        <f>SUM(E5:E6)</f>
        <v/>
      </c>
      <c r="F7" s="113">
        <f>SUM(F5:F6)</f>
        <v/>
      </c>
      <c r="G7" s="113">
        <f>SUM(G5:G6)</f>
        <v/>
      </c>
    </row>
    <row r="8" ht="18.75" customHeight="1" s="67">
      <c r="A8" s="75" t="inlineStr">
        <is>
          <t>Accounts Receivable, Net</t>
        </is>
      </c>
      <c r="B8" s="110" t="n">
        <v>1886</v>
      </c>
      <c r="C8" s="110" t="n">
        <v>1913</v>
      </c>
      <c r="D8" s="110" t="n">
        <v>2952</v>
      </c>
      <c r="E8" s="112" t="n">
        <v>3508</v>
      </c>
      <c r="F8" s="110" t="n">
        <v>3792</v>
      </c>
      <c r="G8" s="110" t="n">
        <v>4576</v>
      </c>
    </row>
    <row r="9" ht="18.75" customHeight="1" s="67">
      <c r="A9" s="73" t="inlineStr">
        <is>
          <t>Inventory</t>
        </is>
      </c>
      <c r="B9" s="108" t="n">
        <v>4101</v>
      </c>
      <c r="C9" s="108" t="n">
        <v>5757</v>
      </c>
      <c r="D9" s="108" t="n">
        <v>12839</v>
      </c>
      <c r="E9" s="109" t="n">
        <v>13626</v>
      </c>
      <c r="F9" s="108" t="n">
        <v>16349</v>
      </c>
      <c r="G9" s="108" t="n">
        <v>12392</v>
      </c>
    </row>
    <row r="10" ht="18.75" customHeight="1" s="67">
      <c r="A10" s="75" t="inlineStr">
        <is>
          <t>Prepaid Expenses &amp; Other</t>
        </is>
      </c>
      <c r="B10" s="110" t="n">
        <v>1573</v>
      </c>
      <c r="C10" s="110" t="n">
        <v>1786</v>
      </c>
      <c r="D10" s="110" t="n">
        <v>2941</v>
      </c>
      <c r="E10" s="112" t="n">
        <v>3205</v>
      </c>
      <c r="F10" s="110" t="n">
        <v>4639</v>
      </c>
      <c r="G10" s="110" t="n">
        <v>7615</v>
      </c>
    </row>
    <row r="11" ht="18.75" customHeight="1" s="67">
      <c r="A11" s="78" t="inlineStr">
        <is>
          <t>Total Current Assets</t>
        </is>
      </c>
      <c r="B11" s="113">
        <f>SUM(B7:B10)</f>
        <v/>
      </c>
      <c r="C11" s="113">
        <f>SUM(C7:C10)</f>
        <v/>
      </c>
      <c r="D11" s="113">
        <f>SUM(D7:D10)</f>
        <v/>
      </c>
      <c r="E11" s="113">
        <f>SUM(E7:E10)</f>
        <v/>
      </c>
      <c r="F11" s="113">
        <f>SUM(F7:F10)</f>
        <v/>
      </c>
      <c r="G11" s="113">
        <f>SUM(G7:G10)</f>
        <v/>
      </c>
    </row>
    <row r="12" ht="19.5" customHeight="1" s="67">
      <c r="A12" s="82" t="n"/>
      <c r="B12" s="105" t="n"/>
      <c r="C12" s="105" t="n"/>
      <c r="D12" s="105" t="n"/>
      <c r="E12" s="106" t="n"/>
      <c r="F12" s="105" t="n"/>
      <c r="G12" s="105" t="n"/>
    </row>
    <row r="13" ht="19.5" customHeight="1" s="67">
      <c r="A13" s="83" t="inlineStr">
        <is>
          <t>NON-CURRENT ASSETS</t>
        </is>
      </c>
      <c r="B13" s="114" t="n"/>
      <c r="C13" s="114" t="n"/>
      <c r="D13" s="114" t="n"/>
      <c r="E13" s="115" t="n"/>
      <c r="F13" s="114" t="n"/>
      <c r="G13" s="114" t="n"/>
    </row>
    <row r="14" ht="18.75" customHeight="1" s="67">
      <c r="A14" s="73" t="inlineStr">
        <is>
          <t>Property, Plant &amp; Equipment, Net</t>
        </is>
      </c>
      <c r="B14" s="108" t="n">
        <v>23375</v>
      </c>
      <c r="C14" s="108" t="n">
        <v>31176</v>
      </c>
      <c r="D14" s="108" t="n">
        <v>36669</v>
      </c>
      <c r="E14" s="109" t="n">
        <v>44740</v>
      </c>
      <c r="F14" s="108" t="n">
        <v>49768</v>
      </c>
      <c r="G14" s="108" t="n">
        <v>40643</v>
      </c>
    </row>
    <row r="15" ht="18.75" customHeight="1" s="67">
      <c r="A15" s="75" t="inlineStr">
        <is>
          <t>Operating Lease Vehicles, Net</t>
        </is>
      </c>
      <c r="B15" s="110" t="n">
        <v>1552</v>
      </c>
      <c r="C15" s="110" t="n">
        <v>2774</v>
      </c>
      <c r="D15" s="110" t="n">
        <v>5226</v>
      </c>
      <c r="E15" s="112" t="n">
        <v>7191</v>
      </c>
      <c r="F15" s="110" t="n">
        <v>7361</v>
      </c>
      <c r="G15" s="110" t="n">
        <v>4912</v>
      </c>
    </row>
    <row r="16" ht="18.75" customHeight="1" s="67">
      <c r="A16" s="73" t="inlineStr">
        <is>
          <t>Solar Energy Systems, Net</t>
        </is>
      </c>
      <c r="B16" s="108" t="n">
        <v>5979</v>
      </c>
      <c r="C16" s="108" t="n">
        <v>6192</v>
      </c>
      <c r="D16" s="108" t="n">
        <v>6450</v>
      </c>
      <c r="E16" s="109" t="n">
        <v>6715</v>
      </c>
      <c r="F16" s="108" t="n">
        <v>6928</v>
      </c>
      <c r="G16" s="108" t="n">
        <v>4604</v>
      </c>
    </row>
    <row r="17" ht="18.75" customHeight="1" s="67">
      <c r="A17" s="75" t="inlineStr">
        <is>
          <t>Intangible Assets &amp; Goodwill</t>
        </is>
      </c>
      <c r="B17" s="111" t="n">
        <v>366</v>
      </c>
      <c r="C17" s="111" t="n">
        <v>388</v>
      </c>
      <c r="D17" s="111" t="n">
        <v>435</v>
      </c>
      <c r="E17" s="116" t="n">
        <v>431</v>
      </c>
      <c r="F17" s="111" t="n">
        <v>413</v>
      </c>
      <c r="G17" s="111" t="n">
        <v>0</v>
      </c>
    </row>
    <row r="18" ht="18.75" customHeight="1" s="67">
      <c r="A18" s="73" t="inlineStr">
        <is>
          <t>Digital Assets</t>
        </is>
      </c>
      <c r="B18" s="117" t="n">
        <v>0</v>
      </c>
      <c r="C18" s="117" t="n">
        <v>0</v>
      </c>
      <c r="D18" s="117" t="n">
        <v>184</v>
      </c>
      <c r="E18" s="118" t="n">
        <v>184</v>
      </c>
      <c r="F18" s="117" t="n">
        <v>184</v>
      </c>
      <c r="G18" s="108" t="n">
        <v>1008</v>
      </c>
    </row>
    <row r="19" ht="18.75" customHeight="1" s="67">
      <c r="A19" s="75" t="inlineStr">
        <is>
          <t>Deferred Tax Assets</t>
        </is>
      </c>
      <c r="B19" s="111" t="n">
        <v>151</v>
      </c>
      <c r="C19" s="111" t="n">
        <v>89</v>
      </c>
      <c r="D19" s="111" t="n">
        <v>537</v>
      </c>
      <c r="E19" s="112" t="n">
        <v>6733</v>
      </c>
      <c r="F19" s="110" t="n">
        <v>6692</v>
      </c>
      <c r="G19" s="110" t="n">
        <v>6925</v>
      </c>
    </row>
    <row r="20" ht="19.5" customHeight="1" s="67">
      <c r="A20" s="73" t="inlineStr">
        <is>
          <t>Other Non-current Assets</t>
        </is>
      </c>
      <c r="B20" s="117" t="n">
        <v>0</v>
      </c>
      <c r="C20" s="108" t="n">
        <v>3413</v>
      </c>
      <c r="D20" s="108" t="n">
        <v>3270</v>
      </c>
      <c r="E20" s="109" t="n">
        <v>4299</v>
      </c>
      <c r="F20" s="108" t="n">
        <v>4964</v>
      </c>
      <c r="G20" s="108" t="n">
        <v>11072</v>
      </c>
    </row>
    <row r="21" ht="19.5" customHeight="1" s="67">
      <c r="A21" s="78" t="inlineStr">
        <is>
          <t>Total Non-Current Assets</t>
        </is>
      </c>
      <c r="B21" s="113" t="n">
        <v>25431</v>
      </c>
      <c r="C21" s="113" t="n">
        <v>35031</v>
      </c>
      <c r="D21" s="113" t="n">
        <v>41421</v>
      </c>
      <c r="E21" s="119" t="n">
        <v>57002</v>
      </c>
      <c r="F21" s="113" t="n">
        <v>63710</v>
      </c>
      <c r="G21" s="113" t="n">
        <v>69164</v>
      </c>
    </row>
    <row r="22" ht="19.5" customHeight="1" s="67">
      <c r="A22" s="82" t="n"/>
      <c r="B22" s="105" t="n"/>
      <c r="C22" s="105" t="n"/>
      <c r="D22" s="105" t="n"/>
      <c r="E22" s="106" t="n"/>
      <c r="F22" s="105" t="n"/>
      <c r="G22" s="105" t="n"/>
    </row>
    <row r="23" ht="19.5" customHeight="1" s="67">
      <c r="A23" s="78" t="inlineStr">
        <is>
          <t>TOTAL ASSETS</t>
        </is>
      </c>
      <c r="B23" s="113" t="n">
        <v>52148</v>
      </c>
      <c r="C23" s="113" t="n">
        <v>62131</v>
      </c>
      <c r="D23" s="113" t="n">
        <v>82338</v>
      </c>
      <c r="E23" s="119" t="n">
        <v>106618</v>
      </c>
      <c r="F23" s="113" t="n">
        <v>122070</v>
      </c>
      <c r="G23" s="113" t="n">
        <v>137806</v>
      </c>
    </row>
    <row r="24" ht="18.75" customHeight="1" s="67">
      <c r="A24" s="82" t="n"/>
      <c r="B24" s="105" t="n"/>
      <c r="C24" s="105" t="n"/>
      <c r="D24" s="105" t="n"/>
      <c r="E24" s="106" t="n"/>
      <c r="F24" s="105" t="n"/>
      <c r="G24" s="105" t="n"/>
    </row>
    <row r="25" ht="19.5" customHeight="1" s="67">
      <c r="A25" s="82" t="n"/>
      <c r="B25" s="105" t="n"/>
      <c r="C25" s="105" t="n"/>
      <c r="D25" s="105" t="n"/>
      <c r="E25" s="106" t="n"/>
      <c r="F25" s="105" t="n"/>
      <c r="G25" s="105" t="n"/>
    </row>
    <row r="26" ht="19.5" customHeight="1" s="67">
      <c r="A26" s="83" t="inlineStr">
        <is>
          <t>LIABILITIES &amp; EQUITY</t>
        </is>
      </c>
      <c r="B26" s="114" t="n"/>
      <c r="C26" s="114" t="n"/>
      <c r="D26" s="114" t="n"/>
      <c r="E26" s="115" t="n"/>
      <c r="F26" s="114" t="n"/>
      <c r="G26" s="114" t="n"/>
    </row>
    <row r="27" ht="18.75" customHeight="1" s="67">
      <c r="A27" s="82" t="n"/>
      <c r="B27" s="105" t="n"/>
      <c r="C27" s="105" t="n"/>
      <c r="D27" s="105" t="n"/>
      <c r="E27" s="106" t="n"/>
      <c r="F27" s="105" t="n"/>
      <c r="G27" s="105" t="n"/>
    </row>
    <row r="28" ht="18.75" customHeight="1" s="67">
      <c r="A28" s="83" t="inlineStr">
        <is>
          <t>CURRENT LIABILITIES</t>
        </is>
      </c>
      <c r="B28" s="120" t="n"/>
      <c r="C28" s="120" t="n"/>
      <c r="D28" s="120" t="n"/>
      <c r="E28" s="121" t="n"/>
      <c r="F28" s="120" t="n"/>
      <c r="G28" s="120" t="n"/>
    </row>
    <row r="29" ht="18.75" customHeight="1" s="67">
      <c r="A29" s="73" t="inlineStr">
        <is>
          <t>Accounts Payable</t>
        </is>
      </c>
      <c r="B29" s="108" t="n">
        <v>6051</v>
      </c>
      <c r="C29" s="108" t="n">
        <v>10025</v>
      </c>
      <c r="D29" s="108" t="n">
        <v>15255</v>
      </c>
      <c r="E29" s="109" t="n">
        <v>14431</v>
      </c>
      <c r="F29" s="108" t="n">
        <v>13056</v>
      </c>
      <c r="G29" s="108" t="n">
        <v>13371</v>
      </c>
    </row>
    <row r="30" ht="18.75" customHeight="1" s="67">
      <c r="A30" s="75" t="inlineStr">
        <is>
          <t>Accrued Liabilities &amp; Other</t>
        </is>
      </c>
      <c r="B30" s="110" t="n">
        <v>5288</v>
      </c>
      <c r="C30" s="110" t="n">
        <v>7612</v>
      </c>
      <c r="D30" s="110" t="n">
        <v>8941</v>
      </c>
      <c r="E30" s="112" t="n">
        <v>9080</v>
      </c>
      <c r="F30" s="110" t="n">
        <v>9616</v>
      </c>
      <c r="G30" s="110" t="n">
        <v>13279</v>
      </c>
    </row>
    <row r="31" ht="18.75" customHeight="1" s="67">
      <c r="A31" s="73" t="inlineStr">
        <is>
          <t>Deferred Revenue</t>
        </is>
      </c>
      <c r="B31" s="108" t="n">
        <v>1121</v>
      </c>
      <c r="C31" s="108" t="n">
        <v>1447</v>
      </c>
      <c r="D31" s="108" t="n">
        <v>1747</v>
      </c>
      <c r="E31" s="109" t="n">
        <v>2864</v>
      </c>
      <c r="F31" s="108" t="n">
        <v>2793</v>
      </c>
      <c r="G31" s="108" t="n">
        <v>3424</v>
      </c>
    </row>
    <row r="32" ht="18.75" customHeight="1" s="67">
      <c r="A32" s="75" t="inlineStr">
        <is>
          <t>Customer Deposits</t>
        </is>
      </c>
      <c r="B32" s="111" t="n">
        <v>925</v>
      </c>
      <c r="C32" s="111" t="n">
        <v>925</v>
      </c>
      <c r="D32" s="110" t="n">
        <v>1063</v>
      </c>
      <c r="E32" s="116" t="n">
        <v>825</v>
      </c>
      <c r="F32" s="111" t="n">
        <v>652</v>
      </c>
      <c r="G32" s="111" t="n">
        <v>0</v>
      </c>
    </row>
    <row r="33" ht="19.5" customHeight="1" s="67">
      <c r="A33" s="73" t="inlineStr">
        <is>
          <t>Current Debt &amp; Finance Leases</t>
        </is>
      </c>
      <c r="B33" s="108" t="n">
        <v>2132</v>
      </c>
      <c r="C33" s="108" t="n">
        <v>1696</v>
      </c>
      <c r="D33" s="108" t="n">
        <v>1502</v>
      </c>
      <c r="E33" s="109" t="n">
        <v>2373</v>
      </c>
      <c r="F33" s="108" t="n">
        <v>7745</v>
      </c>
      <c r="G33" s="108" t="n">
        <v>1640</v>
      </c>
    </row>
    <row r="34" ht="19.5" customHeight="1" s="67">
      <c r="A34" s="78" t="inlineStr">
        <is>
          <t>Total Current Liabilities</t>
        </is>
      </c>
      <c r="B34" s="113" t="n">
        <v>14248</v>
      </c>
      <c r="C34" s="113" t="n">
        <v>19705</v>
      </c>
      <c r="D34" s="113" t="n">
        <v>26709</v>
      </c>
      <c r="E34" s="119" t="n">
        <v>28748</v>
      </c>
      <c r="F34" s="113" t="n">
        <v>28821</v>
      </c>
      <c r="G34" s="113" t="n">
        <v>31714</v>
      </c>
    </row>
    <row r="35" ht="18.75" customHeight="1" s="67">
      <c r="A35" s="82" t="n"/>
      <c r="B35" s="105" t="n"/>
      <c r="C35" s="105" t="n"/>
      <c r="D35" s="105" t="n"/>
      <c r="E35" s="106" t="n"/>
      <c r="F35" s="105" t="n"/>
      <c r="G35" s="105" t="n"/>
    </row>
    <row r="36" ht="18.75" customHeight="1" s="67">
      <c r="A36" s="83" t="inlineStr">
        <is>
          <t>NON-CURRENT LIABILITIES</t>
        </is>
      </c>
      <c r="B36" s="120" t="n"/>
      <c r="C36" s="120" t="n"/>
      <c r="D36" s="120" t="n"/>
      <c r="E36" s="121" t="n"/>
      <c r="F36" s="120" t="n"/>
      <c r="G36" s="120" t="n"/>
    </row>
    <row r="37" ht="18.75" customHeight="1" s="67">
      <c r="A37" s="73" t="inlineStr">
        <is>
          <t>Long-term Debt &amp; Finance Leases</t>
        </is>
      </c>
      <c r="B37" s="108" t="n">
        <v>9556</v>
      </c>
      <c r="C37" s="108" t="n">
        <v>5245</v>
      </c>
      <c r="D37" s="108" t="n">
        <v>2889</v>
      </c>
      <c r="E37" s="109" t="n">
        <v>2857</v>
      </c>
      <c r="F37" s="108" t="n">
        <v>5481</v>
      </c>
      <c r="G37" s="108" t="n">
        <v>6736</v>
      </c>
    </row>
    <row r="38" ht="18.75" customHeight="1" s="67">
      <c r="A38" s="75" t="inlineStr">
        <is>
          <t>Deferred Revenue, Non-current</t>
        </is>
      </c>
      <c r="B38" s="110" t="n">
        <v>1340</v>
      </c>
      <c r="C38" s="110" t="n">
        <v>1523</v>
      </c>
      <c r="D38" s="110" t="n">
        <v>1913</v>
      </c>
      <c r="E38" s="112" t="n">
        <v>3251</v>
      </c>
      <c r="F38" s="110" t="n">
        <v>3357</v>
      </c>
      <c r="G38" s="110" t="n">
        <v>3631</v>
      </c>
    </row>
    <row r="39" ht="19.5" customHeight="1" s="67">
      <c r="A39" s="73" t="inlineStr">
        <is>
          <t>Other Long-term Liabilities</t>
        </is>
      </c>
      <c r="B39" s="108" t="n">
        <v>3325</v>
      </c>
      <c r="C39" s="108" t="n">
        <v>4075</v>
      </c>
      <c r="D39" s="108" t="n">
        <v>4929</v>
      </c>
      <c r="E39" s="109" t="n">
        <v>8153</v>
      </c>
      <c r="F39" s="108" t="n">
        <v>9002</v>
      </c>
      <c r="G39" s="108" t="n">
        <v>12860</v>
      </c>
    </row>
    <row r="40" ht="19.5" customHeight="1" s="67">
      <c r="A40" s="78" t="inlineStr">
        <is>
          <t>Total Non-Current Liabilities</t>
        </is>
      </c>
      <c r="B40" s="113" t="n">
        <v>14221</v>
      </c>
      <c r="C40" s="113" t="n">
        <v>10843</v>
      </c>
      <c r="D40" s="113" t="n">
        <v>9731</v>
      </c>
      <c r="E40" s="119" t="n">
        <v>14261</v>
      </c>
      <c r="F40" s="113" t="n">
        <v>19569</v>
      </c>
      <c r="G40" s="113" t="n">
        <v>23227</v>
      </c>
    </row>
    <row r="41" ht="19.5" customHeight="1" s="67">
      <c r="A41" s="82" t="n"/>
      <c r="B41" s="105" t="n"/>
      <c r="C41" s="105" t="n"/>
      <c r="D41" s="105" t="n"/>
      <c r="E41" s="106" t="n"/>
      <c r="F41" s="105" t="n"/>
      <c r="G41" s="105" t="n"/>
    </row>
    <row r="42" ht="19.5" customHeight="1" s="67">
      <c r="A42" s="78" t="inlineStr">
        <is>
          <t>TOTAL LIABILITIES</t>
        </is>
      </c>
      <c r="B42" s="113" t="n">
        <v>28469</v>
      </c>
      <c r="C42" s="113" t="n">
        <v>30548</v>
      </c>
      <c r="D42" s="113" t="n">
        <v>36440</v>
      </c>
      <c r="E42" s="119" t="n">
        <v>43009</v>
      </c>
      <c r="F42" s="113" t="n">
        <v>48390</v>
      </c>
      <c r="G42" s="113" t="n">
        <v>54941</v>
      </c>
    </row>
    <row r="43" ht="18.75" customHeight="1" s="67">
      <c r="A43" s="82" t="n"/>
      <c r="B43" s="105" t="n"/>
      <c r="C43" s="105" t="n"/>
      <c r="D43" s="105" t="n"/>
      <c r="E43" s="106" t="n"/>
      <c r="F43" s="105" t="n"/>
      <c r="G43" s="105" t="n"/>
    </row>
    <row r="44" ht="18.75" customHeight="1" s="67">
      <c r="A44" s="82" t="n"/>
      <c r="B44" s="105" t="n"/>
      <c r="C44" s="105" t="n"/>
      <c r="D44" s="105" t="n"/>
      <c r="E44" s="106" t="n"/>
      <c r="F44" s="105" t="n"/>
      <c r="G44" s="105" t="n"/>
    </row>
    <row r="45" ht="18.75" customHeight="1" s="67">
      <c r="A45" s="83" t="inlineStr">
        <is>
          <t>SHAREHOLDERS EQUITY</t>
        </is>
      </c>
      <c r="B45" s="120" t="n"/>
      <c r="C45" s="120" t="n"/>
      <c r="D45" s="120" t="n"/>
      <c r="E45" s="121" t="n"/>
      <c r="F45" s="120" t="n"/>
      <c r="G45" s="120" t="n"/>
    </row>
    <row r="46" ht="18.75" customHeight="1" s="67">
      <c r="A46" s="73" t="inlineStr">
        <is>
          <t>Common Stock</t>
        </is>
      </c>
      <c r="B46" s="117" t="n">
        <v>1</v>
      </c>
      <c r="C46" s="117" t="n">
        <v>2</v>
      </c>
      <c r="D46" s="117" t="n">
        <v>3</v>
      </c>
      <c r="E46" s="118" t="n">
        <v>3</v>
      </c>
      <c r="F46" s="117" t="n">
        <v>3</v>
      </c>
      <c r="G46" s="117" t="n">
        <v>3</v>
      </c>
    </row>
    <row r="47" ht="18.75" customHeight="1" s="67">
      <c r="A47" s="75" t="inlineStr">
        <is>
          <t>Additional Paid-in Capital</t>
        </is>
      </c>
      <c r="B47" s="110" t="n">
        <v>28036</v>
      </c>
      <c r="C47" s="110" t="n">
        <v>31251</v>
      </c>
      <c r="D47" s="110" t="n">
        <v>33140</v>
      </c>
      <c r="E47" s="112" t="n">
        <v>34833</v>
      </c>
      <c r="F47" s="110" t="n">
        <v>36443</v>
      </c>
      <c r="G47" s="110" t="n">
        <v>42770</v>
      </c>
    </row>
    <row r="48" ht="18.75" customHeight="1" s="67">
      <c r="A48" s="73" t="inlineStr">
        <is>
          <t>Accumulated Other Comprehensive Income (Loss)</t>
        </is>
      </c>
      <c r="B48" s="117" t="n">
        <v>-36</v>
      </c>
      <c r="C48" s="117" t="n">
        <v>-101</v>
      </c>
      <c r="D48" s="117" t="n">
        <v>-158</v>
      </c>
      <c r="E48" s="118" t="n">
        <v>-543</v>
      </c>
      <c r="F48" s="117" t="n">
        <v>-467</v>
      </c>
      <c r="G48" s="117" t="n">
        <v>361</v>
      </c>
    </row>
    <row r="49" ht="18.75" customHeight="1" s="67">
      <c r="A49" s="75" t="inlineStr">
        <is>
          <t>Retained Earnings</t>
        </is>
      </c>
      <c r="B49" s="110" t="n">
        <v>-6083</v>
      </c>
      <c r="C49" s="111" t="n">
        <v>158</v>
      </c>
      <c r="D49" s="110" t="n">
        <v>12885</v>
      </c>
      <c r="E49" s="112" t="n">
        <v>28583</v>
      </c>
      <c r="F49" s="110" t="n">
        <v>36978</v>
      </c>
      <c r="G49" s="110" t="n">
        <v>39003</v>
      </c>
    </row>
    <row r="50" ht="18.75" customHeight="1" s="67">
      <c r="A50" s="73" t="inlineStr">
        <is>
          <t>Non-controlling Interests</t>
        </is>
      </c>
      <c r="B50" s="108" t="n">
        <v>1761</v>
      </c>
      <c r="C50" s="108" t="n">
        <v>2273</v>
      </c>
      <c r="D50" s="108" t="n">
        <v>2028</v>
      </c>
      <c r="E50" s="118" t="n">
        <v>733</v>
      </c>
      <c r="F50" s="117" t="n">
        <v>723</v>
      </c>
      <c r="G50" s="117" t="n">
        <v>728</v>
      </c>
    </row>
    <row r="51" ht="18.75" customHeight="1" s="67">
      <c r="A51" s="78" t="inlineStr">
        <is>
          <t>Total Stockholders Equity</t>
        </is>
      </c>
      <c r="B51" s="113" t="n">
        <v>23679</v>
      </c>
      <c r="C51" s="113" t="n">
        <v>31583</v>
      </c>
      <c r="D51" s="113" t="n">
        <v>45898</v>
      </c>
      <c r="E51" s="119" t="n">
        <v>63609</v>
      </c>
      <c r="F51" s="113" t="n">
        <v>73680</v>
      </c>
      <c r="G51" s="113" t="n">
        <v>82865</v>
      </c>
    </row>
    <row r="52" ht="18.75" customHeight="1" s="67">
      <c r="A52" s="82" t="n"/>
      <c r="B52" s="105" t="n"/>
      <c r="C52" s="105" t="n"/>
      <c r="D52" s="105" t="n"/>
      <c r="E52" s="106" t="n"/>
      <c r="F52" s="105" t="n"/>
      <c r="G52" s="105" t="n"/>
    </row>
    <row r="53" ht="19.5" customHeight="1" s="67">
      <c r="A53" s="78" t="inlineStr">
        <is>
          <t>TOTAL LIABILITIES &amp; EQUITY</t>
        </is>
      </c>
      <c r="B53" s="113" t="n">
        <v>52148</v>
      </c>
      <c r="C53" s="113" t="n">
        <v>62131</v>
      </c>
      <c r="D53" s="113" t="n">
        <v>82338</v>
      </c>
      <c r="E53" s="119" t="n">
        <v>106618</v>
      </c>
      <c r="F53" s="113" t="n">
        <v>122070</v>
      </c>
      <c r="G53" s="113" t="n">
        <v>137806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171A20"/>
    <outlinePr summaryBelow="1" summaryRight="1"/>
    <pageSetUpPr fitToPage="0"/>
  </sheetPr>
  <dimension ref="A1:G55"/>
  <sheetViews>
    <sheetView showFormulas="0" showGridLines="0" showRowColHeaders="1" showZeros="1" rightToLeft="0" tabSelected="0" showOutlineSymbols="1" defaultGridColor="1" view="normal" topLeftCell="A1" colorId="64" zoomScale="142" zoomScaleNormal="142" zoomScalePageLayoutView="100" workbookViewId="0">
      <selection pane="topLeft" activeCell="H14" activeCellId="0" sqref="H14"/>
    </sheetView>
  </sheetViews>
  <sheetFormatPr baseColWidth="8" defaultColWidth="8.83203125" defaultRowHeight="15" customHeight="0" zeroHeight="0" outlineLevelRow="0"/>
  <cols>
    <col width="42" customWidth="1" style="66" min="1" max="1"/>
    <col width="13" customWidth="1" style="66" min="2" max="7"/>
  </cols>
  <sheetData>
    <row r="1" ht="18" customHeight="1" s="67">
      <c r="A1" s="68" t="inlineStr">
        <is>
          <t>Line Item</t>
        </is>
      </c>
      <c r="B1" s="69" t="n">
        <v>2020</v>
      </c>
      <c r="C1" s="69" t="n">
        <v>2021</v>
      </c>
      <c r="D1" s="69" t="n">
        <v>2022</v>
      </c>
      <c r="E1" s="69" t="n">
        <v>2023</v>
      </c>
      <c r="F1" s="69" t="n">
        <v>2024</v>
      </c>
      <c r="G1" s="69" t="n">
        <v>2025</v>
      </c>
    </row>
    <row r="2" ht="15" customHeight="1" s="67">
      <c r="A2" s="70" t="inlineStr">
        <is>
          <t>OPERATING ACTIVITIES</t>
        </is>
      </c>
      <c r="B2" s="70" t="n"/>
      <c r="C2" s="70" t="n"/>
      <c r="D2" s="70" t="n"/>
      <c r="E2" s="70" t="n"/>
      <c r="F2" s="70" t="n"/>
      <c r="G2" s="70" t="n"/>
    </row>
    <row r="3" ht="15" customHeight="1" s="67">
      <c r="A3" s="122" t="inlineStr">
        <is>
          <t>Net Income</t>
        </is>
      </c>
      <c r="B3" s="122" t="n">
        <v>862</v>
      </c>
      <c r="C3" s="123" t="n">
        <v>5644</v>
      </c>
      <c r="D3" s="123" t="n">
        <v>12587</v>
      </c>
      <c r="E3" s="123" t="n">
        <v>14997</v>
      </c>
      <c r="F3" s="123" t="n">
        <v>7091</v>
      </c>
      <c r="G3" s="123" t="n">
        <v>3855</v>
      </c>
    </row>
    <row r="4" ht="15" customHeight="1" s="67">
      <c r="A4" s="124" t="n"/>
      <c r="B4" s="124" t="n"/>
      <c r="C4" s="124" t="n"/>
      <c r="D4" s="124" t="n"/>
      <c r="E4" s="124" t="n"/>
      <c r="F4" s="124" t="n"/>
      <c r="G4" s="124" t="n"/>
    </row>
    <row r="5" ht="15" customHeight="1" s="67">
      <c r="A5" s="83" t="inlineStr">
        <is>
          <t>Adjustments to Reconcile:</t>
        </is>
      </c>
      <c r="B5" s="125" t="n"/>
      <c r="C5" s="125" t="n"/>
      <c r="D5" s="125" t="n"/>
      <c r="E5" s="125" t="n"/>
      <c r="F5" s="125" t="n"/>
      <c r="G5" s="125" t="n"/>
    </row>
    <row r="6" ht="15" customHeight="1" s="67">
      <c r="A6" s="126" t="inlineStr">
        <is>
          <t>Depreciation &amp; Amortization</t>
        </is>
      </c>
      <c r="B6" s="127" t="n">
        <v>2322</v>
      </c>
      <c r="C6" s="127" t="n">
        <v>2593</v>
      </c>
      <c r="D6" s="127" t="n">
        <v>3398</v>
      </c>
      <c r="E6" s="127" t="n">
        <v>3668</v>
      </c>
      <c r="F6" s="127" t="n">
        <v>3446</v>
      </c>
      <c r="G6" s="127" t="n">
        <v>6148</v>
      </c>
    </row>
    <row r="7" ht="15" customHeight="1" s="67">
      <c r="A7" s="128" t="inlineStr">
        <is>
          <t>Stock-based Compensation</t>
        </is>
      </c>
      <c r="B7" s="129" t="n">
        <v>774</v>
      </c>
      <c r="C7" s="130" t="n">
        <v>1993</v>
      </c>
      <c r="D7" s="130" t="n">
        <v>2543</v>
      </c>
      <c r="E7" s="130" t="n">
        <v>1743</v>
      </c>
      <c r="F7" s="130" t="n">
        <v>1815</v>
      </c>
      <c r="G7" s="130" t="n">
        <v>2825</v>
      </c>
    </row>
    <row r="8" ht="15" customHeight="1" s="67">
      <c r="A8" s="126" t="inlineStr">
        <is>
          <t>Deferred Income Taxes</t>
        </is>
      </c>
      <c r="B8" s="131" t="n">
        <v>48</v>
      </c>
      <c r="C8" s="131" t="n">
        <v>-151</v>
      </c>
      <c r="D8" s="131" t="n">
        <v>394</v>
      </c>
      <c r="E8" s="127" t="n">
        <v>-6100</v>
      </c>
      <c r="F8" s="127" t="n">
        <v>6228</v>
      </c>
      <c r="G8" s="131" t="n">
        <v>123</v>
      </c>
    </row>
    <row r="9" ht="15" customHeight="1" s="67">
      <c r="A9" s="128" t="inlineStr">
        <is>
          <t>Amortization of Debt</t>
        </is>
      </c>
      <c r="B9" s="129" t="n">
        <v>70</v>
      </c>
      <c r="C9" s="129" t="n">
        <v>86</v>
      </c>
      <c r="D9" s="129" t="n">
        <v>66</v>
      </c>
      <c r="E9" s="129" t="n">
        <v>46</v>
      </c>
      <c r="F9" s="129" t="n">
        <v>67</v>
      </c>
      <c r="G9" s="129" t="n">
        <v>0</v>
      </c>
    </row>
    <row r="10" ht="15" customHeight="1" s="67">
      <c r="A10" s="126" t="inlineStr">
        <is>
          <t>Loss (Gain) on Digital Assets</t>
        </is>
      </c>
      <c r="B10" s="131" t="n">
        <v>0</v>
      </c>
      <c r="C10" s="131" t="n">
        <v>101</v>
      </c>
      <c r="D10" s="131" t="n">
        <v>-204</v>
      </c>
      <c r="E10" s="131" t="n">
        <v>0</v>
      </c>
      <c r="F10" s="131" t="n">
        <v>0</v>
      </c>
      <c r="G10" s="131" t="n">
        <v>68</v>
      </c>
    </row>
    <row r="11" ht="15" customHeight="1" s="67">
      <c r="A11" s="124" t="n"/>
      <c r="B11" s="124" t="n"/>
      <c r="C11" s="124" t="n"/>
      <c r="D11" s="124" t="n"/>
      <c r="E11" s="124" t="n"/>
      <c r="F11" s="124" t="n"/>
      <c r="G11" s="124" t="n"/>
    </row>
    <row r="12" ht="15" customHeight="1" s="67">
      <c r="A12" s="83" t="inlineStr">
        <is>
          <t>Changes in Operating Assets/Liabilities:</t>
        </is>
      </c>
      <c r="B12" s="125" t="n"/>
      <c r="C12" s="125" t="n"/>
      <c r="D12" s="125" t="n"/>
      <c r="E12" s="125" t="n"/>
      <c r="F12" s="125" t="n"/>
      <c r="G12" s="125" t="n"/>
    </row>
    <row r="13" ht="15" customHeight="1" s="67">
      <c r="A13" s="126" t="inlineStr">
        <is>
          <t>Accounts Receivable</t>
        </is>
      </c>
      <c r="B13" s="131" t="n">
        <v>-341</v>
      </c>
      <c r="C13" s="131" t="n">
        <v>-184</v>
      </c>
      <c r="D13" s="131" t="n">
        <v>-858</v>
      </c>
      <c r="E13" s="131" t="n">
        <v>-615</v>
      </c>
      <c r="F13" s="131" t="n">
        <v>-354</v>
      </c>
      <c r="G13" s="131" t="n">
        <v>-261</v>
      </c>
    </row>
    <row r="14" ht="15" customHeight="1" s="67">
      <c r="A14" s="128" t="inlineStr">
        <is>
          <t>Inventory</t>
        </is>
      </c>
      <c r="B14" s="130" t="n">
        <v>-1479</v>
      </c>
      <c r="C14" s="130" t="n">
        <v>-1709</v>
      </c>
      <c r="D14" s="130" t="n">
        <v>-6660</v>
      </c>
      <c r="E14" s="130" t="n">
        <v>-1149</v>
      </c>
      <c r="F14" s="130" t="n">
        <v>-2778</v>
      </c>
      <c r="G14" s="129" t="n">
        <v>-630</v>
      </c>
    </row>
    <row r="15" ht="15" customHeight="1" s="67">
      <c r="A15" s="126" t="inlineStr">
        <is>
          <t>Prepaid &amp; Other Assets</t>
        </is>
      </c>
      <c r="B15" s="131" t="n">
        <v>-219</v>
      </c>
      <c r="C15" s="131" t="n">
        <v>-516</v>
      </c>
      <c r="D15" s="127" t="n">
        <v>-1287</v>
      </c>
      <c r="E15" s="131" t="n">
        <v>-735</v>
      </c>
      <c r="F15" s="127" t="n">
        <v>-1414</v>
      </c>
      <c r="G15" s="127" t="n">
        <v>-3181</v>
      </c>
    </row>
    <row r="16" ht="15" customHeight="1" s="67">
      <c r="A16" s="128" t="inlineStr">
        <is>
          <t>Accounts Payable</t>
        </is>
      </c>
      <c r="B16" s="130" t="n">
        <v>2102</v>
      </c>
      <c r="C16" s="130" t="n">
        <v>4578</v>
      </c>
      <c r="D16" s="130" t="n">
        <v>6029</v>
      </c>
      <c r="E16" s="130" t="n">
        <v>1889</v>
      </c>
      <c r="F16" s="130" t="n">
        <v>-1378</v>
      </c>
      <c r="G16" s="130" t="n">
        <v>4376</v>
      </c>
    </row>
    <row r="17" ht="15" customHeight="1" s="67">
      <c r="A17" s="126" t="inlineStr">
        <is>
          <t>Accrued Liabilities &amp; Other</t>
        </is>
      </c>
      <c r="B17" s="131" t="n">
        <v>633</v>
      </c>
      <c r="C17" s="127" t="n">
        <v>1320</v>
      </c>
      <c r="D17" s="127" t="n">
        <v>1904</v>
      </c>
      <c r="E17" s="127" t="n">
        <v>1106</v>
      </c>
      <c r="F17" s="131" t="n">
        <v>594</v>
      </c>
      <c r="G17" s="131" t="n">
        <v>0</v>
      </c>
    </row>
    <row r="18" ht="15" customHeight="1" s="67">
      <c r="A18" s="128" t="inlineStr">
        <is>
          <t>Deferred Revenue</t>
        </is>
      </c>
      <c r="B18" s="129" t="n">
        <v>321</v>
      </c>
      <c r="C18" s="129" t="n">
        <v>793</v>
      </c>
      <c r="D18" s="130" t="n">
        <v>1131</v>
      </c>
      <c r="E18" s="130" t="n">
        <v>1096</v>
      </c>
      <c r="F18" s="129" t="n">
        <v>-71</v>
      </c>
      <c r="G18" s="129" t="n">
        <v>363</v>
      </c>
    </row>
    <row r="19" ht="15" customHeight="1" s="67">
      <c r="A19" s="126" t="inlineStr">
        <is>
          <t>Other</t>
        </is>
      </c>
      <c r="B19" s="131" t="n">
        <v>850</v>
      </c>
      <c r="C19" s="131" t="n">
        <v>-51</v>
      </c>
      <c r="D19" s="131" t="n">
        <v>681</v>
      </c>
      <c r="E19" s="131" t="n">
        <v>310</v>
      </c>
      <c r="F19" s="127" t="n">
        <v>1677</v>
      </c>
      <c r="G19" s="127" t="n">
        <v>1061</v>
      </c>
    </row>
    <row r="20" ht="15" customHeight="1" s="67">
      <c r="A20" s="124" t="n"/>
      <c r="B20" s="124" t="n"/>
      <c r="C20" s="124" t="n"/>
      <c r="D20" s="124" t="n"/>
      <c r="E20" s="124" t="n"/>
      <c r="F20" s="124" t="n"/>
      <c r="G20" s="124" t="n"/>
    </row>
    <row r="21" ht="15" customHeight="1" s="67">
      <c r="A21" s="122" t="inlineStr">
        <is>
          <t>Net Cash from Operating Activities</t>
        </is>
      </c>
      <c r="B21" s="123" t="n">
        <v>5943</v>
      </c>
      <c r="C21" s="123" t="n">
        <v>11497</v>
      </c>
      <c r="D21" s="123" t="n">
        <v>14724</v>
      </c>
      <c r="E21" s="123" t="n">
        <v>13256</v>
      </c>
      <c r="F21" s="123" t="n">
        <v>14923</v>
      </c>
      <c r="G21" s="123" t="n">
        <v>14747</v>
      </c>
    </row>
    <row r="22" ht="15" customHeight="1" s="67">
      <c r="A22" s="124" t="n"/>
      <c r="B22" s="124" t="n"/>
      <c r="C22" s="124" t="n"/>
      <c r="D22" s="124" t="n"/>
      <c r="E22" s="124" t="n"/>
      <c r="F22" s="124" t="n"/>
      <c r="G22" s="124" t="n"/>
    </row>
    <row r="23" ht="15" customHeight="1" s="67">
      <c r="A23" s="124" t="n"/>
      <c r="B23" s="124" t="n"/>
      <c r="C23" s="124" t="n"/>
      <c r="D23" s="124" t="n"/>
      <c r="E23" s="124" t="n"/>
      <c r="F23" s="124" t="n"/>
      <c r="G23" s="124" t="n"/>
    </row>
    <row r="24" ht="15" customHeight="1" s="67">
      <c r="A24" s="83" t="inlineStr">
        <is>
          <t>INVESTING ACTIVITIES</t>
        </is>
      </c>
      <c r="B24" s="125" t="n"/>
      <c r="C24" s="125" t="n"/>
      <c r="D24" s="125" t="n"/>
      <c r="E24" s="125" t="n"/>
      <c r="F24" s="125" t="n"/>
      <c r="G24" s="125" t="n"/>
    </row>
    <row r="25" ht="15" customHeight="1" s="67">
      <c r="A25" s="126" t="inlineStr">
        <is>
          <t>Capital Expenditures (PP&amp;E)</t>
        </is>
      </c>
      <c r="B25" s="127" t="n">
        <v>-3157</v>
      </c>
      <c r="C25" s="127" t="n">
        <v>-6514</v>
      </c>
      <c r="D25" s="127" t="n">
        <v>-7163</v>
      </c>
      <c r="E25" s="127" t="n">
        <v>-8903</v>
      </c>
      <c r="F25" s="127" t="n">
        <v>-11339</v>
      </c>
      <c r="G25" s="127" t="n">
        <v>-8527</v>
      </c>
    </row>
    <row r="26" ht="15" customHeight="1" s="67">
      <c r="A26" s="128" t="inlineStr">
        <is>
          <t>Purchase of Intangible Assets</t>
        </is>
      </c>
      <c r="B26" s="129" t="n">
        <v>0</v>
      </c>
      <c r="C26" s="129" t="n">
        <v>-41</v>
      </c>
      <c r="D26" s="129" t="n">
        <v>-20</v>
      </c>
      <c r="E26" s="129" t="n">
        <v>-27</v>
      </c>
      <c r="F26" s="129" t="n">
        <v>-10</v>
      </c>
      <c r="G26" s="129" t="n">
        <v>0</v>
      </c>
    </row>
    <row r="27" ht="15" customHeight="1" s="67">
      <c r="A27" s="126" t="inlineStr">
        <is>
          <t>Purchase of Short-term Investments</t>
        </is>
      </c>
      <c r="B27" s="131" t="n">
        <v>-12</v>
      </c>
      <c r="C27" s="127" t="n">
        <v>-1249</v>
      </c>
      <c r="D27" s="127" t="n">
        <v>-3945</v>
      </c>
      <c r="E27" s="127" t="n">
        <v>-21066</v>
      </c>
      <c r="F27" s="127" t="n">
        <v>-12919</v>
      </c>
      <c r="G27" s="127" t="n">
        <v>-37109</v>
      </c>
    </row>
    <row r="28" ht="15" customHeight="1" s="67">
      <c r="A28" s="128" t="inlineStr">
        <is>
          <t>Proceeds from Maturities of Investments</t>
        </is>
      </c>
      <c r="B28" s="129" t="n">
        <v>0</v>
      </c>
      <c r="C28" s="129" t="n">
        <v>0</v>
      </c>
      <c r="D28" s="129" t="n">
        <v>0</v>
      </c>
      <c r="E28" s="130" t="n">
        <v>12654</v>
      </c>
      <c r="F28" s="130" t="n">
        <v>7520</v>
      </c>
      <c r="G28" s="130" t="n">
        <v>30158</v>
      </c>
    </row>
    <row r="29" ht="15" customHeight="1" s="67">
      <c r="A29" s="126" t="inlineStr">
        <is>
          <t>Purchase/Sale of Digital Assets</t>
        </is>
      </c>
      <c r="B29" s="131" t="n">
        <v>0</v>
      </c>
      <c r="C29" s="131" t="n">
        <v>-165</v>
      </c>
      <c r="D29" s="131" t="n">
        <v>170</v>
      </c>
      <c r="E29" s="131" t="n">
        <v>0</v>
      </c>
      <c r="F29" s="131" t="n">
        <v>0</v>
      </c>
      <c r="G29" s="131" t="n">
        <v>0</v>
      </c>
    </row>
    <row r="30" ht="15" customHeight="1" s="67">
      <c r="A30" s="128" t="inlineStr">
        <is>
          <t>Business Combinations</t>
        </is>
      </c>
      <c r="B30" s="129" t="n">
        <v>-13</v>
      </c>
      <c r="C30" s="129" t="n">
        <v>0</v>
      </c>
      <c r="D30" s="129" t="n">
        <v>0</v>
      </c>
      <c r="E30" s="129" t="n">
        <v>0</v>
      </c>
      <c r="F30" s="129" t="n">
        <v>0</v>
      </c>
      <c r="G30" s="129" t="n">
        <v>0</v>
      </c>
    </row>
    <row r="31" ht="15" customHeight="1" s="67">
      <c r="A31" s="126" t="inlineStr">
        <is>
          <t>Other Investing Activities</t>
        </is>
      </c>
      <c r="B31" s="131" t="n">
        <v>50</v>
      </c>
      <c r="C31" s="131" t="n">
        <v>101</v>
      </c>
      <c r="D31" s="131" t="n">
        <v>-15</v>
      </c>
      <c r="E31" s="131" t="n">
        <v>-242</v>
      </c>
      <c r="F31" s="131" t="n">
        <v>-39</v>
      </c>
      <c r="G31" s="131" t="n">
        <v>0</v>
      </c>
    </row>
    <row r="32" ht="15" customHeight="1" s="67">
      <c r="A32" s="124" t="n"/>
      <c r="B32" s="124" t="n"/>
      <c r="C32" s="124" t="n"/>
      <c r="D32" s="124" t="n"/>
      <c r="E32" s="124" t="n"/>
      <c r="F32" s="124" t="n"/>
      <c r="G32" s="124" t="n"/>
    </row>
    <row r="33" ht="15" customHeight="1" s="67">
      <c r="A33" s="122" t="inlineStr">
        <is>
          <t>Net Cash from Investing Activities</t>
        </is>
      </c>
      <c r="B33" s="123" t="n">
        <v>-3132</v>
      </c>
      <c r="C33" s="123" t="n">
        <v>-7868</v>
      </c>
      <c r="D33" s="123" t="n">
        <v>-11973</v>
      </c>
      <c r="E33" s="123" t="n">
        <v>-15584</v>
      </c>
      <c r="F33" s="123" t="n">
        <v>-18787</v>
      </c>
      <c r="G33" s="123" t="n">
        <v>-15478</v>
      </c>
    </row>
    <row r="34" ht="15" customHeight="1" s="67">
      <c r="A34" s="124" t="n"/>
      <c r="B34" s="124" t="n"/>
      <c r="C34" s="124" t="n"/>
      <c r="D34" s="124" t="n"/>
      <c r="E34" s="124" t="n"/>
      <c r="F34" s="124" t="n"/>
      <c r="G34" s="124" t="n"/>
    </row>
    <row r="35" ht="15" customHeight="1" s="67">
      <c r="A35" s="124" t="n"/>
      <c r="B35" s="124" t="n"/>
      <c r="C35" s="124" t="n"/>
      <c r="D35" s="124" t="n"/>
      <c r="E35" s="124" t="n"/>
      <c r="F35" s="124" t="n"/>
      <c r="G35" s="124" t="n"/>
    </row>
    <row r="36" ht="15" customHeight="1" s="67">
      <c r="A36" s="83" t="inlineStr">
        <is>
          <t>FINANCING ACTIVITIES</t>
        </is>
      </c>
      <c r="B36" s="125" t="n"/>
      <c r="C36" s="125" t="n"/>
      <c r="D36" s="125" t="n"/>
      <c r="E36" s="125" t="n"/>
      <c r="F36" s="125" t="n"/>
      <c r="G36" s="125" t="n"/>
    </row>
    <row r="37" ht="15" customHeight="1" s="67">
      <c r="A37" s="126" t="inlineStr">
        <is>
          <t>Proceeds from Debt Issuance</t>
        </is>
      </c>
      <c r="B37" s="127" t="n">
        <v>9713</v>
      </c>
      <c r="C37" s="127" t="n">
        <v>8883</v>
      </c>
      <c r="D37" s="131" t="n">
        <v>0</v>
      </c>
      <c r="E37" s="127" t="n">
        <v>3012</v>
      </c>
      <c r="F37" s="127" t="n">
        <v>5382</v>
      </c>
      <c r="G37" s="127" t="n">
        <v>5586</v>
      </c>
    </row>
    <row r="38" ht="15" customHeight="1" s="67">
      <c r="A38" s="128" t="inlineStr">
        <is>
          <t>Repayments of Debt</t>
        </is>
      </c>
      <c r="B38" s="130" t="n">
        <v>-11623</v>
      </c>
      <c r="C38" s="130" t="n">
        <v>-14167</v>
      </c>
      <c r="D38" s="130" t="n">
        <v>-3364</v>
      </c>
      <c r="E38" s="130" t="n">
        <v>-2823</v>
      </c>
      <c r="F38" s="130" t="n">
        <v>-2467</v>
      </c>
      <c r="G38" s="130" t="n">
        <v>-5546</v>
      </c>
    </row>
    <row r="39" ht="15" customHeight="1" s="67">
      <c r="A39" s="126" t="inlineStr">
        <is>
          <t>Proceeds from Stock Issuances</t>
        </is>
      </c>
      <c r="B39" s="127" t="n">
        <v>12686</v>
      </c>
      <c r="C39" s="131" t="n">
        <v>707</v>
      </c>
      <c r="D39" s="131" t="n">
        <v>541</v>
      </c>
      <c r="E39" s="131" t="n">
        <v>764</v>
      </c>
      <c r="F39" s="131" t="n">
        <v>816</v>
      </c>
      <c r="G39" s="127" t="n">
        <v>1186</v>
      </c>
    </row>
    <row r="40" ht="15" customHeight="1" s="67">
      <c r="A40" s="128" t="inlineStr">
        <is>
          <t>Stock Buybacks</t>
        </is>
      </c>
      <c r="B40" s="129" t="n">
        <v>0</v>
      </c>
      <c r="C40" s="129" t="n">
        <v>0</v>
      </c>
      <c r="D40" s="129" t="n">
        <v>0</v>
      </c>
      <c r="E40" s="129" t="n">
        <v>0</v>
      </c>
      <c r="F40" s="129" t="n">
        <v>0</v>
      </c>
      <c r="G40" s="129" t="n">
        <v>0</v>
      </c>
    </row>
    <row r="41" ht="15" customHeight="1" s="67">
      <c r="A41" s="126" t="inlineStr">
        <is>
          <t>Principal Payments on Leases</t>
        </is>
      </c>
      <c r="B41" s="131" t="n">
        <v>-338</v>
      </c>
      <c r="C41" s="131" t="n">
        <v>-439</v>
      </c>
      <c r="D41" s="131" t="n">
        <v>-502</v>
      </c>
      <c r="E41" s="131" t="n">
        <v>-545</v>
      </c>
      <c r="F41" s="131" t="n">
        <v>-589</v>
      </c>
      <c r="G41" s="131" t="n">
        <v>-104</v>
      </c>
    </row>
    <row r="42" ht="15" customHeight="1" s="67">
      <c r="A42" s="128" t="inlineStr">
        <is>
          <t>Other Financing Activities</t>
        </is>
      </c>
      <c r="B42" s="129" t="n">
        <v>-465</v>
      </c>
      <c r="C42" s="130" t="n">
        <v>-1187</v>
      </c>
      <c r="D42" s="129" t="n">
        <v>-202</v>
      </c>
      <c r="E42" s="130" t="n">
        <v>2181</v>
      </c>
      <c r="F42" s="129" t="n">
        <v>711</v>
      </c>
      <c r="G42" s="129" t="n">
        <v>17</v>
      </c>
    </row>
    <row r="43" ht="15" customHeight="1" s="67">
      <c r="A43" s="124" t="n"/>
      <c r="B43" s="124" t="n"/>
      <c r="C43" s="124" t="n"/>
      <c r="D43" s="124" t="n"/>
      <c r="E43" s="124" t="n"/>
      <c r="F43" s="124" t="n"/>
      <c r="G43" s="124" t="n"/>
    </row>
    <row r="44" ht="15" customHeight="1" s="67">
      <c r="A44" s="122" t="inlineStr">
        <is>
          <t>Net Cash from Financing Activities</t>
        </is>
      </c>
      <c r="B44" s="123" t="n">
        <v>9973</v>
      </c>
      <c r="C44" s="123" t="n">
        <v>-5203</v>
      </c>
      <c r="D44" s="123" t="n">
        <v>-3527</v>
      </c>
      <c r="E44" s="123" t="n">
        <v>2589</v>
      </c>
      <c r="F44" s="123" t="n">
        <v>3853</v>
      </c>
      <c r="G44" s="123" t="n">
        <v>1139</v>
      </c>
    </row>
    <row r="45" ht="15" customHeight="1" s="67">
      <c r="A45" s="124" t="n"/>
      <c r="B45" s="124" t="n"/>
      <c r="C45" s="124" t="n"/>
      <c r="D45" s="124" t="n"/>
      <c r="E45" s="124" t="n"/>
      <c r="F45" s="124" t="n"/>
      <c r="G45" s="124" t="n"/>
    </row>
    <row r="46" ht="15" customHeight="1" s="67">
      <c r="A46" s="124" t="n"/>
      <c r="B46" s="124" t="n"/>
      <c r="C46" s="124" t="n"/>
      <c r="D46" s="124" t="n"/>
      <c r="E46" s="124" t="n"/>
      <c r="F46" s="124" t="n"/>
      <c r="G46" s="124" t="n"/>
    </row>
    <row r="47" ht="15" customHeight="1" s="67">
      <c r="A47" s="122" t="inlineStr">
        <is>
          <t>NET CHANGE IN CASH</t>
        </is>
      </c>
      <c r="B47" s="123" t="n">
        <v>13118</v>
      </c>
      <c r="C47" s="123" t="n">
        <v>-1757</v>
      </c>
      <c r="D47" s="123" t="n">
        <v>-1220</v>
      </c>
      <c r="E47" s="122" t="n">
        <v>265</v>
      </c>
      <c r="F47" s="122" t="n">
        <v>-152</v>
      </c>
      <c r="G47" s="122" t="n">
        <v>579</v>
      </c>
    </row>
    <row r="48" ht="15" customHeight="1" s="67">
      <c r="A48" s="126" t="inlineStr">
        <is>
          <t>Cash at Beginning of Period</t>
        </is>
      </c>
      <c r="B48" s="127" t="n">
        <v>6268</v>
      </c>
      <c r="C48" s="127" t="n">
        <v>18144</v>
      </c>
      <c r="D48" s="127" t="n">
        <v>16924</v>
      </c>
      <c r="E48" s="127" t="n">
        <v>16398</v>
      </c>
      <c r="F48" s="127" t="n">
        <v>33580</v>
      </c>
      <c r="G48" s="127" t="n">
        <v>17037</v>
      </c>
    </row>
    <row r="49" ht="15" customHeight="1" s="67">
      <c r="A49" s="128" t="inlineStr">
        <is>
          <t>Cash at End of Period</t>
        </is>
      </c>
      <c r="B49" s="130" t="n">
        <v>19386</v>
      </c>
      <c r="C49" s="130" t="n">
        <v>16387</v>
      </c>
      <c r="D49" s="130" t="n">
        <v>15704</v>
      </c>
      <c r="E49" s="130" t="n">
        <v>16663</v>
      </c>
      <c r="F49" s="130" t="n">
        <v>33428</v>
      </c>
      <c r="G49" s="130" t="n">
        <v>17616</v>
      </c>
    </row>
    <row r="50" ht="15" customHeight="1" s="67">
      <c r="A50" s="124" t="n"/>
      <c r="B50" s="124" t="n"/>
      <c r="C50" s="124" t="n"/>
      <c r="D50" s="124" t="n"/>
      <c r="E50" s="124" t="n"/>
      <c r="F50" s="124" t="n"/>
      <c r="G50" s="124" t="n"/>
    </row>
    <row r="51" ht="15" customHeight="1" s="67">
      <c r="A51" s="124" t="n"/>
      <c r="B51" s="124" t="n"/>
      <c r="C51" s="124" t="n"/>
      <c r="D51" s="124" t="n"/>
      <c r="E51" s="124" t="n"/>
      <c r="F51" s="124" t="n"/>
      <c r="G51" s="124" t="n"/>
    </row>
    <row r="52" ht="15" customHeight="1" s="67">
      <c r="A52" s="83" t="inlineStr">
        <is>
          <t>KEY METRICS FOR DCF</t>
        </is>
      </c>
      <c r="B52" s="125" t="n"/>
      <c r="C52" s="125" t="n"/>
      <c r="D52" s="125" t="n"/>
      <c r="E52" s="125" t="n"/>
      <c r="F52" s="125" t="n"/>
      <c r="G52" s="125" t="n"/>
    </row>
    <row r="53" ht="15" customHeight="1" s="67">
      <c r="A53" s="122" t="inlineStr">
        <is>
          <t>Free Cash Flow</t>
        </is>
      </c>
      <c r="B53" s="123" t="n">
        <v>2786</v>
      </c>
      <c r="C53" s="123" t="n">
        <v>4983</v>
      </c>
      <c r="D53" s="123" t="n">
        <v>7561</v>
      </c>
      <c r="E53" s="123" t="n">
        <v>4353</v>
      </c>
      <c r="F53" s="123" t="n">
        <v>3584</v>
      </c>
      <c r="G53" s="123" t="n">
        <v>6220</v>
      </c>
    </row>
    <row r="54" ht="15" customHeight="1" s="67">
      <c r="A54" s="128" t="inlineStr">
        <is>
          <t>Capex as % of Revenue</t>
        </is>
      </c>
      <c r="B54" s="129" t="n">
        <v>10</v>
      </c>
      <c r="C54" s="129" t="n">
        <v>12.1</v>
      </c>
      <c r="D54" s="129" t="n">
        <v>8.800000000000001</v>
      </c>
      <c r="E54" s="129" t="n">
        <v>9.199999999999999</v>
      </c>
      <c r="F54" s="129" t="n">
        <v>11.6</v>
      </c>
      <c r="G54" s="129" t="n">
        <v>9</v>
      </c>
    </row>
    <row r="55" ht="15" customHeight="1" s="67">
      <c r="A55" s="126" t="inlineStr">
        <is>
          <t>Operating Cash Flow Margin %</t>
        </is>
      </c>
      <c r="B55" s="131" t="n">
        <v>18.8</v>
      </c>
      <c r="C55" s="131" t="n">
        <v>21.4</v>
      </c>
      <c r="D55" s="131" t="n">
        <v>18.1</v>
      </c>
      <c r="E55" s="131" t="n">
        <v>13.7</v>
      </c>
      <c r="F55" s="131" t="n">
        <v>15.3</v>
      </c>
      <c r="G55" s="131" t="n">
        <v>15.6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171A20"/>
    <outlinePr summaryBelow="1" summaryRight="1"/>
    <pageSetUpPr fitToPage="0"/>
  </sheetPr>
  <dimension ref="A1:G55"/>
  <sheetViews>
    <sheetView showFormulas="0" showGridLines="0" showRowColHeaders="1" showZeros="1" rightToLeft="0" tabSelected="1" showOutlineSymbols="1" defaultGridColor="1" view="normal" topLeftCell="A23" colorId="64" zoomScale="119" zoomScaleNormal="119" zoomScalePageLayoutView="100" workbookViewId="0">
      <selection pane="topLeft" activeCell="H40" activeCellId="0" sqref="H40"/>
    </sheetView>
  </sheetViews>
  <sheetFormatPr baseColWidth="8" defaultColWidth="8.83203125" defaultRowHeight="15" customHeight="0" zeroHeight="0" outlineLevelRow="0"/>
  <cols>
    <col width="42" customWidth="1" style="66" min="1" max="1"/>
    <col width="14.67" customWidth="1" style="66" min="2" max="3"/>
    <col width="15.66" customWidth="1" style="66" min="4" max="4"/>
    <col width="15.33" customWidth="1" style="66" min="5" max="5"/>
    <col width="13.34" customWidth="1" style="66" min="6" max="6"/>
  </cols>
  <sheetData>
    <row r="1" ht="18" customHeight="1" s="67">
      <c r="A1" s="68" t="inlineStr">
        <is>
          <t>Metric</t>
        </is>
      </c>
      <c r="B1" s="69" t="n">
        <v>2020</v>
      </c>
      <c r="C1" s="69" t="n">
        <v>2021</v>
      </c>
      <c r="D1" s="69" t="n">
        <v>2022</v>
      </c>
      <c r="E1" s="69" t="n">
        <v>2023</v>
      </c>
      <c r="F1" s="69" t="n">
        <v>2024</v>
      </c>
      <c r="G1" s="66" t="inlineStr">
        <is>
          <t>2026 (current)</t>
        </is>
      </c>
    </row>
    <row r="2" ht="15" customHeight="1" s="67">
      <c r="A2" s="70" t="inlineStr">
        <is>
          <t>--- PROFITABILITY METRICS ---</t>
        </is>
      </c>
      <c r="B2" s="70" t="n"/>
      <c r="C2" s="70" t="n"/>
      <c r="D2" s="70" t="n"/>
      <c r="E2" s="70" t="n"/>
      <c r="F2" s="70" t="n"/>
    </row>
    <row r="3" ht="15" customHeight="1" s="67">
      <c r="A3" s="126" t="inlineStr">
        <is>
          <t>Revenue ($ millions)</t>
        </is>
      </c>
      <c r="B3" s="132" t="n">
        <v>31536</v>
      </c>
      <c r="C3" s="132" t="n">
        <v>53823</v>
      </c>
      <c r="D3" s="132" t="n">
        <v>81462</v>
      </c>
      <c r="E3" s="132" t="n">
        <v>96773</v>
      </c>
      <c r="F3" s="132" t="n">
        <v>97690</v>
      </c>
    </row>
    <row r="4" ht="15" customHeight="1" s="67">
      <c r="A4" s="128" t="inlineStr">
        <is>
          <t>Revenue Growth %</t>
        </is>
      </c>
      <c r="B4" s="128" t="n"/>
      <c r="C4" s="133" t="n">
        <v>70.7</v>
      </c>
      <c r="D4" s="133" t="n">
        <v>51.3</v>
      </c>
      <c r="E4" s="133" t="n">
        <v>18.8</v>
      </c>
      <c r="F4" s="133" t="n">
        <v>0.9</v>
      </c>
    </row>
    <row r="5" ht="15" customHeight="1" s="67">
      <c r="A5" s="122" t="inlineStr">
        <is>
          <t>Gross Profit ($ millions)</t>
        </is>
      </c>
      <c r="B5" s="123" t="n">
        <v>6630</v>
      </c>
      <c r="C5" s="123" t="n">
        <v>13606</v>
      </c>
      <c r="D5" s="123" t="n">
        <v>20853</v>
      </c>
      <c r="E5" s="123" t="n">
        <v>17951</v>
      </c>
      <c r="F5" s="123" t="n">
        <v>18240</v>
      </c>
    </row>
    <row r="6" ht="15" customHeight="1" s="67">
      <c r="A6" s="128" t="inlineStr">
        <is>
          <t>Gross Margin %</t>
        </is>
      </c>
      <c r="B6" s="129" t="n">
        <v>21</v>
      </c>
      <c r="C6" s="129" t="n">
        <v>25.3</v>
      </c>
      <c r="D6" s="129" t="n">
        <v>25.6</v>
      </c>
      <c r="E6" s="129" t="n">
        <v>18.5</v>
      </c>
      <c r="F6" s="129" t="n">
        <v>18.7</v>
      </c>
    </row>
    <row r="7" ht="15" customHeight="1" s="67">
      <c r="A7" s="126" t="inlineStr">
        <is>
          <t>Operating Income/EBIT ($ millions)</t>
        </is>
      </c>
      <c r="B7" s="127" t="n">
        <v>1994</v>
      </c>
      <c r="C7" s="127" t="n">
        <v>6523</v>
      </c>
      <c r="D7" s="127" t="n">
        <v>13656</v>
      </c>
      <c r="E7" s="127" t="n">
        <v>9060</v>
      </c>
      <c r="F7" s="127" t="n">
        <v>9581</v>
      </c>
    </row>
    <row r="8" ht="15" customHeight="1" s="67">
      <c r="A8" s="128" t="inlineStr">
        <is>
          <t>Operating Margin %</t>
        </is>
      </c>
      <c r="B8" s="129" t="n">
        <v>6.3</v>
      </c>
      <c r="C8" s="129" t="n">
        <v>12.1</v>
      </c>
      <c r="D8" s="129" t="n">
        <v>16.8</v>
      </c>
      <c r="E8" s="129" t="n">
        <v>9.4</v>
      </c>
      <c r="F8" s="129" t="n">
        <v>9.800000000000001</v>
      </c>
    </row>
    <row r="9" ht="15" customHeight="1" s="67">
      <c r="A9" s="122" t="inlineStr">
        <is>
          <t>Net Income ($ millions)</t>
        </is>
      </c>
      <c r="B9" s="122" t="n">
        <v>862</v>
      </c>
      <c r="C9" s="123" t="n">
        <v>5644</v>
      </c>
      <c r="D9" s="123" t="n">
        <v>12587</v>
      </c>
      <c r="E9" s="123" t="n">
        <v>14997</v>
      </c>
      <c r="F9" s="123" t="n">
        <v>7091</v>
      </c>
    </row>
    <row r="10" ht="15" customHeight="1" s="67">
      <c r="A10" s="128" t="inlineStr">
        <is>
          <t>Net Margin %</t>
        </is>
      </c>
      <c r="B10" s="129" t="n">
        <v>2.7</v>
      </c>
      <c r="C10" s="129" t="n">
        <v>10.5</v>
      </c>
      <c r="D10" s="129" t="n">
        <v>15.4</v>
      </c>
      <c r="E10" s="129" t="n">
        <v>15.5</v>
      </c>
      <c r="F10" s="129" t="n">
        <v>7.3</v>
      </c>
    </row>
    <row r="11" ht="15" customHeight="1" s="67">
      <c r="A11" s="122" t="inlineStr">
        <is>
          <t>EBITDA ($ millions)</t>
        </is>
      </c>
      <c r="B11" s="123" t="n">
        <v>4273</v>
      </c>
      <c r="C11" s="123" t="n">
        <v>9434</v>
      </c>
      <c r="D11" s="123" t="n">
        <v>17235</v>
      </c>
      <c r="E11" s="123" t="n">
        <v>13558</v>
      </c>
      <c r="F11" s="123" t="n">
        <v>13027</v>
      </c>
    </row>
    <row r="12" ht="15" customHeight="1" s="67">
      <c r="A12" s="128" t="inlineStr">
        <is>
          <t>EBITDA Margin %</t>
        </is>
      </c>
      <c r="B12" s="129" t="n">
        <v>13.5</v>
      </c>
      <c r="C12" s="129" t="n">
        <v>17.5</v>
      </c>
      <c r="D12" s="129" t="n">
        <v>21.2</v>
      </c>
      <c r="E12" s="129" t="n">
        <v>14</v>
      </c>
      <c r="F12" s="129" t="n">
        <v>13.3</v>
      </c>
    </row>
    <row r="13" ht="15" customHeight="1" s="67">
      <c r="A13" s="124" t="n"/>
      <c r="B13" s="124" t="n"/>
      <c r="C13" s="124" t="n"/>
      <c r="D13" s="124" t="n"/>
      <c r="E13" s="124" t="n"/>
      <c r="F13" s="124" t="n"/>
    </row>
    <row r="14" ht="15" customHeight="1" s="67">
      <c r="A14" s="83" t="inlineStr">
        <is>
          <t>--- BALANCE SHEET METRICS ---</t>
        </is>
      </c>
      <c r="B14" s="125" t="n"/>
      <c r="C14" s="125" t="n"/>
      <c r="D14" s="125" t="n"/>
      <c r="E14" s="125" t="n"/>
      <c r="F14" s="125" t="n"/>
    </row>
    <row r="15" ht="15" customHeight="1" s="67">
      <c r="A15" s="122" t="inlineStr">
        <is>
          <t>Total Assets ($ millions)</t>
        </is>
      </c>
      <c r="B15" s="123" t="n">
        <v>52148</v>
      </c>
      <c r="C15" s="123" t="n">
        <v>62131</v>
      </c>
      <c r="D15" s="123" t="n">
        <v>82338</v>
      </c>
      <c r="E15" s="123" t="n">
        <v>106618</v>
      </c>
      <c r="F15" s="123" t="n">
        <v>122070</v>
      </c>
    </row>
    <row r="16" ht="15" customHeight="1" s="67">
      <c r="A16" s="122" t="inlineStr">
        <is>
          <t>Total Liabilities ($ millions)</t>
        </is>
      </c>
      <c r="B16" s="123" t="n">
        <v>28469</v>
      </c>
      <c r="C16" s="123" t="n">
        <v>30548</v>
      </c>
      <c r="D16" s="123" t="n">
        <v>36440</v>
      </c>
      <c r="E16" s="123" t="n">
        <v>43009</v>
      </c>
      <c r="F16" s="123" t="n">
        <v>48390</v>
      </c>
    </row>
    <row r="17" ht="15" customHeight="1" s="67">
      <c r="A17" s="122" t="inlineStr">
        <is>
          <t>Total Equity ($ millions)</t>
        </is>
      </c>
      <c r="B17" s="123" t="n">
        <v>23679</v>
      </c>
      <c r="C17" s="123" t="n">
        <v>31583</v>
      </c>
      <c r="D17" s="123" t="n">
        <v>45898</v>
      </c>
      <c r="E17" s="123" t="n">
        <v>63609</v>
      </c>
      <c r="F17" s="123" t="n">
        <v>73680</v>
      </c>
    </row>
    <row r="18" ht="15" customHeight="1" s="67">
      <c r="A18" s="128" t="inlineStr">
        <is>
          <t>Cash &amp; Investments ($ millions)</t>
        </is>
      </c>
      <c r="B18" s="130" t="n">
        <v>18977</v>
      </c>
      <c r="C18" s="130" t="n">
        <v>18144</v>
      </c>
      <c r="D18" s="130" t="n">
        <v>16924</v>
      </c>
      <c r="E18" s="130" t="n">
        <v>29277</v>
      </c>
      <c r="F18" s="130" t="n">
        <v>33580</v>
      </c>
    </row>
    <row r="19" ht="15" customHeight="1" s="67">
      <c r="A19" s="122" t="inlineStr">
        <is>
          <t>Total Debt ($ millions)</t>
        </is>
      </c>
      <c r="B19" s="123" t="n">
        <v>11688</v>
      </c>
      <c r="C19" s="123" t="n">
        <v>6941</v>
      </c>
      <c r="D19" s="123" t="n">
        <v>4391</v>
      </c>
      <c r="E19" s="123" t="n">
        <v>5230</v>
      </c>
      <c r="F19" s="123" t="n">
        <v>13226</v>
      </c>
    </row>
    <row r="20" ht="15" customHeight="1" s="67">
      <c r="A20" s="128" t="inlineStr">
        <is>
          <t>Net Debt ($ millions)</t>
        </is>
      </c>
      <c r="B20" s="130" t="n">
        <v>-7289</v>
      </c>
      <c r="C20" s="130" t="n">
        <v>-11203</v>
      </c>
      <c r="D20" s="130" t="n">
        <v>-12533</v>
      </c>
      <c r="E20" s="130" t="n">
        <v>-24047</v>
      </c>
      <c r="F20" s="130" t="n">
        <v>-20354</v>
      </c>
    </row>
    <row r="21" ht="15" customHeight="1" s="67">
      <c r="A21" s="124" t="n"/>
      <c r="B21" s="124" t="n"/>
      <c r="C21" s="124" t="n"/>
      <c r="D21" s="124" t="n"/>
      <c r="E21" s="124" t="n"/>
      <c r="F21" s="124" t="n"/>
    </row>
    <row r="22" ht="15" customHeight="1" s="67">
      <c r="A22" s="83" t="inlineStr">
        <is>
          <t>--- CASH FLOW METRICS ---</t>
        </is>
      </c>
      <c r="B22" s="125" t="n"/>
      <c r="C22" s="125" t="n"/>
      <c r="D22" s="125" t="n"/>
      <c r="E22" s="125" t="n"/>
      <c r="F22" s="125" t="n"/>
    </row>
    <row r="23" ht="15" customHeight="1" s="67">
      <c r="A23" s="126" t="inlineStr">
        <is>
          <t>Operating Cash Flow ($ millions)</t>
        </is>
      </c>
      <c r="B23" s="127" t="n">
        <v>5943</v>
      </c>
      <c r="C23" s="127" t="n">
        <v>11497</v>
      </c>
      <c r="D23" s="127" t="n">
        <v>14724</v>
      </c>
      <c r="E23" s="127" t="n">
        <v>13256</v>
      </c>
      <c r="F23" s="127" t="n">
        <v>14923</v>
      </c>
    </row>
    <row r="24" ht="15" customHeight="1" s="67">
      <c r="A24" s="128" t="inlineStr">
        <is>
          <t>Capex ($ millions)</t>
        </is>
      </c>
      <c r="B24" s="130" t="n">
        <v>-3157</v>
      </c>
      <c r="C24" s="130" t="n">
        <v>-6514</v>
      </c>
      <c r="D24" s="130" t="n">
        <v>-7163</v>
      </c>
      <c r="E24" s="130" t="n">
        <v>-8903</v>
      </c>
      <c r="F24" s="130" t="n">
        <v>-11339</v>
      </c>
    </row>
    <row r="25" ht="15" customHeight="1" s="67">
      <c r="A25" s="122" t="inlineStr">
        <is>
          <t>Free Cash Flow ($ millions)</t>
        </is>
      </c>
      <c r="B25" s="123" t="n">
        <v>2786</v>
      </c>
      <c r="C25" s="123" t="n">
        <v>4983</v>
      </c>
      <c r="D25" s="123" t="n">
        <v>7561</v>
      </c>
      <c r="E25" s="123" t="n">
        <v>4353</v>
      </c>
      <c r="F25" s="123" t="n">
        <v>3584</v>
      </c>
    </row>
    <row r="26" ht="15" customHeight="1" s="67">
      <c r="A26" s="128" t="inlineStr">
        <is>
          <t>FCF Margin %</t>
        </is>
      </c>
      <c r="B26" s="129" t="n">
        <v>8.800000000000001</v>
      </c>
      <c r="C26" s="129" t="n">
        <v>9.300000000000001</v>
      </c>
      <c r="D26" s="129" t="n">
        <v>9.300000000000001</v>
      </c>
      <c r="E26" s="129" t="n">
        <v>4.5</v>
      </c>
      <c r="F26" s="129" t="n">
        <v>3.7</v>
      </c>
    </row>
    <row r="27" ht="15" customHeight="1" s="67">
      <c r="A27" s="126" t="inlineStr">
        <is>
          <t>Capex as % of Revenue</t>
        </is>
      </c>
      <c r="B27" s="131" t="n">
        <v>10</v>
      </c>
      <c r="C27" s="131" t="n">
        <v>12.1</v>
      </c>
      <c r="D27" s="131" t="n">
        <v>8.800000000000001</v>
      </c>
      <c r="E27" s="131" t="n">
        <v>9.199999999999999</v>
      </c>
      <c r="F27" s="131" t="n">
        <v>11.6</v>
      </c>
    </row>
    <row r="28" ht="15" customHeight="1" s="67">
      <c r="A28" s="124" t="n"/>
      <c r="B28" s="124" t="n"/>
      <c r="C28" s="124" t="n"/>
      <c r="D28" s="124" t="n"/>
      <c r="E28" s="124" t="n"/>
      <c r="F28" s="124" t="n"/>
    </row>
    <row r="29" ht="15" customHeight="1" s="67">
      <c r="A29" s="83" t="inlineStr">
        <is>
          <t>--- RETURNS &amp; EFFICIENCY ---</t>
        </is>
      </c>
      <c r="B29" s="125" t="n"/>
      <c r="C29" s="125" t="n"/>
      <c r="D29" s="125" t="n"/>
      <c r="E29" s="125" t="n"/>
      <c r="F29" s="125" t="n"/>
    </row>
    <row r="30" ht="15" customHeight="1" s="67">
      <c r="A30" s="126" t="inlineStr">
        <is>
          <t>ROE (Return on Equity) %</t>
        </is>
      </c>
      <c r="B30" s="131" t="n">
        <v>3.6</v>
      </c>
      <c r="C30" s="131" t="n">
        <v>17.9</v>
      </c>
      <c r="D30" s="131" t="n">
        <v>27.4</v>
      </c>
      <c r="E30" s="131" t="n">
        <v>23.6</v>
      </c>
      <c r="F30" s="131" t="n">
        <v>9.6</v>
      </c>
    </row>
    <row r="31" ht="15" customHeight="1" s="67">
      <c r="A31" s="128" t="inlineStr">
        <is>
          <t>ROA (Return on Assets) %</t>
        </is>
      </c>
      <c r="B31" s="129" t="n">
        <v>1.7</v>
      </c>
      <c r="C31" s="129" t="n">
        <v>9.1</v>
      </c>
      <c r="D31" s="129" t="n">
        <v>15.3</v>
      </c>
      <c r="E31" s="129" t="n">
        <v>14.1</v>
      </c>
      <c r="F31" s="129" t="n">
        <v>5.8</v>
      </c>
    </row>
    <row r="32" ht="15" customHeight="1" s="67">
      <c r="A32" s="126" t="inlineStr">
        <is>
          <t>Asset Turnover</t>
        </is>
      </c>
      <c r="B32" s="131" t="n">
        <v>0.6</v>
      </c>
      <c r="C32" s="131" t="n">
        <v>0.87</v>
      </c>
      <c r="D32" s="131" t="n">
        <v>0.99</v>
      </c>
      <c r="E32" s="131" t="n">
        <v>0.91</v>
      </c>
      <c r="F32" s="131" t="n">
        <v>0.8</v>
      </c>
    </row>
    <row r="33" ht="15" customHeight="1" s="67">
      <c r="A33" s="124" t="n"/>
      <c r="B33" s="124" t="n"/>
      <c r="C33" s="124" t="n"/>
      <c r="D33" s="124" t="n"/>
      <c r="E33" s="124" t="n"/>
      <c r="F33" s="124" t="n"/>
    </row>
    <row r="34" ht="15" customHeight="1" s="67">
      <c r="A34" s="83" t="inlineStr">
        <is>
          <t>--- LIQUIDITY RATIOS ---</t>
        </is>
      </c>
      <c r="B34" s="125" t="n"/>
      <c r="C34" s="125" t="n"/>
      <c r="D34" s="125" t="n"/>
      <c r="E34" s="125" t="n"/>
      <c r="F34" s="125" t="n"/>
    </row>
    <row r="35" ht="15" customHeight="1" s="67">
      <c r="A35" s="126" t="inlineStr">
        <is>
          <t>Current Ratio</t>
        </is>
      </c>
      <c r="B35" s="131" t="n">
        <v>1.87</v>
      </c>
      <c r="C35" s="131" t="n">
        <v>1.37</v>
      </c>
      <c r="D35" s="131" t="n">
        <v>1.53</v>
      </c>
      <c r="E35" s="131" t="n">
        <v>1.72</v>
      </c>
      <c r="F35" s="131" t="n">
        <v>2.03</v>
      </c>
    </row>
    <row r="36" ht="15" customHeight="1" s="67">
      <c r="A36" s="128" t="inlineStr">
        <is>
          <t>Quick Ratio</t>
        </is>
      </c>
      <c r="B36" s="129" t="n">
        <v>1.34</v>
      </c>
      <c r="C36" s="129" t="n">
        <v>1.08</v>
      </c>
      <c r="D36" s="129" t="n">
        <v>1.04</v>
      </c>
      <c r="E36" s="129" t="n">
        <v>1.27</v>
      </c>
      <c r="F36" s="129" t="n">
        <v>1.56</v>
      </c>
    </row>
    <row r="37" ht="15" customHeight="1" s="67">
      <c r="A37" s="126" t="inlineStr">
        <is>
          <t>Cash Ratio</t>
        </is>
      </c>
      <c r="B37" s="131" t="n">
        <v>1.33</v>
      </c>
      <c r="C37" s="131" t="n">
        <v>0.92</v>
      </c>
      <c r="D37" s="131" t="n">
        <v>1</v>
      </c>
      <c r="E37" s="131" t="n">
        <v>1.02</v>
      </c>
      <c r="F37" s="131" t="n">
        <v>1.17</v>
      </c>
    </row>
    <row r="38" ht="15" customHeight="1" s="67">
      <c r="A38" s="124" t="n"/>
      <c r="B38" s="124" t="n"/>
      <c r="C38" s="124" t="n"/>
      <c r="D38" s="124" t="n"/>
      <c r="E38" s="124" t="n"/>
      <c r="F38" s="124" t="n"/>
    </row>
    <row r="39" ht="15" customHeight="1" s="67">
      <c r="A39" s="83" t="inlineStr">
        <is>
          <t>--- LEVERAGE RATIOS ---</t>
        </is>
      </c>
      <c r="B39" s="125" t="n"/>
      <c r="C39" s="125" t="n"/>
      <c r="D39" s="125" t="n"/>
      <c r="E39" s="125" t="n"/>
      <c r="F39" s="125" t="n"/>
    </row>
    <row r="40" ht="15" customHeight="1" s="67">
      <c r="A40" s="126" t="inlineStr">
        <is>
          <t>Debt-to-Equity</t>
        </is>
      </c>
      <c r="B40" s="131" t="n">
        <v>0.49</v>
      </c>
      <c r="C40" s="131" t="n">
        <v>0.22</v>
      </c>
      <c r="D40" s="131" t="n">
        <v>0.1</v>
      </c>
      <c r="E40" s="131" t="n">
        <v>0.08</v>
      </c>
      <c r="F40" s="131" t="n">
        <v>0.18</v>
      </c>
    </row>
    <row r="41" ht="15" customHeight="1" s="67">
      <c r="A41" s="128" t="inlineStr">
        <is>
          <t>Debt-to-Assets</t>
        </is>
      </c>
      <c r="B41" s="129" t="n">
        <v>0.22</v>
      </c>
      <c r="C41" s="129" t="n">
        <v>0.11</v>
      </c>
      <c r="D41" s="129" t="n">
        <v>0.05</v>
      </c>
      <c r="E41" s="129" t="n">
        <v>0.05</v>
      </c>
      <c r="F41" s="129" t="n">
        <v>0.11</v>
      </c>
    </row>
    <row r="42" ht="15" customHeight="1" s="67">
      <c r="A42" s="126" t="inlineStr">
        <is>
          <t>Interest Coverage (EBIT/Interest)</t>
        </is>
      </c>
      <c r="B42" s="131" t="n">
        <v>-2.67</v>
      </c>
      <c r="C42" s="131" t="n">
        <v>-17.58</v>
      </c>
      <c r="D42" s="131" t="n">
        <v>71.48999999999999</v>
      </c>
      <c r="E42" s="131" t="n">
        <v>20.93</v>
      </c>
      <c r="F42" s="131" t="n">
        <v>27.07</v>
      </c>
    </row>
    <row r="43" ht="15" customHeight="1" s="67">
      <c r="A43" s="124" t="n"/>
      <c r="B43" s="124" t="n"/>
      <c r="C43" s="124" t="n"/>
      <c r="D43" s="124" t="n"/>
      <c r="E43" s="124" t="n"/>
      <c r="F43" s="124" t="n"/>
    </row>
    <row r="44" ht="15" customHeight="1" s="67">
      <c r="A44" s="83" t="inlineStr">
        <is>
          <t>--- VALUATION INPUTS ---</t>
        </is>
      </c>
      <c r="B44" s="125" t="n"/>
      <c r="C44" s="125" t="n"/>
      <c r="D44" s="125" t="n"/>
      <c r="E44" s="125" t="n"/>
      <c r="F44" s="125" t="n"/>
    </row>
    <row r="45" ht="15" customHeight="1" s="67">
      <c r="A45" s="126" t="inlineStr">
        <is>
          <t>Shares Outstanding (millions)</t>
        </is>
      </c>
      <c r="B45" s="127" t="n">
        <v>3095</v>
      </c>
      <c r="C45" s="127" t="n">
        <v>3164</v>
      </c>
      <c r="D45" s="127" t="n">
        <v>3475</v>
      </c>
      <c r="E45" s="127" t="n">
        <v>3191</v>
      </c>
      <c r="F45" s="127" t="n">
        <v>3217</v>
      </c>
      <c r="G45" s="66" t="n">
        <v>3234</v>
      </c>
    </row>
    <row r="46" ht="15" customHeight="1" s="67">
      <c r="A46" s="128" t="inlineStr">
        <is>
          <t>Market Cap (as of data date, $ billions)</t>
        </is>
      </c>
      <c r="B46" s="128" t="inlineStr">
        <is>
          <t>N/A</t>
        </is>
      </c>
      <c r="C46" s="128" t="inlineStr">
        <is>
          <t>N/A</t>
        </is>
      </c>
      <c r="D46" s="128" t="inlineStr">
        <is>
          <t>N/A</t>
        </is>
      </c>
      <c r="E46" s="128" t="inlineStr">
        <is>
          <t>N/A</t>
        </is>
      </c>
      <c r="F46" s="128" t="inlineStr">
        <is>
          <t>N/A</t>
        </is>
      </c>
      <c r="G46" s="66" t="n">
        <v>1012</v>
      </c>
    </row>
    <row r="47" ht="15" customHeight="1" s="67">
      <c r="A47" s="122" t="inlineStr">
        <is>
          <t>Enterprise Value = Market Cap + Net Debt</t>
        </is>
      </c>
      <c r="B47" s="122" t="inlineStr">
        <is>
          <t>Calculate EV</t>
        </is>
      </c>
      <c r="C47" s="122" t="inlineStr">
        <is>
          <t>Calculate EV</t>
        </is>
      </c>
      <c r="D47" s="122" t="inlineStr">
        <is>
          <t>Calculate EV</t>
        </is>
      </c>
      <c r="E47" s="122" t="inlineStr">
        <is>
          <t>Calculate EV</t>
        </is>
      </c>
      <c r="F47" s="122" t="inlineStr">
        <is>
          <t>Calculate EV</t>
        </is>
      </c>
      <c r="G47" s="66" t="n">
        <v>976</v>
      </c>
    </row>
    <row r="48" ht="15" customHeight="1" s="67">
      <c r="A48" s="128" t="inlineStr">
        <is>
          <t>Price per Share (assumed for reference)</t>
        </is>
      </c>
      <c r="B48" s="128" t="inlineStr">
        <is>
          <t>N/A</t>
        </is>
      </c>
      <c r="C48" s="128" t="inlineStr">
        <is>
          <t>N/A</t>
        </is>
      </c>
      <c r="D48" s="128" t="inlineStr">
        <is>
          <t>N/A</t>
        </is>
      </c>
      <c r="E48" s="128" t="inlineStr">
        <is>
          <t>N/A</t>
        </is>
      </c>
      <c r="F48" s="128" t="inlineStr">
        <is>
          <t>N/A</t>
        </is>
      </c>
      <c r="G48" s="66" t="n">
        <v>313</v>
      </c>
    </row>
    <row r="49" ht="15" customHeight="1" s="67">
      <c r="A49" s="124" t="n"/>
      <c r="B49" s="124" t="n"/>
      <c r="C49" s="124" t="n"/>
      <c r="D49" s="124" t="n"/>
      <c r="E49" s="124" t="n"/>
      <c r="F49" s="124" t="n"/>
    </row>
    <row r="50" ht="15" customHeight="1" s="67">
      <c r="A50" s="83" t="inlineStr">
        <is>
          <t>--- KEY NOTES FOR DCF ---</t>
        </is>
      </c>
      <c r="B50" s="125" t="n"/>
      <c r="C50" s="125" t="n"/>
      <c r="D50" s="125" t="n"/>
      <c r="E50" s="125" t="n"/>
      <c r="F50" s="125" t="n"/>
    </row>
    <row r="51" ht="15" customHeight="1" s="67">
      <c r="A51" s="122" t="inlineStr">
        <is>
          <t>Use Free Cash Flow for DCF projections</t>
        </is>
      </c>
      <c r="B51" s="122" t="inlineStr">
        <is>
          <t>OCF - Capex</t>
        </is>
      </c>
      <c r="C51" s="122" t="inlineStr">
        <is>
          <t>OCF - Capex</t>
        </is>
      </c>
      <c r="D51" s="122" t="inlineStr">
        <is>
          <t>OCF - Capex</t>
        </is>
      </c>
      <c r="E51" s="122" t="inlineStr">
        <is>
          <t>OCF - Capex</t>
        </is>
      </c>
      <c r="F51" s="122" t="inlineStr">
        <is>
          <t>OCF - Capex</t>
        </is>
      </c>
    </row>
    <row r="52" ht="15" customHeight="1" s="67">
      <c r="A52" s="128" t="inlineStr">
        <is>
          <t>WACC estimation needed</t>
        </is>
      </c>
      <c r="B52" s="128" t="inlineStr">
        <is>
          <t>Use market inputs</t>
        </is>
      </c>
      <c r="C52" s="128" t="inlineStr">
        <is>
          <t>Use market inputs</t>
        </is>
      </c>
      <c r="D52" s="128" t="inlineStr">
        <is>
          <t>Use market inputs</t>
        </is>
      </c>
      <c r="E52" s="128" t="inlineStr">
        <is>
          <t>Use market inputs</t>
        </is>
      </c>
      <c r="F52" s="128" t="inlineStr">
        <is>
          <t>Use market inputs</t>
        </is>
      </c>
    </row>
    <row r="53" ht="15" customHeight="1" s="67">
      <c r="A53" s="126" t="inlineStr">
        <is>
          <t>Terminal growth rate assumption needed</t>
        </is>
      </c>
      <c r="B53" s="126" t="inlineStr">
        <is>
          <t>1-3% typical</t>
        </is>
      </c>
      <c r="C53" s="126" t="inlineStr">
        <is>
          <t>1-3% typical</t>
        </is>
      </c>
      <c r="D53" s="126" t="inlineStr">
        <is>
          <t>1-3% typical</t>
        </is>
      </c>
      <c r="E53" s="126" t="inlineStr">
        <is>
          <t>1-3% typical</t>
        </is>
      </c>
      <c r="F53" s="126" t="inlineStr">
        <is>
          <t>1-3% typical</t>
        </is>
      </c>
    </row>
    <row r="54" ht="15" customHeight="1" s="67">
      <c r="A54" s="128" t="inlineStr">
        <is>
          <t>Tax rate for DCF</t>
        </is>
      </c>
      <c r="B54" s="128" t="inlineStr">
        <is>
          <t>~15-20%</t>
        </is>
      </c>
      <c r="C54" s="128" t="inlineStr">
        <is>
          <t>~15-20%</t>
        </is>
      </c>
      <c r="D54" s="128" t="inlineStr">
        <is>
          <t>~15-20%</t>
        </is>
      </c>
      <c r="E54" s="128" t="inlineStr">
        <is>
          <t>~15-20%</t>
        </is>
      </c>
      <c r="F54" s="128" t="inlineStr">
        <is>
          <t>~15-20%</t>
        </is>
      </c>
    </row>
    <row r="55" ht="15" customHeight="1" s="67">
      <c r="A55" s="122" t="inlineStr">
        <is>
          <t>D&amp;A to add back for EBITDA-based DCF</t>
        </is>
      </c>
      <c r="B55" s="123" t="n">
        <v>2322</v>
      </c>
      <c r="C55" s="123" t="n">
        <v>2593</v>
      </c>
      <c r="D55" s="123" t="n">
        <v>3398</v>
      </c>
      <c r="E55" s="123" t="n">
        <v>3668</v>
      </c>
      <c r="F55" s="123" t="n">
        <v>3446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tabColor rgb="00393C41"/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90" customWidth="1" style="67" min="1" max="1"/>
  </cols>
  <sheetData>
    <row r="1" ht="24" customHeight="1" s="67">
      <c r="A1" s="134" t="inlineStr">
        <is>
          <t>Tesla — Comparable Company Analysis</t>
        </is>
      </c>
    </row>
    <row r="3">
      <c r="A3" s="135" t="inlineStr"/>
    </row>
    <row r="4">
      <c r="A4" s="136" t="inlineStr">
        <is>
          <t>Comparable-company analysis is not meaningful for Tesla.</t>
        </is>
      </c>
    </row>
    <row r="5">
      <c r="A5" s="135" t="inlineStr"/>
    </row>
    <row r="6">
      <c r="A6" s="135" t="inlineStr">
        <is>
          <t>At ~290x trailing earnings (FY2025 EPS $1.08, at $313), Tesla's multiple bears no relationship to</t>
        </is>
      </c>
    </row>
    <row r="7">
      <c r="A7" s="135" t="inlineStr">
        <is>
          <t>traditional auto or tech peers — the valuation is an option on autonomy (robotaxi/FSD),</t>
        </is>
      </c>
    </row>
    <row r="8">
      <c r="A8" s="135" t="inlineStr">
        <is>
          <t>Optimus, and energy storage, not on the current vehicle-and-energy P&amp;L.</t>
        </is>
      </c>
    </row>
    <row r="9">
      <c r="A9" s="135" t="inlineStr"/>
    </row>
    <row r="10">
      <c r="A10" s="135" t="inlineStr">
        <is>
          <t>Peer P/E for reference (post-Q2, 24-Jul-2026):</t>
        </is>
      </c>
    </row>
    <row r="11">
      <c r="A11" s="135" t="inlineStr">
        <is>
          <t xml:space="preserve">   Tesla ~290x   ·   traditional autos ~6–10x   ·   big-tech 20–34x</t>
        </is>
      </c>
    </row>
    <row r="12">
      <c r="A12" s="135" t="inlineStr"/>
    </row>
    <row r="13">
      <c r="A13" s="135" t="inlineStr">
        <is>
          <t>We therefore value Tesla on scenario/optionality, not multiples — see the note. Rating: HOLD.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2026-03-10T08:24:46Z</dcterms:created>
  <dcterms:modified xmlns:dcterms="http://purl.org/dc/terms/" xmlns:xsi="http://www.w3.org/2001/XMLSchema-instance" xsi:type="dcterms:W3CDTF">2026-07-25T06:14:17Z</dcterms:modified>
  <cp:lastModifiedBy>Debjit Mukherjee</cp:lastModifiedBy>
  <cp:revision>0</cp:revision>
</cp:coreProperties>
</file>