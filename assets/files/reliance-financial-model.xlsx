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Valuation Summary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Key Ratios" sheetId="6" state="visible" r:id="rId6"/>
    <sheet xmlns:r="http://schemas.openxmlformats.org/officeDocument/2006/relationships" name="Peer Comps" sheetId="7" state="visible" r:id="rId7"/>
  </sheets>
  <definedNames>
    <definedName name="_xlnm.Print_Area" localSheetId="0">'Overview'!$A$1:$G$31</definedName>
    <definedName name="_xlnm.Print_Area" localSheetId="1">'Valuation Summary'!$A$1:$G$46</definedName>
    <definedName name="_xlnm.Print_Area" localSheetId="2">'Income Statement'!$A$1:$F$17</definedName>
    <definedName name="_xlnm.Print_Area" localSheetId="3">'Balance Sheet'!$A$1:$F$18</definedName>
    <definedName name="_xlnm.Print_Area" localSheetId="4">'Cash Flow'!$A$1:$F$11</definedName>
    <definedName name="_xlnm.Print_Area" localSheetId="5">'Key Ratios'!$A$1:$F$14</definedName>
    <definedName name="_xlnm.Print_Area" localSheetId="6">'Peer Comps'!$A$1:$F$18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0.0&quot;%&quot;"/>
  </numFmts>
  <fonts count="13">
    <font>
      <name val="Calibri"/>
      <family val="2"/>
      <color theme="1"/>
      <sz val="11"/>
      <scheme val="minor"/>
    </font>
    <font>
      <b val="1"/>
      <color rgb="0000548F"/>
      <sz val="14"/>
    </font>
    <font>
      <color rgb="00595959"/>
      <sz val="9"/>
    </font>
    <font>
      <b val="1"/>
      <color rgb="00FFFFFF"/>
      <sz val="11"/>
    </font>
    <font>
      <sz val="10"/>
    </font>
    <font>
      <b val="1"/>
      <sz val="10"/>
    </font>
    <font>
      <b val="1"/>
      <color rgb="0000548F"/>
      <sz val="10"/>
    </font>
    <font>
      <i val="1"/>
      <color rgb="00595959"/>
      <sz val="9"/>
    </font>
    <font>
      <b val="1"/>
      <color rgb="00FFFFFF"/>
      <sz val="13"/>
    </font>
    <font>
      <b val="1"/>
      <color rgb="0000548F"/>
      <sz val="11"/>
    </font>
    <font>
      <b val="1"/>
      <sz val="11"/>
    </font>
    <font>
      <b val="1"/>
      <color rgb="0000548F"/>
      <sz val="12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00548F"/>
      </patternFill>
    </fill>
    <fill>
      <patternFill patternType="solid">
        <fgColor rgb="00E8F1F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3" borderId="0" pivotButton="0" quotePrefix="0" xfId="0"/>
    <xf numFmtId="3" fontId="5" fillId="3" borderId="0" applyAlignment="1" pivotButton="0" quotePrefix="0" xfId="0">
      <alignment horizontal="right"/>
    </xf>
    <xf numFmtId="0" fontId="4" fillId="0" borderId="0" pivotButton="0" quotePrefix="0" xfId="0"/>
    <xf numFmtId="3" fontId="5" fillId="0" borderId="0" applyAlignment="1" pivotButton="0" quotePrefix="0" xfId="0">
      <alignment horizontal="right"/>
    </xf>
    <xf numFmtId="4" fontId="5" fillId="3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2" borderId="0" pivotButton="0" quotePrefix="0" xfId="0"/>
    <xf numFmtId="164" fontId="5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5" fillId="0" borderId="0" pivotButton="0" quotePrefix="0" xfId="0"/>
    <xf numFmtId="0" fontId="9" fillId="0" borderId="0" pivotButton="0" quotePrefix="0" xfId="0"/>
    <xf numFmtId="3" fontId="9" fillId="0" borderId="0" applyAlignment="1" pivotButton="0" quotePrefix="0" xfId="0">
      <alignment horizontal="right"/>
    </xf>
    <xf numFmtId="0" fontId="2" fillId="0" borderId="0" pivotButton="0" quotePrefix="0" xfId="0"/>
    <xf numFmtId="9" fontId="0" fillId="0" borderId="0" applyAlignment="1" pivotButton="0" quotePrefix="0" xfId="0">
      <alignment horizontal="right"/>
    </xf>
    <xf numFmtId="0" fontId="10" fillId="0" borderId="0" pivotButton="0" quotePrefix="0" xfId="0"/>
    <xf numFmtId="1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6" fillId="0" borderId="0" pivotButton="0" quotePrefix="0" xfId="0"/>
    <xf numFmtId="0" fontId="12" fillId="2" borderId="0" pivotButton="0" quotePrefix="0" xfId="0"/>
    <xf numFmtId="3" fontId="4" fillId="3" borderId="0" applyAlignment="1" pivotButton="0" quotePrefix="0" xfId="0">
      <alignment horizontal="right"/>
    </xf>
    <xf numFmtId="167" fontId="4" fillId="3" borderId="0" applyAlignment="1" pivotButton="0" quotePrefix="0" xfId="0">
      <alignment horizontal="right"/>
    </xf>
    <xf numFmtId="3" fontId="4" fillId="0" borderId="0" applyAlignment="1" pivotButton="0" quotePrefix="0" xfId="0">
      <alignment horizontal="right"/>
    </xf>
    <xf numFmtId="167" fontId="4" fillId="0" borderId="0" applyAlignment="1" pivotButton="0" quotePrefix="0" xfId="0">
      <alignment horizontal="right"/>
    </xf>
    <xf numFmtId="0" fontId="5" fillId="3" borderId="0" pivotButton="0" quotePrefix="0" xfId="0"/>
    <xf numFmtId="4" fontId="0" fillId="3" borderId="0" applyAlignment="1" pivotButton="0" quotePrefix="0" xfId="0">
      <alignment horizontal="right"/>
    </xf>
    <xf numFmtId="166" fontId="0" fillId="3" borderId="0" applyAlignment="1" pivotButton="0" quotePrefix="0" xfId="0">
      <alignment horizontal="right"/>
    </xf>
    <xf numFmtId="3" fontId="0" fillId="3" borderId="0" applyAlignment="1" pivotButton="0" quotePrefix="0" xfId="0">
      <alignment horizontal="right"/>
    </xf>
    <xf numFmtId="0" fontId="7" fillId="3" borderId="0" pivotButton="0" quotePrefix="0" xfId="0"/>
    <xf numFmtId="4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Reliance Industries Ltd (NSE: RELIANCE) — Financial Model &amp; Valuation</t>
        </is>
      </c>
    </row>
    <row r="2" ht="30" customHeight="1">
      <c r="A2" s="2" t="inlineStr">
        <is>
          <t>India's largest company by market cap — a conglomerate spanning Oil-to-Chemicals, Jio (digital), Retail, upstream oil &amp; gas and New Energy. Valued sum-of-the-parts, because the segments do not share a multiple.</t>
        </is>
      </c>
    </row>
    <row r="4">
      <c r="A4" s="3" t="inlineStr">
        <is>
          <t>SNAPSHOT</t>
        </is>
      </c>
    </row>
    <row r="6">
      <c r="A6" s="4" t="inlineStr">
        <is>
          <t>Current market price (₹, 04-Aug-2026)</t>
        </is>
      </c>
      <c r="B6" s="5" t="n">
        <v>1306</v>
      </c>
    </row>
    <row r="7">
      <c r="A7" s="6" t="inlineStr">
        <is>
          <t>Market capitalisation (₹ Cr)</t>
        </is>
      </c>
      <c r="B7" s="7" t="n">
        <v>1767958</v>
      </c>
    </row>
    <row r="8">
      <c r="A8" s="4" t="inlineStr">
        <is>
          <t>Shares outstanding (Cr)</t>
        </is>
      </c>
      <c r="B8" s="8" t="n">
        <v>1353.2</v>
      </c>
    </row>
    <row r="9">
      <c r="A9" s="6" t="inlineStr">
        <is>
          <t>52-week high / low (₹)</t>
        </is>
      </c>
      <c r="B9" s="9" t="inlineStr">
        <is>
          <t>1,612 / 1,250</t>
        </is>
      </c>
    </row>
    <row r="10">
      <c r="A10" s="4" t="inlineStr">
        <is>
          <t>Net debt (₹ Cr, Mar-2026)</t>
        </is>
      </c>
      <c r="B10" s="5" t="n">
        <v>123000</v>
      </c>
    </row>
    <row r="11">
      <c r="A11" s="6" t="inlineStr">
        <is>
          <t>FY2026 revenue (₹ Cr)</t>
        </is>
      </c>
      <c r="B11" s="7" t="n">
        <v>1055780</v>
      </c>
    </row>
    <row r="12">
      <c r="A12" s="4" t="inlineStr">
        <is>
          <t>FY2026 EBITDA (₹ Cr)</t>
        </is>
      </c>
      <c r="B12" s="5" t="n">
        <v>179065</v>
      </c>
    </row>
    <row r="13">
      <c r="A13" s="6" t="inlineStr">
        <is>
          <t>FY2026 net profit (₹ Cr)</t>
        </is>
      </c>
      <c r="B13" s="7" t="n">
        <v>95754</v>
      </c>
    </row>
    <row r="14">
      <c r="A14" s="4" t="inlineStr">
        <is>
          <t>FY2026 EPS (₹)</t>
        </is>
      </c>
      <c r="B14" s="8" t="n">
        <v>59.69</v>
      </c>
    </row>
    <row r="15">
      <c r="A15" s="6" t="inlineStr">
        <is>
          <t>Book value / share (₹)</t>
        </is>
      </c>
      <c r="B15" s="7" t="n">
        <v>668</v>
      </c>
    </row>
    <row r="16">
      <c r="A16" s="4" t="inlineStr">
        <is>
          <t>Trailing P/E (x)</t>
        </is>
      </c>
      <c r="B16" s="8" t="n">
        <v>23.6</v>
      </c>
    </row>
    <row r="17">
      <c r="A17" s="6" t="inlineStr">
        <is>
          <t>ROE / ROCE (%)</t>
        </is>
      </c>
      <c r="B17" s="9" t="inlineStr">
        <is>
          <t>8.9 / 10.3</t>
        </is>
      </c>
    </row>
    <row r="18">
      <c r="A18" s="4" t="inlineStr">
        <is>
          <t>Dividend yield (%)</t>
        </is>
      </c>
      <c r="B18" s="8" t="n">
        <v>0.45</v>
      </c>
    </row>
    <row r="21">
      <c r="A21" s="3" t="inlineStr">
        <is>
          <t>Q1 FY2027 RESULTS (reported 17-Jul-2026)</t>
        </is>
      </c>
    </row>
    <row r="23">
      <c r="A23" s="10" t="inlineStr">
        <is>
          <t>Metric</t>
        </is>
      </c>
      <c r="B23" s="11" t="inlineStr">
        <is>
          <t>Value</t>
        </is>
      </c>
      <c r="C23" s="11" t="inlineStr">
        <is>
          <t>Comment</t>
        </is>
      </c>
    </row>
    <row r="24">
      <c r="A24" s="6" t="inlineStr">
        <is>
          <t>Revenue from operations (₹ Cr)</t>
        </is>
      </c>
      <c r="B24" s="9" t="inlineStr">
        <is>
          <t>3,09,468</t>
        </is>
      </c>
      <c r="C24" s="12" t="inlineStr">
        <is>
          <t>+27.0% YoY</t>
        </is>
      </c>
    </row>
    <row r="25">
      <c r="A25" s="6" t="inlineStr">
        <is>
          <t>Operating profit / EBITDA (₹ Cr)</t>
        </is>
      </c>
      <c r="B25" s="9" t="inlineStr">
        <is>
          <t>47,517</t>
        </is>
      </c>
      <c r="C25" s="12" t="inlineStr">
        <is>
          <t>record recurring EBITDA ₹54,067 Cr, +10.1%</t>
        </is>
      </c>
    </row>
    <row r="26">
      <c r="A26" s="6" t="inlineStr">
        <is>
          <t>Net profit (₹ Cr)</t>
        </is>
      </c>
      <c r="B26" s="9" t="inlineStr">
        <is>
          <t>23,196</t>
        </is>
      </c>
      <c r="C26" s="12" t="inlineStr">
        <is>
          <t>−24.6% reported; +6% recurring</t>
        </is>
      </c>
    </row>
    <row r="27">
      <c r="A27" s="6" t="inlineStr">
        <is>
          <t>— O2C EBITDA (₹ Cr)</t>
        </is>
      </c>
      <c r="B27" s="9" t="inlineStr">
        <is>
          <t>17,010</t>
        </is>
      </c>
      <c r="C27" s="12" t="inlineStr">
        <is>
          <t>+17.2% YoY — a four-year high</t>
        </is>
      </c>
    </row>
    <row r="28">
      <c r="A28" s="6" t="inlineStr">
        <is>
          <t>— Jio Platforms EBITDA (₹ Cr)</t>
        </is>
      </c>
      <c r="B28" s="9" t="inlineStr">
        <is>
          <t>20,865</t>
        </is>
      </c>
      <c r="C28" s="12" t="inlineStr">
        <is>
          <t>+15.1% YoY, 53.3% margin</t>
        </is>
      </c>
    </row>
    <row r="29">
      <c r="A29" s="6" t="inlineStr">
        <is>
          <t>— Retail EBITDA (₹ Cr)</t>
        </is>
      </c>
      <c r="B29" s="9" t="inlineStr">
        <is>
          <t>6,309</t>
        </is>
      </c>
      <c r="C29" s="12" t="inlineStr">
        <is>
          <t>7.9% margin; growth has stalled</t>
        </is>
      </c>
    </row>
    <row r="31" ht="28" customHeight="1">
      <c r="A31" s="13" t="inlineStr">
        <is>
          <t>Note: the reported profit fall is optical — Q1 FY2026 included a one-time gain (Asian Paints stake sale) inside ₹15,119 Cr of other income, against ₹6,550 Cr this quarter. On a recurring basis profit grew.</t>
        </is>
      </c>
    </row>
  </sheetData>
  <mergeCells count="4">
    <mergeCell ref="A31:G31"/>
    <mergeCell ref="A21:G21"/>
    <mergeCell ref="A2:G2"/>
    <mergeCell ref="A4:G4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5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32" customWidth="1" min="7" max="7"/>
  </cols>
  <sheetData>
    <row r="1">
      <c r="A1" s="14" t="inlineStr">
        <is>
          <t>Reliance Industries — Sum-of-the-Parts Valuation</t>
        </is>
      </c>
    </row>
    <row r="2" ht="30" customHeight="1">
      <c r="A2" s="2" t="inlineStr">
        <is>
          <t>Rs Cr unless stated. FY2027E segment EBITDA. A conglomerate cannot be valued on one multiple — each segment is valued on its own economics, then adjusted for the stakes RIL actually owns and for net debt. Live Rs1,302 (04-Aug-2026).</t>
        </is>
      </c>
    </row>
    <row r="4">
      <c r="A4" s="3" t="inlineStr">
        <is>
          <t>KEY INPUTS</t>
        </is>
      </c>
    </row>
    <row r="5">
      <c r="A5" s="6" t="inlineStr">
        <is>
          <t>Live share price (₹)</t>
        </is>
      </c>
      <c r="B5" s="15" t="n">
        <v>1302</v>
      </c>
    </row>
    <row r="6">
      <c r="A6" s="6" t="inlineStr">
        <is>
          <t>Shares outstanding (Cr)</t>
        </is>
      </c>
      <c r="B6" s="15" t="n">
        <v>1353.2</v>
      </c>
    </row>
    <row r="7">
      <c r="A7" s="6" t="inlineStr">
        <is>
          <t>Net debt (₹ Cr)</t>
        </is>
      </c>
      <c r="B7" s="15" t="n">
        <v>122914</v>
      </c>
    </row>
    <row r="8">
      <c r="A8" s="6" t="inlineStr">
        <is>
          <t>FY2027E EPS (₹)</t>
        </is>
      </c>
      <c r="B8" s="15" t="n">
        <v>66</v>
      </c>
    </row>
    <row r="9">
      <c r="A9" s="6" t="inlineStr">
        <is>
          <t>Cost of capital / WACC</t>
        </is>
      </c>
      <c r="B9" s="16" t="n">
        <v>0.11</v>
      </c>
    </row>
    <row r="10">
      <c r="A10" s="6" t="inlineStr">
        <is>
          <t>Terminal growth</t>
        </is>
      </c>
      <c r="B10" s="16" t="n">
        <v>0.05</v>
      </c>
    </row>
    <row r="12">
      <c r="A12" s="3" t="inlineStr">
        <is>
          <t>SUM-OF-THE-PARTS (FY2027E)</t>
        </is>
      </c>
    </row>
    <row r="13">
      <c r="A13" s="10" t="inlineStr">
        <is>
          <t>Segment</t>
        </is>
      </c>
      <c r="B13" s="11" t="inlineStr">
        <is>
          <t>FY27E EBITDA</t>
        </is>
      </c>
      <c r="C13" s="11" t="inlineStr">
        <is>
          <t>Multiple (x)</t>
        </is>
      </c>
      <c r="D13" s="11" t="inlineStr">
        <is>
          <t>Enterprise value</t>
        </is>
      </c>
      <c r="E13" s="11" t="inlineStr">
        <is>
          <t>RIL stake</t>
        </is>
      </c>
      <c r="F13" s="11" t="inlineStr">
        <is>
          <t>Attributable value</t>
        </is>
      </c>
      <c r="G13" s="11" t="inlineStr">
        <is>
          <t>Basis</t>
        </is>
      </c>
    </row>
    <row r="14">
      <c r="A14" s="6" t="inlineStr">
        <is>
          <t>Jio Platforms (digital)</t>
        </is>
      </c>
      <c r="B14" s="17" t="n">
        <v>87000</v>
      </c>
      <c r="C14" s="18" t="n">
        <v>15</v>
      </c>
      <c r="D14" s="17">
        <f>B14*C14</f>
        <v/>
      </c>
      <c r="E14" s="19" t="n">
        <v>0.6643</v>
      </c>
      <c r="F14" s="17">
        <f>D14*E14</f>
        <v/>
      </c>
      <c r="G14" s="12" t="inlineStr">
        <is>
          <t>IPO implies ~17x; Airtel ~14.5x</t>
        </is>
      </c>
    </row>
    <row r="15">
      <c r="A15" s="6" t="inlineStr">
        <is>
          <t>Reliance Retail (RRVL)</t>
        </is>
      </c>
      <c r="B15" s="17" t="n">
        <v>27500</v>
      </c>
      <c r="C15" s="18" t="n">
        <v>24</v>
      </c>
      <c r="D15" s="17">
        <f>B15*C15</f>
        <v/>
      </c>
      <c r="E15" s="19" t="n">
        <v>0.85</v>
      </c>
      <c r="F15" s="17">
        <f>D15*E15</f>
        <v/>
      </c>
      <c r="G15" s="12" t="inlineStr">
        <is>
          <t>Premium, but growth has stalled</t>
        </is>
      </c>
    </row>
    <row r="16">
      <c r="A16" s="6" t="inlineStr">
        <is>
          <t>O2C (refining + petchem)</t>
        </is>
      </c>
      <c r="B16" s="17" t="n">
        <v>64000</v>
      </c>
      <c r="C16" s="18" t="n">
        <v>7</v>
      </c>
      <c r="D16" s="17">
        <f>B16*C16</f>
        <v/>
      </c>
      <c r="E16" s="19" t="n">
        <v>1</v>
      </c>
      <c r="F16" s="17">
        <f>D16*E16</f>
        <v/>
      </c>
      <c r="G16" s="12" t="inlineStr">
        <is>
          <t>Cyclical; Q1 a 4-year high</t>
        </is>
      </c>
    </row>
    <row r="17">
      <c r="A17" s="6" t="inlineStr">
        <is>
          <t>Oil &amp; Gas (upstream)</t>
        </is>
      </c>
      <c r="B17" s="17" t="n">
        <v>19500</v>
      </c>
      <c r="C17" s="18" t="n">
        <v>5</v>
      </c>
      <c r="D17" s="17">
        <f>B17*C17</f>
        <v/>
      </c>
      <c r="E17" s="19" t="n">
        <v>1</v>
      </c>
      <c r="F17" s="17">
        <f>D17*E17</f>
        <v/>
      </c>
      <c r="G17" s="12" t="inlineStr">
        <is>
          <t>Q1 Rs4,973 Cr; KG-D6 gas declining</t>
        </is>
      </c>
    </row>
    <row r="18">
      <c r="A18" s="6" t="inlineStr">
        <is>
          <t>New Energy (giga-factories)</t>
        </is>
      </c>
      <c r="B18" s="20" t="inlineStr">
        <is>
          <t>n/m</t>
        </is>
      </c>
      <c r="C18" s="20" t="inlineStr">
        <is>
          <t>—</t>
        </is>
      </c>
      <c r="D18" s="17" t="n">
        <v>75000</v>
      </c>
      <c r="E18" s="19" t="n">
        <v>1</v>
      </c>
      <c r="F18" s="17">
        <f>D18*E18</f>
        <v/>
      </c>
      <c r="G18" s="12" t="inlineStr">
        <is>
          <t>At invested capital — an option</t>
        </is>
      </c>
    </row>
    <row r="19">
      <c r="A19" s="21" t="inlineStr">
        <is>
          <t>Gross attributable enterprise value</t>
        </is>
      </c>
      <c r="F19" s="7">
        <f>SUM(F14:F18)</f>
        <v/>
      </c>
    </row>
    <row r="20">
      <c r="A20" s="6" t="inlineStr">
        <is>
          <t>Less: net debt</t>
        </is>
      </c>
      <c r="F20" s="17">
        <f>-B7</f>
        <v/>
      </c>
    </row>
    <row r="21">
      <c r="A21" s="21" t="inlineStr">
        <is>
          <t>SOTP equity value</t>
        </is>
      </c>
      <c r="F21" s="7">
        <f>F19+F20</f>
        <v/>
      </c>
    </row>
    <row r="22">
      <c r="A22" s="22" t="inlineStr">
        <is>
          <t>SOTP value per share (₹)</t>
        </is>
      </c>
      <c r="F22" s="23">
        <f>F21/B6</f>
        <v/>
      </c>
    </row>
    <row r="25">
      <c r="A25" s="3" t="inlineStr">
        <is>
          <t>CROSS-CHECK METHODS</t>
        </is>
      </c>
    </row>
    <row r="26">
      <c r="A26" s="10" t="inlineStr">
        <is>
          <t>Method</t>
        </is>
      </c>
      <c r="B26" s="11" t="inlineStr">
        <is>
          <t>Assumption</t>
        </is>
      </c>
      <c r="C26" s="11" t="inlineStr">
        <is>
          <t>Value/share (₹)</t>
        </is>
      </c>
      <c r="D26" s="11" t="inlineStr">
        <is>
          <t>vs price</t>
        </is>
      </c>
      <c r="E26" s="11" t="inlineStr">
        <is>
          <t>Weight</t>
        </is>
      </c>
    </row>
    <row r="27">
      <c r="A27" s="6" t="inlineStr">
        <is>
          <t>Sum-of-the-parts (primary)</t>
        </is>
      </c>
      <c r="B27" s="24" t="inlineStr">
        <is>
          <t>Segment multiples, stake-adj.</t>
        </is>
      </c>
      <c r="C27" s="17">
        <f>F22</f>
        <v/>
      </c>
      <c r="D27" s="19">
        <f>C27/B5-1</f>
        <v/>
      </c>
      <c r="E27" s="25" t="n">
        <v>0.6</v>
      </c>
    </row>
    <row r="28">
      <c r="A28" s="6" t="inlineStr">
        <is>
          <t>FCFF DCF (cash-flow floor)</t>
        </is>
      </c>
      <c r="B28" s="24" t="inlineStr">
        <is>
          <t>WACC 11%, term g 5%</t>
        </is>
      </c>
      <c r="C28" s="17" t="n">
        <v>1156</v>
      </c>
      <c r="D28" s="19">
        <f>C28/B5-1</f>
        <v/>
      </c>
      <c r="E28" s="25" t="n">
        <v>0.25</v>
      </c>
    </row>
    <row r="29">
      <c r="A29" s="6" t="inlineStr">
        <is>
          <t>P/E (relative cross-check)</t>
        </is>
      </c>
      <c r="B29" s="24" t="inlineStr">
        <is>
          <t>22x FY27E EPS ₹67</t>
        </is>
      </c>
      <c r="C29" s="17">
        <f>22*B8</f>
        <v/>
      </c>
      <c r="D29" s="19">
        <f>C29/B5-1</f>
        <v/>
      </c>
      <c r="E29" s="25" t="n">
        <v>0.15</v>
      </c>
    </row>
    <row r="31">
      <c r="A31" s="3" t="inlineStr">
        <is>
          <t>BLENDED TARGET &amp; RATING</t>
        </is>
      </c>
    </row>
    <row r="32">
      <c r="A32" s="26" t="inlineStr">
        <is>
          <t>Blended fair value (₹)</t>
        </is>
      </c>
      <c r="B32" s="23">
        <f>SUMPRODUCT(C27:C29,E27:E29)</f>
        <v/>
      </c>
    </row>
    <row r="33">
      <c r="A33" s="6" t="inlineStr">
        <is>
          <t>Upside / (downside)</t>
        </is>
      </c>
      <c r="B33" s="19">
        <f>B32/B5-1</f>
        <v/>
      </c>
    </row>
    <row r="34">
      <c r="A34" s="6" t="inlineStr">
        <is>
          <t>Dividend yield</t>
        </is>
      </c>
      <c r="B34" s="27" t="n">
        <v>0.0045</v>
      </c>
    </row>
    <row r="35">
      <c r="A35" s="6" t="inlineStr">
        <is>
          <t>Total expected return</t>
        </is>
      </c>
      <c r="B35" s="19">
        <f>B33+B34</f>
        <v/>
      </c>
    </row>
    <row r="36">
      <c r="A36" s="26" t="inlineStr">
        <is>
          <t>Rating</t>
        </is>
      </c>
      <c r="B36" s="28">
        <f>IF(B35&gt;0.15,"BUY",IF(B35&gt;0.05,"ACCUMULATE",IF(B35&gt;-0.10,"HOLD","REDUCE")))</f>
        <v/>
      </c>
    </row>
    <row r="38" ht="42" customHeight="1">
      <c r="A38" s="13" t="inlineStr">
        <is>
          <t>Note: the Street's ₹1,640–1,690 targets embed Jio at ~17x and Retail at ~30x. Our 15x / 24x are deliberately below that — the Jio IPO will supply a real market-clearing multiple, and Retail's EBITDA growth has slowed sharply. The DCF says the consolidated cash flows alone do not support the price; the value sits in the segments and in the unlocking of them. See the Sensitivity block below.</t>
        </is>
      </c>
    </row>
    <row r="40">
      <c r="A40" s="3" t="inlineStr">
        <is>
          <t>SENSITIVITY — SOTP value/share (₹) vs Jio and Retail multiples</t>
        </is>
      </c>
    </row>
    <row r="41">
      <c r="A41" s="10" t="inlineStr">
        <is>
          <t>Jio multiple \ Retail multiple</t>
        </is>
      </c>
      <c r="B41" s="11" t="inlineStr">
        <is>
          <t>20x</t>
        </is>
      </c>
      <c r="C41" s="11" t="inlineStr">
        <is>
          <t>24x</t>
        </is>
      </c>
      <c r="D41" s="11" t="inlineStr">
        <is>
          <t>28x</t>
        </is>
      </c>
      <c r="E41" s="11" t="inlineStr">
        <is>
          <t>32x</t>
        </is>
      </c>
    </row>
    <row r="42">
      <c r="A42" s="29" t="inlineStr">
        <is>
          <t>13x</t>
        </is>
      </c>
      <c r="B42" s="17" t="n">
        <v>1268</v>
      </c>
      <c r="C42" s="17" t="n">
        <v>1338</v>
      </c>
      <c r="D42" s="17" t="n">
        <v>1407</v>
      </c>
      <c r="E42" s="17" t="n">
        <v>1476</v>
      </c>
    </row>
    <row r="43">
      <c r="A43" s="29" t="inlineStr">
        <is>
          <t>15x</t>
        </is>
      </c>
      <c r="B43" s="17" t="n">
        <v>1354</v>
      </c>
      <c r="C43" s="17" t="n">
        <v>1423</v>
      </c>
      <c r="D43" s="17" t="n">
        <v>1492</v>
      </c>
      <c r="E43" s="17" t="n">
        <v>1561</v>
      </c>
    </row>
    <row r="44">
      <c r="A44" s="29" t="inlineStr">
        <is>
          <t>17x</t>
        </is>
      </c>
      <c r="B44" s="17" t="n">
        <v>1439</v>
      </c>
      <c r="C44" s="17" t="n">
        <v>1508</v>
      </c>
      <c r="D44" s="17" t="n">
        <v>1577</v>
      </c>
      <c r="E44" s="17" t="n">
        <v>1647</v>
      </c>
    </row>
    <row r="45">
      <c r="A45" s="29" t="inlineStr">
        <is>
          <t>19x</t>
        </is>
      </c>
      <c r="B45" s="17" t="n">
        <v>1525</v>
      </c>
      <c r="C45" s="17" t="n">
        <v>1594</v>
      </c>
      <c r="D45" s="17" t="n">
        <v>1663</v>
      </c>
      <c r="E45" s="17" t="n">
        <v>1732</v>
      </c>
    </row>
    <row r="46">
      <c r="A46" s="12" t="inlineStr">
        <is>
          <t>Current price ₹1,302. Street SOTPs sit in the top-right of this grid; our base case is the 15x / 24x cell (₹1,423).</t>
        </is>
      </c>
    </row>
    <row r="48">
      <c r="A48" s="3" t="inlineStr">
        <is>
          <t>SCENARIO STRESS TEST</t>
        </is>
      </c>
    </row>
    <row r="49">
      <c r="A49" s="41" t="inlineStr">
        <is>
          <t>Scenario</t>
        </is>
      </c>
      <c r="B49" s="42" t="inlineStr">
        <is>
          <t>Jio (x)</t>
        </is>
      </c>
      <c r="C49" s="42" t="inlineStr">
        <is>
          <t>Retail (x)</t>
        </is>
      </c>
      <c r="D49" s="42" t="inlineStr">
        <is>
          <t>O2C (x)</t>
        </is>
      </c>
      <c r="E49" s="42" t="inlineStr">
        <is>
          <t>SOTP (Rs)</t>
        </is>
      </c>
      <c r="F49" s="42" t="inlineStr">
        <is>
          <t>Blended (Rs)</t>
        </is>
      </c>
      <c r="G49" s="42" t="inlineStr">
        <is>
          <t>Total return</t>
        </is>
      </c>
    </row>
    <row r="50">
      <c r="A50" s="6" t="inlineStr">
        <is>
          <t>Bear — autonomy of segments questioned</t>
        </is>
      </c>
      <c r="B50" s="18" t="n">
        <v>13</v>
      </c>
      <c r="C50" s="18" t="n">
        <v>18</v>
      </c>
      <c r="D50" s="18" t="n">
        <v>6</v>
      </c>
      <c r="E50" s="33" t="n">
        <v>1146</v>
      </c>
      <c r="F50" s="33" t="n">
        <v>1195</v>
      </c>
      <c r="G50" s="19" t="n">
        <v>-0.07790856024043596</v>
      </c>
    </row>
    <row r="51">
      <c r="A51" s="21" t="inlineStr">
        <is>
          <t>Base — our case</t>
        </is>
      </c>
      <c r="B51" s="18" t="n">
        <v>15</v>
      </c>
      <c r="C51" s="18" t="n">
        <v>24</v>
      </c>
      <c r="D51" s="18" t="n">
        <v>7</v>
      </c>
      <c r="E51" s="7" t="n">
        <v>1423</v>
      </c>
      <c r="F51" s="7" t="n">
        <v>1361</v>
      </c>
      <c r="G51" s="19" t="n">
        <v>0.04957154835349604</v>
      </c>
    </row>
    <row r="52">
      <c r="A52" s="6" t="inlineStr">
        <is>
          <t>Bull — Jio IPO re-rates, retail revives</t>
        </is>
      </c>
      <c r="B52" s="18" t="n">
        <v>17</v>
      </c>
      <c r="C52" s="18" t="n">
        <v>30</v>
      </c>
      <c r="D52" s="18" t="n">
        <v>8</v>
      </c>
      <c r="E52" s="33" t="n">
        <v>1692</v>
      </c>
      <c r="F52" s="33" t="n">
        <v>1522</v>
      </c>
      <c r="G52" s="19" t="n">
        <v>0.1736461773946084</v>
      </c>
    </row>
    <row r="53">
      <c r="A53" s="6" t="inlineStr">
        <is>
          <t>Street consensus (Rs1,640-1,690)</t>
        </is>
      </c>
      <c r="B53" s="18" t="n">
        <v>18</v>
      </c>
      <c r="C53" s="18" t="n">
        <v>32</v>
      </c>
      <c r="D53" s="18" t="n">
        <v>8</v>
      </c>
      <c r="E53" s="33" t="n">
        <v>1784</v>
      </c>
      <c r="F53" s="33" t="n">
        <v>1577</v>
      </c>
      <c r="G53" s="19" t="n">
        <v>0.2160594159920411</v>
      </c>
    </row>
    <row r="55" ht="42" customHeight="1">
      <c r="A55" s="13" t="inlineStr">
        <is>
          <t>Downside is contained (bear ~-8%) and the bull case needs the Jio IPO to clear at ~17x AND retail EBITDA to reaccelerate. Note the rating is marginal: at the deal-math RRVL stake of ~88.7% (vs our conservative 85%) the blend reaches ACCUMULATE. We keep the conservative stake until the holding is confirmed.</t>
        </is>
      </c>
    </row>
  </sheetData>
  <mergeCells count="11">
    <mergeCell ref="A1:G1"/>
    <mergeCell ref="A40:G40"/>
    <mergeCell ref="A31:G31"/>
    <mergeCell ref="A55:G55"/>
    <mergeCell ref="A12:G12"/>
    <mergeCell ref="A4:G4"/>
    <mergeCell ref="A48:G48"/>
    <mergeCell ref="A38:G38"/>
    <mergeCell ref="A2:G2"/>
    <mergeCell ref="A25:G25"/>
    <mergeCell ref="A46:G46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0" t="inlineStr">
        <is>
          <t>Reliance Industries — Income Statement (consolidated, ₹ Cr)</t>
        </is>
      </c>
    </row>
    <row r="3">
      <c r="A3" s="10" t="inlineStr">
        <is>
          <t>₹ Crore</t>
        </is>
      </c>
      <c r="B3" s="11" t="inlineStr">
        <is>
          <t>FY2022</t>
        </is>
      </c>
      <c r="C3" s="11" t="inlineStr">
        <is>
          <t>FY2023</t>
        </is>
      </c>
      <c r="D3" s="11" t="inlineStr">
        <is>
          <t>FY2024</t>
        </is>
      </c>
      <c r="E3" s="11" t="inlineStr">
        <is>
          <t>FY2025</t>
        </is>
      </c>
      <c r="F3" s="11" t="inlineStr">
        <is>
          <t>FY2026</t>
        </is>
      </c>
    </row>
    <row r="4">
      <c r="A4" s="3" t="inlineStr">
        <is>
          <t>REVENUE &amp; PROFIT</t>
        </is>
      </c>
    </row>
    <row r="5">
      <c r="A5" s="21" t="inlineStr">
        <is>
          <t>Revenue from operations</t>
        </is>
      </c>
      <c r="B5" s="7" t="n">
        <v>694673</v>
      </c>
      <c r="C5" s="7" t="n">
        <v>876396</v>
      </c>
      <c r="D5" s="7" t="n">
        <v>899041</v>
      </c>
      <c r="E5" s="7" t="n">
        <v>962820</v>
      </c>
      <c r="F5" s="7" t="n">
        <v>1055780</v>
      </c>
    </row>
    <row r="6">
      <c r="A6" s="4" t="inlineStr">
        <is>
          <t>Operating expenses</t>
        </is>
      </c>
      <c r="B6" s="31" t="n">
        <v>586092</v>
      </c>
      <c r="C6" s="31" t="n">
        <v>734078</v>
      </c>
      <c r="D6" s="31" t="n">
        <v>736543</v>
      </c>
      <c r="E6" s="31" t="n">
        <v>797222</v>
      </c>
      <c r="F6" s="31" t="n">
        <v>876715</v>
      </c>
    </row>
    <row r="7">
      <c r="A7" s="21" t="inlineStr">
        <is>
          <t>Operating profit (EBITDA)</t>
        </is>
      </c>
      <c r="B7" s="7" t="n">
        <v>108581</v>
      </c>
      <c r="C7" s="7" t="n">
        <v>142318</v>
      </c>
      <c r="D7" s="7" t="n">
        <v>162498</v>
      </c>
      <c r="E7" s="7" t="n">
        <v>165598</v>
      </c>
      <c r="F7" s="7" t="n">
        <v>179065</v>
      </c>
    </row>
    <row r="8">
      <c r="A8" s="4" t="inlineStr">
        <is>
          <t>EBITDA margin (%)</t>
        </is>
      </c>
      <c r="B8" s="32" t="n">
        <v>15.6</v>
      </c>
      <c r="C8" s="32" t="n">
        <v>16.2</v>
      </c>
      <c r="D8" s="32" t="n">
        <v>18.1</v>
      </c>
      <c r="E8" s="32" t="n">
        <v>17.2</v>
      </c>
      <c r="F8" s="32" t="n">
        <v>17</v>
      </c>
    </row>
    <row r="9">
      <c r="A9" s="6" t="inlineStr">
        <is>
          <t>Other income</t>
        </is>
      </c>
      <c r="B9" s="33" t="n">
        <v>19600</v>
      </c>
      <c r="C9" s="33" t="n">
        <v>12020</v>
      </c>
      <c r="D9" s="33" t="n">
        <v>15792</v>
      </c>
      <c r="E9" s="33" t="n">
        <v>17824</v>
      </c>
      <c r="F9" s="33" t="n">
        <v>28846</v>
      </c>
    </row>
    <row r="10">
      <c r="A10" s="4" t="inlineStr">
        <is>
          <t>Finance cost</t>
        </is>
      </c>
      <c r="B10" s="31" t="n">
        <v>14584</v>
      </c>
      <c r="C10" s="31" t="n">
        <v>19571</v>
      </c>
      <c r="D10" s="31" t="n">
        <v>23118</v>
      </c>
      <c r="E10" s="31" t="n">
        <v>24269</v>
      </c>
      <c r="F10" s="31" t="n">
        <v>27061</v>
      </c>
    </row>
    <row r="11">
      <c r="A11" s="6" t="inlineStr">
        <is>
          <t>Depreciation &amp; amortisation</t>
        </is>
      </c>
      <c r="B11" s="33" t="n">
        <v>29782</v>
      </c>
      <c r="C11" s="33" t="n">
        <v>40303</v>
      </c>
      <c r="D11" s="33" t="n">
        <v>50832</v>
      </c>
      <c r="E11" s="33" t="n">
        <v>53136</v>
      </c>
      <c r="F11" s="33" t="n">
        <v>57688</v>
      </c>
    </row>
    <row r="12">
      <c r="A12" s="21" t="inlineStr">
        <is>
          <t>Profit before tax</t>
        </is>
      </c>
      <c r="B12" s="7" t="n">
        <v>83815</v>
      </c>
      <c r="C12" s="7" t="n">
        <v>94464</v>
      </c>
      <c r="D12" s="7" t="n">
        <v>104340</v>
      </c>
      <c r="E12" s="7" t="n">
        <v>106017</v>
      </c>
      <c r="F12" s="7" t="n">
        <v>123162</v>
      </c>
    </row>
    <row r="13">
      <c r="A13" s="21" t="inlineStr">
        <is>
          <t>Net profit (attributable)</t>
        </is>
      </c>
      <c r="B13" s="7" t="n">
        <v>67845</v>
      </c>
      <c r="C13" s="7" t="n">
        <v>74088</v>
      </c>
      <c r="D13" s="7" t="n">
        <v>79020</v>
      </c>
      <c r="E13" s="7" t="n">
        <v>81309</v>
      </c>
      <c r="F13" s="7" t="n">
        <v>95754</v>
      </c>
    </row>
    <row r="14">
      <c r="A14" s="4" t="inlineStr">
        <is>
          <t>Net margin (%)</t>
        </is>
      </c>
      <c r="B14" s="32" t="n">
        <v>9.800000000000001</v>
      </c>
      <c r="C14" s="32" t="n">
        <v>8.5</v>
      </c>
      <c r="D14" s="32" t="n">
        <v>8.800000000000001</v>
      </c>
      <c r="E14" s="32" t="n">
        <v>8.4</v>
      </c>
      <c r="F14" s="32" t="n">
        <v>9.1</v>
      </c>
    </row>
    <row r="15">
      <c r="A15" s="21" t="inlineStr">
        <is>
          <t>EPS (₹)</t>
        </is>
      </c>
      <c r="B15" s="7" t="n">
        <v>44.87</v>
      </c>
      <c r="C15" s="7" t="n">
        <v>49.29</v>
      </c>
      <c r="D15" s="7" t="n">
        <v>51.45</v>
      </c>
      <c r="E15" s="7" t="n">
        <v>51.47</v>
      </c>
      <c r="F15" s="7" t="n">
        <v>59.69</v>
      </c>
    </row>
    <row r="17" ht="30" customHeight="1">
      <c r="A17" s="13" t="inlineStr">
        <is>
          <t>Source: consolidated filings. FY2025 equity capital doubled on the 1:1 bonus issue — per-share figures are restated accordingly.</t>
        </is>
      </c>
    </row>
    <row r="19" ht="40" customHeight="1">
      <c r="A19" s="13" t="inlineStr">
        <is>
          <t>Cross-check on the SOTP: consolidated PAT of Rs95,754 Cr (FY26) against EPS of Rs59.69 on 1,353 crore shares implies roughly Rs80,800 Cr attributable to owners. That ~17% leakage is minority interest in Jio (33.6% held outside) and Retail — independently confirming the stake adjustments applied in the sum-of-the-parts.</t>
        </is>
      </c>
    </row>
  </sheetData>
  <mergeCells count="4">
    <mergeCell ref="A19:F19"/>
    <mergeCell ref="A4:F4"/>
    <mergeCell ref="A1:F1"/>
    <mergeCell ref="A17:F17"/>
  </mergeCell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0" t="inlineStr">
        <is>
          <t>Reliance Industries — Balance Sheet (consolidated, ₹ Cr)</t>
        </is>
      </c>
    </row>
    <row r="3">
      <c r="A3" s="10" t="inlineStr">
        <is>
          <t>₹ Crore</t>
        </is>
      </c>
      <c r="B3" s="11" t="inlineStr">
        <is>
          <t>FY2022</t>
        </is>
      </c>
      <c r="C3" s="11" t="inlineStr">
        <is>
          <t>FY2023</t>
        </is>
      </c>
      <c r="D3" s="11" t="inlineStr">
        <is>
          <t>FY2024</t>
        </is>
      </c>
      <c r="E3" s="11" t="inlineStr">
        <is>
          <t>FY2025</t>
        </is>
      </c>
      <c r="F3" s="11" t="inlineStr">
        <is>
          <t>FY2026</t>
        </is>
      </c>
    </row>
    <row r="4">
      <c r="A4" s="3" t="inlineStr">
        <is>
          <t>LIABILITIES</t>
        </is>
      </c>
    </row>
    <row r="5">
      <c r="A5" s="6" t="inlineStr">
        <is>
          <t>Equity capital</t>
        </is>
      </c>
      <c r="B5" s="33" t="n">
        <v>6765</v>
      </c>
      <c r="C5" s="33" t="n">
        <v>6766</v>
      </c>
      <c r="D5" s="33" t="n">
        <v>6766</v>
      </c>
      <c r="E5" s="33" t="n">
        <v>13532</v>
      </c>
      <c r="F5" s="33" t="n">
        <v>13532</v>
      </c>
    </row>
    <row r="6">
      <c r="A6" s="4" t="inlineStr">
        <is>
          <t>Reserves &amp; surplus</t>
        </is>
      </c>
      <c r="B6" s="31" t="n">
        <v>772720</v>
      </c>
      <c r="C6" s="31" t="n">
        <v>709106</v>
      </c>
      <c r="D6" s="31" t="n">
        <v>786715</v>
      </c>
      <c r="E6" s="31" t="n">
        <v>829668</v>
      </c>
      <c r="F6" s="31" t="n">
        <v>890498</v>
      </c>
    </row>
    <row r="7">
      <c r="A7" s="21" t="inlineStr">
        <is>
          <t>Shareholders' equity</t>
        </is>
      </c>
      <c r="B7" s="7" t="n">
        <v>779485</v>
      </c>
      <c r="C7" s="7" t="n">
        <v>715872</v>
      </c>
      <c r="D7" s="7" t="n">
        <v>793481</v>
      </c>
      <c r="E7" s="7" t="n">
        <v>843200</v>
      </c>
      <c r="F7" s="7" t="n">
        <v>904030</v>
      </c>
    </row>
    <row r="8">
      <c r="A8" s="4" t="inlineStr">
        <is>
          <t>Borrowings</t>
        </is>
      </c>
      <c r="B8" s="31" t="n">
        <v>319158</v>
      </c>
      <c r="C8" s="31" t="n">
        <v>451664</v>
      </c>
      <c r="D8" s="31" t="n">
        <v>350719</v>
      </c>
      <c r="E8" s="31" t="n">
        <v>374313</v>
      </c>
      <c r="F8" s="31" t="n">
        <v>402962</v>
      </c>
    </row>
    <row r="9">
      <c r="A9" s="6" t="inlineStr">
        <is>
          <t>Other liabilities</t>
        </is>
      </c>
      <c r="B9" s="33" t="n">
        <v>399979</v>
      </c>
      <c r="C9" s="33" t="n">
        <v>438346</v>
      </c>
      <c r="D9" s="33" t="n">
        <v>610848</v>
      </c>
      <c r="E9" s="33" t="n">
        <v>732200</v>
      </c>
      <c r="F9" s="33" t="n">
        <v>870554</v>
      </c>
    </row>
    <row r="10">
      <c r="A10" s="21" t="inlineStr">
        <is>
          <t>TOTAL LIABILITIES</t>
        </is>
      </c>
      <c r="B10" s="7" t="n">
        <v>1498622</v>
      </c>
      <c r="C10" s="7" t="n">
        <v>1605882</v>
      </c>
      <c r="D10" s="7" t="n">
        <v>1755048</v>
      </c>
      <c r="E10" s="7" t="n">
        <v>1949713</v>
      </c>
      <c r="F10" s="7" t="n">
        <v>2177546</v>
      </c>
    </row>
    <row r="11">
      <c r="A11" s="3" t="inlineStr">
        <is>
          <t>ASSETS</t>
        </is>
      </c>
    </row>
    <row r="12">
      <c r="A12" s="4" t="inlineStr">
        <is>
          <t>Net fixed assets</t>
        </is>
      </c>
      <c r="B12" s="31" t="n">
        <v>627798</v>
      </c>
      <c r="C12" s="31" t="n">
        <v>724805</v>
      </c>
      <c r="D12" s="31" t="n">
        <v>779985</v>
      </c>
      <c r="E12" s="31" t="n">
        <v>999393</v>
      </c>
      <c r="F12" s="31" t="n">
        <v>1124795</v>
      </c>
    </row>
    <row r="13">
      <c r="A13" s="6" t="inlineStr">
        <is>
          <t>Capital work in progress</t>
        </is>
      </c>
      <c r="B13" s="33" t="n">
        <v>172506</v>
      </c>
      <c r="C13" s="33" t="n">
        <v>293752</v>
      </c>
      <c r="D13" s="33" t="n">
        <v>338855</v>
      </c>
      <c r="E13" s="33" t="n">
        <v>262358</v>
      </c>
      <c r="F13" s="33" t="n">
        <v>237686</v>
      </c>
    </row>
    <row r="14">
      <c r="A14" s="4" t="inlineStr">
        <is>
          <t>Investments</t>
        </is>
      </c>
      <c r="B14" s="31" t="n">
        <v>394264</v>
      </c>
      <c r="C14" s="31" t="n">
        <v>235560</v>
      </c>
      <c r="D14" s="31" t="n">
        <v>225672</v>
      </c>
      <c r="E14" s="31" t="n">
        <v>242381</v>
      </c>
      <c r="F14" s="31" t="n">
        <v>248332</v>
      </c>
    </row>
    <row r="15">
      <c r="A15" s="6" t="inlineStr">
        <is>
          <t>Other assets</t>
        </is>
      </c>
      <c r="B15" s="33" t="n">
        <v>304054</v>
      </c>
      <c r="C15" s="33" t="n">
        <v>351765</v>
      </c>
      <c r="D15" s="33" t="n">
        <v>410536</v>
      </c>
      <c r="E15" s="33" t="n">
        <v>445581</v>
      </c>
      <c r="F15" s="33" t="n">
        <v>566733</v>
      </c>
    </row>
    <row r="16">
      <c r="A16" s="21" t="inlineStr">
        <is>
          <t>TOTAL ASSETS</t>
        </is>
      </c>
      <c r="B16" s="7" t="n">
        <v>1498622</v>
      </c>
      <c r="C16" s="7" t="n">
        <v>1605882</v>
      </c>
      <c r="D16" s="7" t="n">
        <v>1755048</v>
      </c>
      <c r="E16" s="7" t="n">
        <v>1949713</v>
      </c>
      <c r="F16" s="7" t="n">
        <v>2177546</v>
      </c>
    </row>
    <row r="18" ht="30" customHeight="1">
      <c r="A18" s="13" t="inlineStr">
        <is>
          <t>Gross borrowings of ₹4.03 lakh Cr against cash and investments leave net debt near ₹1.23 lakh Cr — comfortable against ₹1.79 lakh Cr of FY2026 EBITDA (~0.7x).</t>
        </is>
      </c>
    </row>
  </sheetData>
  <mergeCells count="4">
    <mergeCell ref="A11:F11"/>
    <mergeCell ref="A1:F1"/>
    <mergeCell ref="A18:F18"/>
    <mergeCell ref="A4:F4"/>
  </mergeCells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0" t="inlineStr">
        <is>
          <t>Reliance Industries — Cash Flow (consolidated, ₹ Cr)</t>
        </is>
      </c>
    </row>
    <row r="3">
      <c r="A3" s="10" t="inlineStr">
        <is>
          <t>₹ Crore</t>
        </is>
      </c>
      <c r="B3" s="11" t="inlineStr">
        <is>
          <t>FY2022</t>
        </is>
      </c>
      <c r="C3" s="11" t="inlineStr">
        <is>
          <t>FY2023</t>
        </is>
      </c>
      <c r="D3" s="11" t="inlineStr">
        <is>
          <t>FY2024</t>
        </is>
      </c>
      <c r="E3" s="11" t="inlineStr">
        <is>
          <t>FY2025</t>
        </is>
      </c>
      <c r="F3" s="11" t="inlineStr">
        <is>
          <t>FY2026</t>
        </is>
      </c>
    </row>
    <row r="4">
      <c r="A4" s="3" t="inlineStr">
        <is>
          <t>CASH FLOWS</t>
        </is>
      </c>
    </row>
    <row r="5">
      <c r="A5" s="21" t="inlineStr">
        <is>
          <t>Cash from operating activities</t>
        </is>
      </c>
      <c r="B5" s="7" t="n">
        <v>110654</v>
      </c>
      <c r="C5" s="7" t="n">
        <v>115032</v>
      </c>
      <c r="D5" s="7" t="n">
        <v>158788</v>
      </c>
      <c r="E5" s="7" t="n">
        <v>178703</v>
      </c>
      <c r="F5" s="7" t="n">
        <v>192113</v>
      </c>
    </row>
    <row r="6">
      <c r="A6" s="4" t="inlineStr">
        <is>
          <t>Cash from investing activities</t>
        </is>
      </c>
      <c r="B6" s="31" t="n">
        <v>-109162</v>
      </c>
      <c r="C6" s="31" t="n">
        <v>-93001</v>
      </c>
      <c r="D6" s="31" t="n">
        <v>-113581</v>
      </c>
      <c r="E6" s="31" t="n">
        <v>-137535</v>
      </c>
      <c r="F6" s="31" t="n">
        <v>-101089</v>
      </c>
    </row>
    <row r="7">
      <c r="A7" s="6" t="inlineStr">
        <is>
          <t>Cash from financing activities</t>
        </is>
      </c>
      <c r="B7" s="33" t="n">
        <v>17289</v>
      </c>
      <c r="C7" s="33" t="n">
        <v>10455</v>
      </c>
      <c r="D7" s="33" t="n">
        <v>-16646</v>
      </c>
      <c r="E7" s="33" t="n">
        <v>-31891</v>
      </c>
      <c r="F7" s="33" t="n">
        <v>-51549</v>
      </c>
    </row>
    <row r="8">
      <c r="A8" s="4" t="inlineStr">
        <is>
          <t>Net cash flow</t>
        </is>
      </c>
      <c r="B8" s="31" t="n">
        <v>18781</v>
      </c>
      <c r="C8" s="31" t="n">
        <v>32486</v>
      </c>
      <c r="D8" s="31" t="n">
        <v>28561</v>
      </c>
      <c r="E8" s="31" t="n">
        <v>9277</v>
      </c>
      <c r="F8" s="31" t="n">
        <v>39475</v>
      </c>
    </row>
    <row r="9">
      <c r="A9" s="21" t="inlineStr">
        <is>
          <t>Free cash flow</t>
        </is>
      </c>
      <c r="B9" s="7" t="n">
        <v>13646</v>
      </c>
      <c r="C9" s="7" t="n">
        <v>-16770</v>
      </c>
      <c r="D9" s="7" t="n">
        <v>21212</v>
      </c>
      <c r="E9" s="7" t="n">
        <v>41079</v>
      </c>
      <c r="F9" s="7" t="n">
        <v>70023</v>
      </c>
    </row>
    <row r="11" ht="30" customHeight="1">
      <c r="A11" s="13" t="inlineStr">
        <is>
          <t>The inflection that matters: free cash flow has swung from −₹16,770 Cr in FY2023 to ₹70,023 Cr in FY2026 as the 5G and retail capex wave crests. Sustaining it is the core of the investment case.</t>
        </is>
      </c>
    </row>
  </sheetData>
  <mergeCells count="3">
    <mergeCell ref="A11:F11"/>
    <mergeCell ref="A1:F1"/>
    <mergeCell ref="A4:F4"/>
  </mergeCells>
  <pageMargins left="0.75" right="0.7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0" t="inlineStr">
        <is>
          <t>Reliance Industries — Key Ratios (consolidated, ₹ Cr)</t>
        </is>
      </c>
    </row>
    <row r="3">
      <c r="A3" s="10" t="inlineStr">
        <is>
          <t>₹ Crore</t>
        </is>
      </c>
      <c r="B3" s="11" t="inlineStr">
        <is>
          <t>FY2022</t>
        </is>
      </c>
      <c r="C3" s="11" t="inlineStr">
        <is>
          <t>FY2023</t>
        </is>
      </c>
      <c r="D3" s="11" t="inlineStr">
        <is>
          <t>FY2024</t>
        </is>
      </c>
      <c r="E3" s="11" t="inlineStr">
        <is>
          <t>FY2025</t>
        </is>
      </c>
      <c r="F3" s="11" t="inlineStr">
        <is>
          <t>FY2026</t>
        </is>
      </c>
    </row>
    <row r="4">
      <c r="A4" s="3" t="inlineStr">
        <is>
          <t>RETURNS &amp; LEVERAGE</t>
        </is>
      </c>
    </row>
    <row r="5">
      <c r="A5" s="6" t="inlineStr">
        <is>
          <t>ROCE (%)</t>
        </is>
      </c>
      <c r="B5" s="34" t="n">
        <v>8</v>
      </c>
      <c r="C5" s="34" t="n">
        <v>9</v>
      </c>
      <c r="D5" s="34" t="n">
        <v>10</v>
      </c>
      <c r="E5" s="34" t="n">
        <v>10</v>
      </c>
      <c r="F5" s="34" t="n">
        <v>10.3</v>
      </c>
    </row>
    <row r="6">
      <c r="A6" s="4" t="inlineStr">
        <is>
          <t>ROE (%)</t>
        </is>
      </c>
      <c r="B6" s="32" t="n">
        <v>9.199999999999999</v>
      </c>
      <c r="C6" s="32" t="n">
        <v>9.9</v>
      </c>
      <c r="D6" s="32" t="n">
        <v>10.4</v>
      </c>
      <c r="E6" s="32" t="n">
        <v>9.9</v>
      </c>
      <c r="F6" s="32" t="n">
        <v>8.9</v>
      </c>
    </row>
    <row r="7">
      <c r="A7" s="6" t="inlineStr">
        <is>
          <t>Debt to equity (x)</t>
        </is>
      </c>
      <c r="B7" s="33" t="n">
        <v>0.41</v>
      </c>
      <c r="C7" s="33" t="n">
        <v>0.63</v>
      </c>
      <c r="D7" s="33" t="n">
        <v>0.44</v>
      </c>
      <c r="E7" s="33" t="n">
        <v>0.44</v>
      </c>
      <c r="F7" s="33" t="n">
        <v>0.45</v>
      </c>
    </row>
    <row r="8">
      <c r="A8" s="4" t="inlineStr">
        <is>
          <t>Net debt / EBITDA (x)</t>
        </is>
      </c>
      <c r="B8" s="31" t="n">
        <v>1.1</v>
      </c>
      <c r="C8" s="31" t="n">
        <v>1.6</v>
      </c>
      <c r="D8" s="31" t="n">
        <v>1</v>
      </c>
      <c r="E8" s="31" t="n">
        <v>0.9</v>
      </c>
      <c r="F8" s="31" t="n">
        <v>0.7</v>
      </c>
    </row>
    <row r="9">
      <c r="A9" s="3" t="inlineStr">
        <is>
          <t>GROWTH</t>
        </is>
      </c>
    </row>
    <row r="10">
      <c r="A10" s="4" t="inlineStr">
        <is>
          <t>Revenue growth (%)</t>
        </is>
      </c>
      <c r="B10" s="32" t="n">
        <v>47</v>
      </c>
      <c r="C10" s="32" t="n">
        <v>26.2</v>
      </c>
      <c r="D10" s="32" t="n">
        <v>2.6</v>
      </c>
      <c r="E10" s="32" t="n">
        <v>7.1</v>
      </c>
      <c r="F10" s="32" t="n">
        <v>9.6</v>
      </c>
    </row>
    <row r="11">
      <c r="A11" s="6" t="inlineStr">
        <is>
          <t>EBITDA growth (%)</t>
        </is>
      </c>
      <c r="B11" s="34" t="n">
        <v>34.4</v>
      </c>
      <c r="C11" s="34" t="n">
        <v>31.1</v>
      </c>
      <c r="D11" s="34" t="n">
        <v>14.2</v>
      </c>
      <c r="E11" s="34" t="n">
        <v>1.9</v>
      </c>
      <c r="F11" s="34" t="n">
        <v>8.1</v>
      </c>
    </row>
    <row r="12">
      <c r="A12" s="4" t="inlineStr">
        <is>
          <t>Net profit growth (%)</t>
        </is>
      </c>
      <c r="B12" s="32" t="n">
        <v>26.2</v>
      </c>
      <c r="C12" s="32" t="n">
        <v>9.199999999999999</v>
      </c>
      <c r="D12" s="32" t="n">
        <v>6.7</v>
      </c>
      <c r="E12" s="32" t="n">
        <v>2.9</v>
      </c>
      <c r="F12" s="32" t="n">
        <v>17.8</v>
      </c>
    </row>
    <row r="14" ht="30" customHeight="1">
      <c r="A14" s="13" t="inlineStr">
        <is>
          <t>The tension in one table: revenue and profit compound, but ROE has drifted down to 8.9% — a decade of heavy capex has not yet earned its cost of capital. That is precisely why the market applies a conglomerate discount.</t>
        </is>
      </c>
    </row>
  </sheetData>
  <mergeCells count="4">
    <mergeCell ref="A14:F14"/>
    <mergeCell ref="A1:F1"/>
    <mergeCell ref="A9:F9"/>
    <mergeCell ref="A4:F4"/>
  </mergeCells>
  <pageMargins left="0.75" right="0.75" top="1" bottom="1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0" t="inlineStr">
        <is>
          <t>Reliance Industries — Comparable Companies</t>
        </is>
      </c>
    </row>
    <row r="3" ht="30" customHeight="1">
      <c r="A3" s="13" t="inlineStr">
        <is>
          <t>RIL has no true listed comparable — that is the analytical point. Domestic refiners are the only direct peers for O2C, while Jio and Retail must be benchmarked against telecom and retail names. Hence sum-of-the-parts.</t>
        </is>
      </c>
    </row>
    <row r="5">
      <c r="A5" s="10" t="inlineStr">
        <is>
          <t>Company</t>
        </is>
      </c>
      <c r="B5" s="11" t="inlineStr">
        <is>
          <t>CMP (₹)</t>
        </is>
      </c>
      <c r="C5" s="11" t="inlineStr">
        <is>
          <t>P/E (x)</t>
        </is>
      </c>
      <c r="D5" s="11" t="inlineStr">
        <is>
          <t>Mkt cap (₹ Cr)</t>
        </is>
      </c>
      <c r="E5" s="11" t="inlineStr">
        <is>
          <t>ROCE (%)</t>
        </is>
      </c>
      <c r="F5" s="11" t="inlineStr">
        <is>
          <t>Relevance</t>
        </is>
      </c>
    </row>
    <row r="6">
      <c r="A6" s="35" t="inlineStr">
        <is>
          <t>Reliance Industries</t>
        </is>
      </c>
      <c r="B6" s="36" t="n">
        <v>1306</v>
      </c>
      <c r="C6" s="37" t="n">
        <v>23.6</v>
      </c>
      <c r="D6" s="38" t="n">
        <v>1767349</v>
      </c>
      <c r="E6" s="37" t="n">
        <v>10.3</v>
      </c>
      <c r="F6" s="39" t="inlineStr">
        <is>
          <t>Subject company</t>
        </is>
      </c>
    </row>
    <row r="7">
      <c r="A7" s="6" t="inlineStr">
        <is>
          <t>Indian Oil (IOCL)</t>
        </is>
      </c>
      <c r="B7" s="40" t="n">
        <v>143.45</v>
      </c>
      <c r="C7" s="18" t="n">
        <v>6</v>
      </c>
      <c r="D7" s="17" t="n">
        <v>202569</v>
      </c>
      <c r="E7" s="18" t="n">
        <v>18.8</v>
      </c>
      <c r="F7" s="12" t="inlineStr">
        <is>
          <t>O2C peer — pure refining</t>
        </is>
      </c>
    </row>
    <row r="8">
      <c r="A8" s="4" t="inlineStr">
        <is>
          <t>BPCL</t>
        </is>
      </c>
      <c r="B8" s="36" t="n">
        <v>325.5</v>
      </c>
      <c r="C8" s="37" t="n">
        <v>9.1</v>
      </c>
      <c r="D8" s="38" t="n">
        <v>141218</v>
      </c>
      <c r="E8" s="37" t="n">
        <v>25.7</v>
      </c>
      <c r="F8" s="39" t="inlineStr">
        <is>
          <t>O2C peer</t>
        </is>
      </c>
    </row>
    <row r="9">
      <c r="A9" s="6" t="inlineStr">
        <is>
          <t>HPCL</t>
        </is>
      </c>
      <c r="B9" s="40" t="n">
        <v>394.75</v>
      </c>
      <c r="C9" s="18" t="n">
        <v>50.3</v>
      </c>
      <c r="D9" s="17" t="n">
        <v>83996</v>
      </c>
      <c r="E9" s="18" t="n">
        <v>22.2</v>
      </c>
      <c r="F9" s="12" t="inlineStr">
        <is>
          <t>O2C peer</t>
        </is>
      </c>
    </row>
    <row r="10">
      <c r="A10" s="4" t="inlineStr">
        <is>
          <t>MRPL</t>
        </is>
      </c>
      <c r="B10" s="36" t="n">
        <v>170.7</v>
      </c>
      <c r="C10" s="37" t="n">
        <v>10.8</v>
      </c>
      <c r="D10" s="38" t="n">
        <v>29917</v>
      </c>
      <c r="E10" s="37" t="n">
        <v>18</v>
      </c>
      <c r="F10" s="39" t="inlineStr">
        <is>
          <t>O2C peer</t>
        </is>
      </c>
    </row>
    <row r="11">
      <c r="A11" s="21" t="inlineStr">
        <is>
          <t>Refiner median</t>
        </is>
      </c>
      <c r="B11" s="20" t="n"/>
      <c r="C11" s="18" t="n">
        <v>10.1</v>
      </c>
      <c r="D11" s="17" t="n">
        <v>29917</v>
      </c>
      <c r="E11" s="18" t="n">
        <v>18.8</v>
      </c>
      <c r="F11" s="12" t="inlineStr">
        <is>
          <t>Median of listed refiners</t>
        </is>
      </c>
    </row>
    <row r="13">
      <c r="A13" s="3" t="inlineStr">
        <is>
          <t>SEGMENT BENCHMARKS USED IN THE SOTP</t>
        </is>
      </c>
    </row>
    <row r="14">
      <c r="A14" s="10" t="inlineStr">
        <is>
          <t>Benchmark</t>
        </is>
      </c>
      <c r="B14" s="11" t="inlineStr">
        <is>
          <t>Multiple</t>
        </is>
      </c>
      <c r="C14" s="11" t="inlineStr">
        <is>
          <t>Applied to RIL segment</t>
        </is>
      </c>
      <c r="D14" s="11" t="inlineStr">
        <is>
          <t>Comment</t>
        </is>
      </c>
    </row>
    <row r="15">
      <c r="A15" s="6" t="inlineStr">
        <is>
          <t>Bharti Airtel EV/EBITDA</t>
        </is>
      </c>
      <c r="B15" s="20" t="inlineStr">
        <is>
          <t>~14.5x</t>
        </is>
      </c>
      <c r="C15" s="6" t="inlineStr">
        <is>
          <t>Jio at 15x</t>
        </is>
      </c>
      <c r="D15" s="12" t="inlineStr">
        <is>
          <t>Jio grows faster at a 53% margin</t>
        </is>
      </c>
    </row>
    <row r="16">
      <c r="A16" s="6" t="inlineStr">
        <is>
          <t>Jio IPO indicated band</t>
        </is>
      </c>
      <c r="B16" s="20" t="inlineStr">
        <is>
          <t>~17.1x</t>
        </is>
      </c>
      <c r="C16" s="6" t="inlineStr">
        <is>
          <t>Jio upside case</t>
        </is>
      </c>
      <c r="D16" s="12" t="inlineStr">
        <is>
          <t>₹12–13 lakh Cr expected valuation</t>
        </is>
      </c>
    </row>
    <row r="17">
      <c r="A17" s="6" t="inlineStr">
        <is>
          <t>Indian organised retail</t>
        </is>
      </c>
      <c r="B17" s="20" t="inlineStr">
        <is>
          <t>25–30x</t>
        </is>
      </c>
      <c r="C17" s="6" t="inlineStr">
        <is>
          <t>Retail at 24x</t>
        </is>
      </c>
      <c r="D17" s="12" t="inlineStr">
        <is>
          <t>Discounted for stalled EBITDA growth</t>
        </is>
      </c>
    </row>
    <row r="18">
      <c r="A18" s="6" t="inlineStr">
        <is>
          <t>Global refining / petchem</t>
        </is>
      </c>
      <c r="B18" s="20" t="inlineStr">
        <is>
          <t>6–8x</t>
        </is>
      </c>
      <c r="C18" s="6" t="inlineStr">
        <is>
          <t>O2C at 7x</t>
        </is>
      </c>
      <c r="D18" s="12" t="inlineStr">
        <is>
          <t>Mid-cycle, cyclical earnings</t>
        </is>
      </c>
    </row>
  </sheetData>
  <mergeCells count="3">
    <mergeCell ref="A3:F3"/>
    <mergeCell ref="A13:F13"/>
    <mergeCell ref="A1:F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2026-08-04T04:46:31Z</dcterms:created>
  <dcterms:modified xmlns:dcterms="http://purl.org/dc/terms/" xmlns:xsi="http://www.w3.org/2001/XMLSchema-instance" xsi:type="dcterms:W3CDTF">2026-08-04T04:55:52Z</dcterms:modified>
</cp:coreProperties>
</file>