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bjitmukherjee/Desktop/IB INDEPENDENT/ALPHABET (GOOGLE)/"/>
    </mc:Choice>
  </mc:AlternateContent>
  <xr:revisionPtr revIDLastSave="0" documentId="13_ncr:1_{A116DAC5-4BBB-1B44-9013-B2BD9C8B6ECE}" xr6:coauthVersionLast="47" xr6:coauthVersionMax="47" xr10:uidLastSave="{00000000-0000-0000-0000-000000000000}"/>
  <bookViews>
    <workbookView xWindow="0" yWindow="660" windowWidth="29400" windowHeight="18460" tabRatio="500" activeTab="3" xr2:uid="{00000000-000D-0000-FFFF-FFFF00000000}"/>
  </bookViews>
  <sheets>
    <sheet name="Income Statement" sheetId="1" r:id="rId1"/>
    <sheet name="Balance Sheet" sheetId="2" r:id="rId2"/>
    <sheet name="Cash Flow Statement" sheetId="3" r:id="rId3"/>
    <sheet name="Key Metrics" sheetId="4" r:id="rId4"/>
    <sheet name="Revenue Breakdown" sheetId="5" r:id="rId5"/>
    <sheet name="Model Inputs" sheetId="6" r:id="rId6"/>
    <sheet name="Peer Comps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3" l="1"/>
  <c r="B10" i="2"/>
  <c r="D12" i="7"/>
  <c r="D9" i="7"/>
  <c r="D8" i="7"/>
  <c r="D7" i="7"/>
  <c r="D6" i="7"/>
  <c r="D5" i="7"/>
  <c r="F9" i="5"/>
  <c r="E9" i="5"/>
  <c r="D9" i="5"/>
  <c r="C9" i="5"/>
  <c r="B9" i="5"/>
  <c r="D31" i="3"/>
  <c r="C31" i="3"/>
  <c r="B31" i="3"/>
  <c r="G29" i="3"/>
  <c r="F29" i="3"/>
  <c r="E29" i="3"/>
  <c r="D29" i="3"/>
  <c r="C29" i="3"/>
  <c r="B29" i="3"/>
  <c r="F13" i="3"/>
  <c r="E13" i="3"/>
  <c r="D13" i="3"/>
  <c r="C13" i="3"/>
  <c r="B13" i="3"/>
  <c r="G43" i="2"/>
  <c r="F43" i="2"/>
  <c r="E43" i="2"/>
  <c r="D43" i="2"/>
  <c r="C43" i="2"/>
  <c r="B43" i="2"/>
  <c r="G37" i="2"/>
  <c r="F37" i="2"/>
  <c r="E37" i="2"/>
  <c r="D37" i="2"/>
  <c r="G35" i="2"/>
  <c r="F35" i="2"/>
  <c r="E35" i="2"/>
  <c r="D35" i="2"/>
  <c r="C35" i="2"/>
  <c r="B35" i="2"/>
  <c r="G29" i="2"/>
  <c r="F29" i="2"/>
  <c r="E29" i="2"/>
  <c r="D29" i="2"/>
  <c r="C29" i="2"/>
  <c r="B29" i="2"/>
  <c r="G18" i="2"/>
  <c r="F18" i="2"/>
  <c r="E18" i="2"/>
  <c r="D18" i="2"/>
  <c r="C18" i="2"/>
  <c r="B18" i="2"/>
  <c r="G10" i="2"/>
  <c r="F10" i="2"/>
  <c r="E10" i="2"/>
  <c r="D10" i="2"/>
  <c r="C10" i="2"/>
  <c r="F24" i="1"/>
  <c r="E24" i="1"/>
  <c r="D24" i="1"/>
  <c r="C24" i="1"/>
  <c r="B24" i="1"/>
  <c r="G22" i="1"/>
  <c r="F22" i="1"/>
  <c r="E22" i="1"/>
  <c r="D22" i="1"/>
  <c r="C22" i="1"/>
  <c r="B22" i="1"/>
  <c r="F16" i="1"/>
  <c r="E16" i="1"/>
  <c r="D16" i="1"/>
  <c r="C16" i="1"/>
  <c r="B16" i="1"/>
  <c r="G14" i="1"/>
  <c r="F14" i="1"/>
  <c r="E14" i="1"/>
  <c r="D14" i="1"/>
  <c r="C14" i="1"/>
  <c r="B14" i="1"/>
  <c r="G9" i="1"/>
  <c r="F9" i="1"/>
  <c r="E9" i="1"/>
  <c r="D9" i="1"/>
  <c r="C9" i="1"/>
  <c r="B9" i="1"/>
  <c r="G7" i="1"/>
  <c r="D14" i="7" l="1"/>
  <c r="D15" i="7" s="1"/>
  <c r="D13" i="7"/>
  <c r="G31" i="3"/>
  <c r="E31" i="3"/>
  <c r="F45" i="2"/>
  <c r="G45" i="2"/>
  <c r="C37" i="2"/>
  <c r="C45" i="2" s="1"/>
  <c r="B37" i="2"/>
  <c r="G20" i="2"/>
  <c r="F20" i="2"/>
  <c r="E20" i="2"/>
  <c r="D20" i="2"/>
  <c r="C20" i="2"/>
  <c r="B20" i="2"/>
  <c r="E45" i="2"/>
  <c r="D45" i="2"/>
  <c r="F28" i="1"/>
  <c r="F31" i="1" s="1"/>
  <c r="E28" i="1"/>
  <c r="E31" i="1" s="1"/>
  <c r="D28" i="1"/>
  <c r="D31" i="1" s="1"/>
  <c r="C28" i="1"/>
  <c r="C31" i="1" s="1"/>
  <c r="B28" i="1"/>
  <c r="B31" i="1" s="1"/>
  <c r="F31" i="3"/>
  <c r="G16" i="1"/>
  <c r="G24" i="1" s="1"/>
  <c r="G28" i="1" s="1"/>
  <c r="G31" i="1" s="1"/>
  <c r="B20" i="5"/>
  <c r="B45" i="2" l="1"/>
</calcChain>
</file>

<file path=xl/sharedStrings.xml><?xml version="1.0" encoding="utf-8"?>
<sst xmlns="http://schemas.openxmlformats.org/spreadsheetml/2006/main" count="214" uniqueCount="189">
  <si>
    <t>Alphabet Inc. - Income Statement (USD Millions)</t>
  </si>
  <si>
    <t>Fiscal Year Ended December 31</t>
  </si>
  <si>
    <t>REVENUE</t>
  </si>
  <si>
    <t>Total Revenues</t>
  </si>
  <si>
    <t>COST &amp; EXPENSES</t>
  </si>
  <si>
    <t>Cost of Revenue</t>
  </si>
  <si>
    <t>Gross Profit</t>
  </si>
  <si>
    <t>Operating Expenses:</t>
  </si>
  <si>
    <t>Research &amp; Development</t>
  </si>
  <si>
    <t>Selling, General &amp; Administrative</t>
  </si>
  <si>
    <t>Total Operating Expenses</t>
  </si>
  <si>
    <t>Operating Income (EBIT)</t>
  </si>
  <si>
    <t>OTHER INCOME/EXPENSE</t>
  </si>
  <si>
    <t>Interest Income</t>
  </si>
  <si>
    <t>Interest Expense</t>
  </si>
  <si>
    <t>Other Income/(Expense), net</t>
  </si>
  <si>
    <t>Total Other Income/(Expense)</t>
  </si>
  <si>
    <t>Pre-Tax Income (EBT)</t>
  </si>
  <si>
    <t>Income Tax Provision</t>
  </si>
  <si>
    <t>Net Income</t>
  </si>
  <si>
    <t>SHARES DATA</t>
  </si>
  <si>
    <t>Diluted EPS</t>
  </si>
  <si>
    <t>Diluted Shares Outstanding (M)</t>
  </si>
  <si>
    <t>Alphabet Inc. - Balance Sheet (USD Millions)</t>
  </si>
  <si>
    <t>ASSETS</t>
  </si>
  <si>
    <t>Current Assets:</t>
  </si>
  <si>
    <t>Cash and Cash Equivalents</t>
  </si>
  <si>
    <t>Short-term Investments</t>
  </si>
  <si>
    <t>Accounts Receivable</t>
  </si>
  <si>
    <t>Other Current Assets</t>
  </si>
  <si>
    <t>Total Current Assets</t>
  </si>
  <si>
    <t>Non-Current Assets:</t>
  </si>
  <si>
    <t>Property, Plant &amp; Equipment, net</t>
  </si>
  <si>
    <t>Intangible Assets</t>
  </si>
  <si>
    <t>Goodwill</t>
  </si>
  <si>
    <t>Long-term Investments</t>
  </si>
  <si>
    <t>Other Non-Current Assets</t>
  </si>
  <si>
    <t>Total Non-Current Assets</t>
  </si>
  <si>
    <t>TOTAL ASSETS</t>
  </si>
  <si>
    <t>LIABILITIES</t>
  </si>
  <si>
    <t>Current Liabilities:</t>
  </si>
  <si>
    <t>Accounts Payable</t>
  </si>
  <si>
    <t>Accrued Expenses</t>
  </si>
  <si>
    <t>Deferred Revenue</t>
  </si>
  <si>
    <t>Short-term Debt</t>
  </si>
  <si>
    <t>Other Current Liabilities</t>
  </si>
  <si>
    <t>Total Current Liabilities</t>
  </si>
  <si>
    <t>Non-Current Liabilities:</t>
  </si>
  <si>
    <t>Long-term Debt</t>
  </si>
  <si>
    <t>Deferred Tax Liabilities</t>
  </si>
  <si>
    <t>Other Non-Current Liabilities</t>
  </si>
  <si>
    <t>Total Non-Current Liabilities</t>
  </si>
  <si>
    <t>TOTAL LIABILITIES</t>
  </si>
  <si>
    <t>STOCKHOLDERS' EQUITY</t>
  </si>
  <si>
    <t>Common Stock</t>
  </si>
  <si>
    <t>Retained Earnings</t>
  </si>
  <si>
    <t>Accumulated Other Comprehensive Income</t>
  </si>
  <si>
    <t>Total Stockholders' Equity</t>
  </si>
  <si>
    <t>TOTAL LIABILITIES &amp; EQUITY</t>
  </si>
  <si>
    <t>Alphabet Inc. - Cash Flow Statement (USD Millions)</t>
  </si>
  <si>
    <t>OPERATING ACTIVITIES</t>
  </si>
  <si>
    <t>Depreciation &amp; Amortization</t>
  </si>
  <si>
    <t>Stock-Based Compensation</t>
  </si>
  <si>
    <t>Deferred Taxes</t>
  </si>
  <si>
    <t>Changes in Working Capital:</t>
  </si>
  <si>
    <t>Other Operating Activities</t>
  </si>
  <si>
    <t>Net Cash from Operating Activities</t>
  </si>
  <si>
    <t>INVESTING ACTIVITIES</t>
  </si>
  <si>
    <t>Capital Expenditures (CapEx)</t>
  </si>
  <si>
    <t>Purchase of Investments</t>
  </si>
  <si>
    <t>Sale/Maturity of Investments</t>
  </si>
  <si>
    <t>Acquisitions, net</t>
  </si>
  <si>
    <t>Other Investing Activities</t>
  </si>
  <si>
    <t>Net Cash from Investing Activities</t>
  </si>
  <si>
    <t>FINANCING ACTIVITIES</t>
  </si>
  <si>
    <t>Issuance of Debt</t>
  </si>
  <si>
    <t>Repayment of Debt</t>
  </si>
  <si>
    <t>Stock Repurchases</t>
  </si>
  <si>
    <t>Dividends Paid</t>
  </si>
  <si>
    <t>Other Financing Activities</t>
  </si>
  <si>
    <t>Net Cash from Financing Activities</t>
  </si>
  <si>
    <t>Net Change in Cash</t>
  </si>
  <si>
    <t>Cash at Beginning of Period</t>
  </si>
  <si>
    <t>Cash at End of Period</t>
  </si>
  <si>
    <t>KEY METRICS</t>
  </si>
  <si>
    <t>Free Cash Flow (OCF - CapEx)</t>
  </si>
  <si>
    <t>Alphabet Inc. - Key Operating Metrics</t>
  </si>
  <si>
    <t>PROFITABILITY METRICS</t>
  </si>
  <si>
    <t>Gross Margin %</t>
  </si>
  <si>
    <t>All units are in USD millions</t>
  </si>
  <si>
    <t>Operating Margin %</t>
  </si>
  <si>
    <t>Net Profit Margin %</t>
  </si>
  <si>
    <t>RETURN METRICS</t>
  </si>
  <si>
    <t>Return on Assets (ROA) %</t>
  </si>
  <si>
    <t>Return on Equity (ROE) %</t>
  </si>
  <si>
    <t>LIQUIDITY RATIOS</t>
  </si>
  <si>
    <t>Current Ratio</t>
  </si>
  <si>
    <t>Quick Ratio</t>
  </si>
  <si>
    <t>LEVERAGE RATIOS</t>
  </si>
  <si>
    <t>Debt to Equity</t>
  </si>
  <si>
    <t>Debt to Assets</t>
  </si>
  <si>
    <t>EFFICIENCY METRICS</t>
  </si>
  <si>
    <t>Asset Turnover</t>
  </si>
  <si>
    <t>CASH FLOW METRICS</t>
  </si>
  <si>
    <t>Operating Cash Flow</t>
  </si>
  <si>
    <t>Free Cash Flow</t>
  </si>
  <si>
    <t>FCF Margin %</t>
  </si>
  <si>
    <t>VALUATION DATA (for reference)</t>
  </si>
  <si>
    <t>EPS (Diluted)</t>
  </si>
  <si>
    <t>Alphabet Inc. - Revenue Breakdown by Segment</t>
  </si>
  <si>
    <t>GOOGLE SERVICES</t>
  </si>
  <si>
    <t>Google Search &amp; Other</t>
  </si>
  <si>
    <t>YouTube Ads</t>
  </si>
  <si>
    <t>Google Network</t>
  </si>
  <si>
    <t>Subscriptions, Platforms &amp; Devices</t>
  </si>
  <si>
    <t>Total Google Services Revenue</t>
  </si>
  <si>
    <t>GOOGLE CLOUD</t>
  </si>
  <si>
    <t>Google Cloud Revenue</t>
  </si>
  <si>
    <t>OTHER BETS</t>
  </si>
  <si>
    <t>Other Bets Revenue</t>
  </si>
  <si>
    <t>HEDGING GAINS/LOSSES</t>
  </si>
  <si>
    <t>Other Revenues &amp; Hedging</t>
  </si>
  <si>
    <t>TOTAL REVENUES</t>
  </si>
  <si>
    <t>OPERATING INCOME BY SEGMENT</t>
  </si>
  <si>
    <t>Google Services Operating Income</t>
  </si>
  <si>
    <t>Google Cloud Operating Income</t>
  </si>
  <si>
    <t>Other Bets Operating Income</t>
  </si>
  <si>
    <t>Corporate Costs (unallocated)</t>
  </si>
  <si>
    <t>Total Operating Income</t>
  </si>
  <si>
    <t>DCF &amp; VALUATION MODEL INPUTS</t>
  </si>
  <si>
    <t>SECTION 1: COMPANY DATA</t>
  </si>
  <si>
    <t>Company Name</t>
  </si>
  <si>
    <t>Alphabet Inc. (Google)</t>
  </si>
  <si>
    <t>Ticker</t>
  </si>
  <si>
    <t>GOOGL / GOOG</t>
  </si>
  <si>
    <t>Fiscal Year End</t>
  </si>
  <si>
    <t>December 31, 2024</t>
  </si>
  <si>
    <t>SECTION 2: CURRENT FINANCIAL DATA (FY 2024)</t>
  </si>
  <si>
    <t>Revenue (in millions)</t>
  </si>
  <si>
    <t>Total Debt</t>
  </si>
  <si>
    <t>Cash &amp; Equivalents</t>
  </si>
  <si>
    <t>Shares Outstanding (millions)</t>
  </si>
  <si>
    <t>SECTION 3: DCF MODEL ASSUMPTIONS</t>
  </si>
  <si>
    <t>Revenue Growth Rate (Next 5Y)</t>
  </si>
  <si>
    <t>← Adjust as needed</t>
  </si>
  <si>
    <t>Terminal Growth Rate</t>
  </si>
  <si>
    <t>Operating Margin (Target)</t>
  </si>
  <si>
    <t>Tax Rate</t>
  </si>
  <si>
    <t>← Based on recent effective rate</t>
  </si>
  <si>
    <t>Discount Rate (WACC)</t>
  </si>
  <si>
    <t>← Adjust based on WACC calculation</t>
  </si>
  <si>
    <t>SECTION 4: PE RATIO INPUTS</t>
  </si>
  <si>
    <t>Current Stock Price</t>
  </si>
  <si>
    <t>Enter Current Price</t>
  </si>
  <si>
    <t>← Update with live data</t>
  </si>
  <si>
    <t>Diluted EPS (FY 2024)</t>
  </si>
  <si>
    <t>Forward EPS (FY 2025E)</t>
  </si>
  <si>
    <t>Enter Estimate</t>
  </si>
  <si>
    <t>← Based on analyst consensus</t>
  </si>
  <si>
    <t>SECTION 5: COMPARABLE COMPANIES</t>
  </si>
  <si>
    <t>Company</t>
  </si>
  <si>
    <t>PE Ratio</t>
  </si>
  <si>
    <t>Market Cap</t>
  </si>
  <si>
    <t>Microsoft</t>
  </si>
  <si>
    <t>Enter</t>
  </si>
  <si>
    <t>Apple</t>
  </si>
  <si>
    <t>Meta Platforms</t>
  </si>
  <si>
    <t>Amazon</t>
  </si>
  <si>
    <t>Industry Average PE</t>
  </si>
  <si>
    <t>Calculate</t>
  </si>
  <si>
    <t>SECTION 6: NOTES &amp; INSTRUCTIONS</t>
  </si>
  <si>
    <t>Next Steps:</t>
  </si>
  <si>
    <t>1. Update stock price and forward EPS with current data</t>
  </si>
  <si>
    <t>2. Adjust DCF assumptions based on your analysis</t>
  </si>
  <si>
    <t>3. Build DCF projection model in next sheet</t>
  </si>
  <si>
    <t>4. Calculate PE ratios and compare to peers</t>
  </si>
  <si>
    <t>5. Perform sensitivity analysis on key assumptions</t>
  </si>
  <si>
    <t>Alphabet — Peer Comparison (Comparable Company Analysis)</t>
  </si>
  <si>
    <t>Researched Jun 2026 · update with live data before use</t>
  </si>
  <si>
    <t>Price ($)</t>
  </si>
  <si>
    <t>EPS ($)</t>
  </si>
  <si>
    <t>P/E (x)</t>
  </si>
  <si>
    <t>Alphabet ★</t>
  </si>
  <si>
    <t>COMPARABLE-COMPANY SUMMARY</t>
  </si>
  <si>
    <t>Peer median P/E (x)</t>
  </si>
  <si>
    <t>Alphabet P/E premium / (discount) to peers</t>
  </si>
  <si>
    <t>Comps-implied value — peer median P/E × EPS ($)</t>
  </si>
  <si>
    <t>Comps-implied vs current price</t>
  </si>
  <si>
    <t>Note: Alphabet sits mid-pack on trailing P/E despite the strongest cloud/AI growth in the group — the basis of the BUY: quality growth at a market multiple.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</si>
</sst>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\-??_);_(@_)"/>
    <numFmt numFmtId="165" formatCode="_(* #,##0_);_(* \(#,##0\);_(* \-??_);_(@_)"/>
    <numFmt numFmtId="166" formatCode="#,##0;\(#,##0\)"/>
    <numFmt numFmtId="167" formatCode="0.0&quot;x&quot;"/>
    <numFmt numFmtId="168" formatCode="0.0%"/>
  </numFmts>
  <fonts count="17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74EA6"/>
      <name val="Arial"/>
      <family val="2"/>
    </font>
    <font>
      <sz val="10"/>
      <color rgb="FF1F1F1F"/>
      <name val="Arial"/>
      <family val="2"/>
    </font>
    <font>
      <sz val="10"/>
      <color rgb="FF0000FF"/>
      <name val="Arial"/>
      <family val="2"/>
    </font>
    <font>
      <sz val="10"/>
      <color rgb="FFFFFFFF"/>
      <name val="Arial"/>
      <family val="2"/>
    </font>
    <font>
      <b/>
      <sz val="16"/>
      <color rgb="FF1F1F1F"/>
      <name val="Arial"/>
      <family val="2"/>
    </font>
    <font>
      <sz val="11"/>
      <color theme="0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rgb="FFFFFFFF"/>
      <name val="Calibri"/>
      <family val="2"/>
    </font>
    <font>
      <i/>
      <sz val="9.5"/>
      <color rgb="FF595959"/>
      <name val="Calibri"/>
      <family val="2"/>
    </font>
    <font>
      <b/>
      <sz val="10.5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i/>
      <sz val="9.5"/>
      <color rgb="FF595959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74EA6"/>
        <bgColor rgb="FF333399"/>
      </patternFill>
    </fill>
    <fill>
      <patternFill patternType="solid">
        <fgColor rgb="FFD2E3FC"/>
        <bgColor rgb="FFDDDDDD"/>
      </patternFill>
    </fill>
    <fill>
      <patternFill patternType="solid">
        <fgColor rgb="FFE8F0FE"/>
        <bgColor rgb="FFD2E3FC"/>
      </patternFill>
    </fill>
    <fill>
      <patternFill patternType="solid">
        <fgColor rgb="FF4285F4"/>
        <bgColor rgb="FF666699"/>
      </patternFill>
    </fill>
    <fill>
      <patternFill patternType="solid">
        <fgColor theme="9" tint="-0.249977111117893"/>
        <bgColor rgb="FFFF9900"/>
      </patternFill>
    </fill>
    <fill>
      <patternFill patternType="solid">
        <fgColor rgb="FF1A73E8"/>
      </patternFill>
    </fill>
    <fill>
      <patternFill patternType="solid">
        <fgColor rgb="FFEEF2F8"/>
      </patternFill>
    </fill>
  </fills>
  <borders count="9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34A853"/>
      </top>
      <bottom style="thin">
        <color rgb="FF34A85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1" xfId="0" applyFont="1" applyFill="1" applyBorder="1" applyAlignment="1">
      <alignment horizontal="left" vertical="center" inden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3" fillId="2" borderId="1" xfId="0" applyFont="1" applyFill="1" applyBorder="1"/>
    <xf numFmtId="164" fontId="3" fillId="2" borderId="1" xfId="0" applyNumberFormat="1" applyFont="1" applyFill="1" applyBorder="1"/>
    <xf numFmtId="0" fontId="4" fillId="3" borderId="2" xfId="0" applyFont="1" applyFill="1" applyBorder="1"/>
    <xf numFmtId="165" fontId="4" fillId="3" borderId="2" xfId="0" applyNumberFormat="1" applyFont="1" applyFill="1" applyBorder="1"/>
    <xf numFmtId="165" fontId="0" fillId="0" borderId="1" xfId="0" applyNumberFormat="1" applyBorder="1"/>
    <xf numFmtId="0" fontId="5" fillId="4" borderId="1" xfId="0" applyFont="1" applyFill="1" applyBorder="1"/>
    <xf numFmtId="165" fontId="5" fillId="4" borderId="1" xfId="0" applyNumberFormat="1" applyFont="1" applyFill="1" applyBorder="1"/>
    <xf numFmtId="0" fontId="5" fillId="0" borderId="1" xfId="0" applyFont="1" applyBorder="1"/>
    <xf numFmtId="165" fontId="6" fillId="0" borderId="1" xfId="0" applyNumberFormat="1" applyFont="1" applyBorder="1"/>
    <xf numFmtId="0" fontId="3" fillId="5" borderId="1" xfId="0" applyFont="1" applyFill="1" applyBorder="1"/>
    <xf numFmtId="165" fontId="7" fillId="5" borderId="1" xfId="0" applyNumberFormat="1" applyFont="1" applyFill="1" applyBorder="1"/>
    <xf numFmtId="165" fontId="6" fillId="4" borderId="1" xfId="0" applyNumberFormat="1" applyFont="1" applyFill="1" applyBorder="1"/>
    <xf numFmtId="164" fontId="7" fillId="5" borderId="1" xfId="0" applyNumberFormat="1" applyFont="1" applyFill="1" applyBorder="1"/>
    <xf numFmtId="164" fontId="5" fillId="0" borderId="1" xfId="0" applyNumberFormat="1" applyFont="1" applyBorder="1"/>
    <xf numFmtId="165" fontId="3" fillId="2" borderId="1" xfId="0" applyNumberFormat="1" applyFont="1" applyFill="1" applyBorder="1"/>
    <xf numFmtId="0" fontId="2" fillId="2" borderId="0" xfId="0" applyFont="1" applyFill="1"/>
    <xf numFmtId="165" fontId="0" fillId="0" borderId="0" xfId="0" applyNumberFormat="1"/>
    <xf numFmtId="10" fontId="6" fillId="4" borderId="1" xfId="0" applyNumberFormat="1" applyFont="1" applyFill="1" applyBorder="1"/>
    <xf numFmtId="0" fontId="9" fillId="6" borderId="1" xfId="0" applyFont="1" applyFill="1" applyBorder="1"/>
    <xf numFmtId="0" fontId="7" fillId="5" borderId="1" xfId="0" applyFont="1" applyFill="1" applyBorder="1"/>
    <xf numFmtId="0" fontId="6" fillId="4" borderId="1" xfId="0" applyFont="1" applyFill="1" applyBorder="1"/>
    <xf numFmtId="166" fontId="6" fillId="4" borderId="1" xfId="0" applyNumberFormat="1" applyFont="1" applyFill="1" applyBorder="1"/>
    <xf numFmtId="166" fontId="4" fillId="3" borderId="2" xfId="0" applyNumberFormat="1" applyFont="1" applyFill="1" applyBorder="1"/>
    <xf numFmtId="166" fontId="6" fillId="0" borderId="1" xfId="0" applyNumberFormat="1" applyFont="1" applyBorder="1"/>
    <xf numFmtId="1" fontId="4" fillId="3" borderId="2" xfId="0" applyNumberFormat="1" applyFont="1" applyFill="1" applyBorder="1"/>
    <xf numFmtId="1" fontId="0" fillId="0" borderId="1" xfId="0" applyNumberFormat="1" applyBorder="1"/>
    <xf numFmtId="1" fontId="7" fillId="5" borderId="1" xfId="0" applyNumberFormat="1" applyFont="1" applyFill="1" applyBorder="1"/>
    <xf numFmtId="1" fontId="6" fillId="0" borderId="1" xfId="0" applyNumberFormat="1" applyFont="1" applyBorder="1"/>
    <xf numFmtId="0" fontId="1" fillId="2" borderId="1" xfId="0" applyFont="1" applyFill="1" applyBorder="1"/>
    <xf numFmtId="0" fontId="1" fillId="2" borderId="3" xfId="0" applyFont="1" applyFill="1" applyBorder="1"/>
    <xf numFmtId="0" fontId="2" fillId="2" borderId="3" xfId="0" applyFont="1" applyFill="1" applyBorder="1"/>
    <xf numFmtId="0" fontId="0" fillId="0" borderId="3" xfId="0" applyBorder="1"/>
    <xf numFmtId="0" fontId="3" fillId="2" borderId="0" xfId="0" applyFont="1" applyFill="1"/>
    <xf numFmtId="0" fontId="10" fillId="0" borderId="0" xfId="0" applyFont="1"/>
    <xf numFmtId="10" fontId="6" fillId="0" borderId="1" xfId="0" applyNumberFormat="1" applyFont="1" applyBorder="1"/>
    <xf numFmtId="2" fontId="6" fillId="4" borderId="1" xfId="0" applyNumberFormat="1" applyFont="1" applyFill="1" applyBorder="1"/>
    <xf numFmtId="0" fontId="13" fillId="7" borderId="6" xfId="0" applyFont="1" applyFill="1" applyBorder="1" applyAlignment="1">
      <alignment horizontal="left"/>
    </xf>
    <xf numFmtId="0" fontId="13" fillId="7" borderId="6" xfId="0" applyFont="1" applyFill="1" applyBorder="1" applyAlignment="1">
      <alignment horizontal="center"/>
    </xf>
    <xf numFmtId="0" fontId="14" fillId="0" borderId="6" xfId="0" applyFont="1" applyBorder="1"/>
    <xf numFmtId="4" fontId="14" fillId="0" borderId="6" xfId="0" applyNumberFormat="1" applyFont="1" applyBorder="1"/>
    <xf numFmtId="167" fontId="14" fillId="0" borderId="6" xfId="0" applyNumberFormat="1" applyFont="1" applyBorder="1"/>
    <xf numFmtId="0" fontId="0" fillId="8" borderId="6" xfId="0" applyFill="1" applyBorder="1"/>
    <xf numFmtId="4" fontId="0" fillId="8" borderId="6" xfId="0" applyNumberFormat="1" applyFill="1" applyBorder="1"/>
    <xf numFmtId="167" fontId="0" fillId="8" borderId="6" xfId="0" applyNumberFormat="1" applyFill="1" applyBorder="1"/>
    <xf numFmtId="0" fontId="0" fillId="0" borderId="6" xfId="0" applyBorder="1"/>
    <xf numFmtId="4" fontId="0" fillId="0" borderId="6" xfId="0" applyNumberFormat="1" applyBorder="1"/>
    <xf numFmtId="167" fontId="0" fillId="0" borderId="6" xfId="0" applyNumberFormat="1" applyBorder="1"/>
    <xf numFmtId="168" fontId="0" fillId="0" borderId="6" xfId="0" applyNumberFormat="1" applyBorder="1"/>
    <xf numFmtId="0" fontId="8" fillId="4" borderId="1" xfId="0" applyFont="1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3" fillId="5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1" fillId="7" borderId="0" xfId="0" applyFont="1" applyFill="1" applyAlignment="1">
      <alignment horizontal="left" vertical="center" indent="1"/>
    </xf>
    <xf numFmtId="0" fontId="0" fillId="0" borderId="0" xfId="0"/>
    <xf numFmtId="0" fontId="16" fillId="0" borderId="0" xfId="0" applyFont="1" applyAlignment="1">
      <alignment vertical="top" wrapText="1"/>
    </xf>
    <xf numFmtId="0" fontId="12" fillId="0" borderId="0" xfId="0" applyFont="1"/>
    <xf numFmtId="0" fontId="15" fillId="7" borderId="6" xfId="0" applyFont="1" applyFill="1" applyBorder="1"/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F0FE"/>
      <rgbColor rgb="FF660066"/>
      <rgbColor rgb="FFFF8080"/>
      <rgbColor rgb="FF174EA6"/>
      <rgbColor rgb="FFD2E3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E46C0A"/>
      <rgbColor rgb="FF666699"/>
      <rgbColor rgb="FF969696"/>
      <rgbColor rgb="FF003366"/>
      <rgbColor rgb="FF34A853"/>
      <rgbColor rgb="FF003300"/>
      <rgbColor rgb="FF333300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4EA6"/>
  </sheetPr>
  <dimension ref="A1:G32"/>
  <sheetViews>
    <sheetView showGridLines="0" zoomScale="125" zoomScaleNormal="125" workbookViewId="0"/>
  </sheetViews>
  <sheetFormatPr baseColWidth="10" defaultColWidth="8.83203125" defaultRowHeight="15" x14ac:dyDescent="0.2"/>
  <cols>
    <col min="1" max="1" width="38" customWidth="1"/>
    <col min="2" max="7" width="13" customWidth="1"/>
  </cols>
  <sheetData>
    <row r="1" spans="1:7" ht="24" customHeight="1" x14ac:dyDescent="0.2">
      <c r="A1" s="1" t="s">
        <v>0</v>
      </c>
      <c r="B1" s="2"/>
      <c r="C1" s="2"/>
      <c r="D1" s="2"/>
      <c r="E1" s="2"/>
      <c r="F1" s="2"/>
      <c r="G1" s="2"/>
    </row>
    <row r="2" spans="1:7" ht="18" customHeight="1" x14ac:dyDescent="0.2">
      <c r="A2" s="3" t="s">
        <v>1</v>
      </c>
      <c r="B2" s="4">
        <v>2020</v>
      </c>
      <c r="C2" s="4">
        <v>2021</v>
      </c>
      <c r="D2" s="4">
        <v>2022</v>
      </c>
      <c r="E2" s="4">
        <v>2023</v>
      </c>
      <c r="F2" s="4">
        <v>2024</v>
      </c>
      <c r="G2" s="4">
        <v>2025</v>
      </c>
    </row>
    <row r="3" spans="1:7" ht="15" customHeight="1" x14ac:dyDescent="0.2">
      <c r="A3" s="5"/>
      <c r="B3" s="6"/>
      <c r="C3" s="6"/>
      <c r="D3" s="6"/>
      <c r="E3" s="6"/>
      <c r="F3" s="6"/>
      <c r="G3" s="6"/>
    </row>
    <row r="4" spans="1:7" ht="15" customHeight="1" x14ac:dyDescent="0.2">
      <c r="A4" s="7" t="s">
        <v>2</v>
      </c>
      <c r="B4" s="8"/>
      <c r="C4" s="8"/>
      <c r="D4" s="8"/>
      <c r="E4" s="8"/>
      <c r="F4" s="8"/>
      <c r="G4" s="8"/>
    </row>
    <row r="5" spans="1:7" ht="15" customHeight="1" x14ac:dyDescent="0.2">
      <c r="A5" s="9" t="s">
        <v>3</v>
      </c>
      <c r="B5" s="10">
        <v>182527</v>
      </c>
      <c r="C5" s="10">
        <v>257637</v>
      </c>
      <c r="D5" s="10">
        <v>282836</v>
      </c>
      <c r="E5" s="10">
        <v>307394</v>
      </c>
      <c r="F5" s="10">
        <v>350018</v>
      </c>
      <c r="G5" s="10">
        <v>402836</v>
      </c>
    </row>
    <row r="6" spans="1:7" ht="15" customHeight="1" x14ac:dyDescent="0.2">
      <c r="A6" s="5"/>
      <c r="B6" s="11"/>
      <c r="C6" s="11"/>
      <c r="D6" s="11"/>
      <c r="E6" s="11"/>
      <c r="F6" s="11"/>
      <c r="G6" s="11"/>
    </row>
    <row r="7" spans="1:7" ht="15" customHeight="1" x14ac:dyDescent="0.2">
      <c r="A7" s="12" t="s">
        <v>4</v>
      </c>
      <c r="B7" s="13"/>
      <c r="C7" s="13"/>
      <c r="D7" s="13"/>
      <c r="E7" s="13"/>
      <c r="F7" s="13"/>
      <c r="G7" s="13">
        <f>B5-B8</f>
        <v>97795</v>
      </c>
    </row>
    <row r="8" spans="1:7" ht="15" customHeight="1" x14ac:dyDescent="0.2">
      <c r="A8" s="14" t="s">
        <v>5</v>
      </c>
      <c r="B8" s="15">
        <v>84732</v>
      </c>
      <c r="C8" s="15">
        <v>110939</v>
      </c>
      <c r="D8" s="15">
        <v>126203</v>
      </c>
      <c r="E8" s="15">
        <v>133332</v>
      </c>
      <c r="F8" s="15">
        <v>146306</v>
      </c>
      <c r="G8" s="15">
        <v>162535</v>
      </c>
    </row>
    <row r="9" spans="1:7" ht="15" customHeight="1" x14ac:dyDescent="0.2">
      <c r="A9" s="9" t="s">
        <v>6</v>
      </c>
      <c r="B9" s="10">
        <f t="shared" ref="B9:G9" si="0">B5-B8</f>
        <v>97795</v>
      </c>
      <c r="C9" s="10">
        <f t="shared" si="0"/>
        <v>146698</v>
      </c>
      <c r="D9" s="10">
        <f t="shared" si="0"/>
        <v>156633</v>
      </c>
      <c r="E9" s="10">
        <f t="shared" si="0"/>
        <v>174062</v>
      </c>
      <c r="F9" s="10">
        <f t="shared" si="0"/>
        <v>203712</v>
      </c>
      <c r="G9" s="10">
        <f t="shared" si="0"/>
        <v>240301</v>
      </c>
    </row>
    <row r="10" spans="1:7" ht="15" customHeight="1" x14ac:dyDescent="0.2">
      <c r="A10" s="5"/>
      <c r="B10" s="11"/>
      <c r="C10" s="11"/>
      <c r="D10" s="11"/>
      <c r="E10" s="11"/>
      <c r="F10" s="11"/>
      <c r="G10" s="11"/>
    </row>
    <row r="11" spans="1:7" ht="15" customHeight="1" x14ac:dyDescent="0.2">
      <c r="A11" s="16" t="s">
        <v>7</v>
      </c>
      <c r="B11" s="17"/>
      <c r="C11" s="17"/>
      <c r="D11" s="17"/>
      <c r="E11" s="17"/>
      <c r="F11" s="17"/>
      <c r="G11" s="17"/>
    </row>
    <row r="12" spans="1:7" ht="15" customHeight="1" x14ac:dyDescent="0.2">
      <c r="A12" s="14" t="s">
        <v>8</v>
      </c>
      <c r="B12" s="15">
        <v>27573</v>
      </c>
      <c r="C12" s="15">
        <v>31562</v>
      </c>
      <c r="D12" s="15">
        <v>39500</v>
      </c>
      <c r="E12" s="15">
        <v>45427</v>
      </c>
      <c r="F12" s="15">
        <v>49326</v>
      </c>
      <c r="G12" s="15">
        <v>61087</v>
      </c>
    </row>
    <row r="13" spans="1:7" ht="15" customHeight="1" x14ac:dyDescent="0.2">
      <c r="A13" s="12" t="s">
        <v>9</v>
      </c>
      <c r="B13" s="18">
        <v>28998</v>
      </c>
      <c r="C13" s="18">
        <v>36422</v>
      </c>
      <c r="D13" s="18">
        <v>42291</v>
      </c>
      <c r="E13" s="18">
        <v>44342</v>
      </c>
      <c r="F13" s="18">
        <v>41996</v>
      </c>
      <c r="G13" s="18">
        <v>50175</v>
      </c>
    </row>
    <row r="14" spans="1:7" ht="15" customHeight="1" x14ac:dyDescent="0.2">
      <c r="A14" s="9" t="s">
        <v>10</v>
      </c>
      <c r="B14" s="10">
        <f t="shared" ref="B14:G14" si="1">B12+B13</f>
        <v>56571</v>
      </c>
      <c r="C14" s="10">
        <f t="shared" si="1"/>
        <v>67984</v>
      </c>
      <c r="D14" s="10">
        <f t="shared" si="1"/>
        <v>81791</v>
      </c>
      <c r="E14" s="10">
        <f t="shared" si="1"/>
        <v>89769</v>
      </c>
      <c r="F14" s="10">
        <f t="shared" si="1"/>
        <v>91322</v>
      </c>
      <c r="G14" s="10">
        <f t="shared" si="1"/>
        <v>111262</v>
      </c>
    </row>
    <row r="15" spans="1:7" ht="15" customHeight="1" x14ac:dyDescent="0.2">
      <c r="A15" s="5"/>
      <c r="B15" s="11"/>
      <c r="C15" s="11"/>
      <c r="D15" s="11"/>
      <c r="E15" s="11"/>
      <c r="F15" s="11"/>
      <c r="G15" s="11"/>
    </row>
    <row r="16" spans="1:7" ht="15" customHeight="1" x14ac:dyDescent="0.2">
      <c r="A16" s="9" t="s">
        <v>11</v>
      </c>
      <c r="B16" s="10">
        <f t="shared" ref="B16:G16" si="2">B9-B14</f>
        <v>41224</v>
      </c>
      <c r="C16" s="10">
        <f t="shared" si="2"/>
        <v>78714</v>
      </c>
      <c r="D16" s="10">
        <f t="shared" si="2"/>
        <v>74842</v>
      </c>
      <c r="E16" s="10">
        <f t="shared" si="2"/>
        <v>84293</v>
      </c>
      <c r="F16" s="10">
        <f t="shared" si="2"/>
        <v>112390</v>
      </c>
      <c r="G16" s="10">
        <f t="shared" si="2"/>
        <v>129039</v>
      </c>
    </row>
    <row r="17" spans="1:7" ht="15" customHeight="1" x14ac:dyDescent="0.2">
      <c r="A17" s="5"/>
      <c r="B17" s="11"/>
      <c r="C17" s="11"/>
      <c r="D17" s="11"/>
      <c r="E17" s="11"/>
      <c r="F17" s="11"/>
      <c r="G17" s="11"/>
    </row>
    <row r="18" spans="1:7" ht="15" customHeight="1" x14ac:dyDescent="0.2">
      <c r="A18" s="16" t="s">
        <v>12</v>
      </c>
      <c r="B18" s="17"/>
      <c r="C18" s="17"/>
      <c r="D18" s="17"/>
      <c r="E18" s="17"/>
      <c r="F18" s="17"/>
      <c r="G18" s="17"/>
    </row>
    <row r="19" spans="1:7" ht="15" customHeight="1" x14ac:dyDescent="0.2">
      <c r="A19" s="14" t="s">
        <v>13</v>
      </c>
      <c r="B19" s="15">
        <v>8104</v>
      </c>
      <c r="C19" s="15">
        <v>13486</v>
      </c>
      <c r="D19" s="15">
        <v>2858</v>
      </c>
      <c r="E19" s="15">
        <v>0</v>
      </c>
      <c r="F19" s="15">
        <v>0</v>
      </c>
      <c r="G19" s="15">
        <v>0</v>
      </c>
    </row>
    <row r="20" spans="1:7" ht="15" customHeight="1" x14ac:dyDescent="0.2">
      <c r="A20" s="12" t="s">
        <v>14</v>
      </c>
      <c r="B20" s="18">
        <v>-135</v>
      </c>
      <c r="C20" s="18">
        <v>-346</v>
      </c>
      <c r="D20" s="18">
        <v>-357</v>
      </c>
      <c r="E20" s="18">
        <v>0</v>
      </c>
      <c r="F20" s="18">
        <v>0</v>
      </c>
      <c r="G20" s="18">
        <v>0</v>
      </c>
    </row>
    <row r="21" spans="1:7" ht="15" customHeight="1" x14ac:dyDescent="0.2">
      <c r="A21" s="14" t="s">
        <v>15</v>
      </c>
      <c r="B21" s="15">
        <v>-1246</v>
      </c>
      <c r="C21" s="15">
        <v>-1562</v>
      </c>
      <c r="D21" s="15">
        <v>93</v>
      </c>
      <c r="E21" s="15">
        <v>1424</v>
      </c>
      <c r="F21" s="15">
        <v>7425</v>
      </c>
      <c r="G21" s="15">
        <v>29787</v>
      </c>
    </row>
    <row r="22" spans="1:7" ht="15" customHeight="1" x14ac:dyDescent="0.2">
      <c r="A22" s="12" t="s">
        <v>16</v>
      </c>
      <c r="B22" s="13">
        <f t="shared" ref="B22:G22" si="3">B19+B20+B21</f>
        <v>6723</v>
      </c>
      <c r="C22" s="13">
        <f t="shared" si="3"/>
        <v>11578</v>
      </c>
      <c r="D22" s="13">
        <f t="shared" si="3"/>
        <v>2594</v>
      </c>
      <c r="E22" s="13">
        <f t="shared" si="3"/>
        <v>1424</v>
      </c>
      <c r="F22" s="13">
        <f t="shared" si="3"/>
        <v>7425</v>
      </c>
      <c r="G22" s="13">
        <f t="shared" si="3"/>
        <v>29787</v>
      </c>
    </row>
    <row r="23" spans="1:7" ht="15" customHeight="1" x14ac:dyDescent="0.2">
      <c r="A23" s="5"/>
      <c r="B23" s="11"/>
      <c r="C23" s="11"/>
      <c r="D23" s="11"/>
      <c r="E23" s="11"/>
      <c r="F23" s="11"/>
      <c r="G23" s="11"/>
    </row>
    <row r="24" spans="1:7" ht="15" customHeight="1" x14ac:dyDescent="0.2">
      <c r="A24" s="12" t="s">
        <v>17</v>
      </c>
      <c r="B24" s="13">
        <f t="shared" ref="B24:G24" si="4">B16+B22</f>
        <v>47947</v>
      </c>
      <c r="C24" s="13">
        <f t="shared" si="4"/>
        <v>90292</v>
      </c>
      <c r="D24" s="13">
        <f t="shared" si="4"/>
        <v>77436</v>
      </c>
      <c r="E24" s="13">
        <f t="shared" si="4"/>
        <v>85717</v>
      </c>
      <c r="F24" s="13">
        <f t="shared" si="4"/>
        <v>119815</v>
      </c>
      <c r="G24" s="13">
        <f t="shared" si="4"/>
        <v>158826</v>
      </c>
    </row>
    <row r="25" spans="1:7" ht="15" customHeight="1" x14ac:dyDescent="0.2">
      <c r="A25" s="5"/>
      <c r="B25" s="11"/>
      <c r="C25" s="11"/>
      <c r="D25" s="11"/>
      <c r="E25" s="11"/>
      <c r="F25" s="11"/>
      <c r="G25" s="11"/>
    </row>
    <row r="26" spans="1:7" ht="15" customHeight="1" x14ac:dyDescent="0.2">
      <c r="A26" s="12" t="s">
        <v>18</v>
      </c>
      <c r="B26" s="18">
        <v>7813</v>
      </c>
      <c r="C26" s="18">
        <v>14701</v>
      </c>
      <c r="D26" s="18">
        <v>11798</v>
      </c>
      <c r="E26" s="18">
        <v>11922</v>
      </c>
      <c r="F26" s="18">
        <v>19697</v>
      </c>
      <c r="G26" s="18">
        <v>26656</v>
      </c>
    </row>
    <row r="27" spans="1:7" ht="15" customHeight="1" x14ac:dyDescent="0.2">
      <c r="A27" s="5"/>
      <c r="B27" s="11"/>
      <c r="C27" s="11"/>
      <c r="D27" s="11"/>
      <c r="E27" s="11"/>
      <c r="F27" s="11"/>
      <c r="G27" s="11"/>
    </row>
    <row r="28" spans="1:7" ht="15" customHeight="1" x14ac:dyDescent="0.2">
      <c r="A28" s="9" t="s">
        <v>19</v>
      </c>
      <c r="B28" s="10">
        <f t="shared" ref="B28:G28" si="5">B24-B26</f>
        <v>40134</v>
      </c>
      <c r="C28" s="10">
        <f t="shared" si="5"/>
        <v>75591</v>
      </c>
      <c r="D28" s="10">
        <f t="shared" si="5"/>
        <v>65638</v>
      </c>
      <c r="E28" s="10">
        <f t="shared" si="5"/>
        <v>73795</v>
      </c>
      <c r="F28" s="10">
        <f t="shared" si="5"/>
        <v>100118</v>
      </c>
      <c r="G28" s="10">
        <f t="shared" si="5"/>
        <v>132170</v>
      </c>
    </row>
    <row r="29" spans="1:7" ht="15" customHeight="1" x14ac:dyDescent="0.2">
      <c r="A29" s="5"/>
      <c r="B29" s="11"/>
      <c r="C29" s="11"/>
      <c r="D29" s="11"/>
      <c r="E29" s="11"/>
      <c r="F29" s="11"/>
      <c r="G29" s="11"/>
    </row>
    <row r="30" spans="1:7" ht="15" customHeight="1" x14ac:dyDescent="0.2">
      <c r="A30" s="16" t="s">
        <v>20</v>
      </c>
      <c r="B30" s="19"/>
      <c r="C30" s="19"/>
      <c r="D30" s="19"/>
      <c r="E30" s="19"/>
      <c r="F30" s="19"/>
      <c r="G30" s="19"/>
    </row>
    <row r="31" spans="1:7" ht="15" customHeight="1" x14ac:dyDescent="0.2">
      <c r="A31" s="14" t="s">
        <v>21</v>
      </c>
      <c r="B31" s="20">
        <f t="shared" ref="B31:G31" si="6">B28/B32</f>
        <v>2.9294890510948903</v>
      </c>
      <c r="C31" s="20">
        <f t="shared" si="6"/>
        <v>5.6109709026128263</v>
      </c>
      <c r="D31" s="20">
        <f t="shared" si="6"/>
        <v>5.1107996574009187</v>
      </c>
      <c r="E31" s="20">
        <f t="shared" si="6"/>
        <v>5.8001257565039692</v>
      </c>
      <c r="F31" s="20">
        <f t="shared" si="6"/>
        <v>8.0435446292279256</v>
      </c>
      <c r="G31" s="20">
        <f t="shared" si="6"/>
        <v>10.807031888798038</v>
      </c>
    </row>
    <row r="32" spans="1:7" ht="15.75" customHeight="1" x14ac:dyDescent="0.2">
      <c r="A32" s="12" t="s">
        <v>22</v>
      </c>
      <c r="B32" s="18">
        <v>13700</v>
      </c>
      <c r="C32" s="18">
        <v>13472</v>
      </c>
      <c r="D32" s="18">
        <v>12843</v>
      </c>
      <c r="E32" s="18">
        <v>12723</v>
      </c>
      <c r="F32" s="18">
        <v>12447</v>
      </c>
      <c r="G32" s="18">
        <v>12230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74EA6"/>
  </sheetPr>
  <dimension ref="A1:G45"/>
  <sheetViews>
    <sheetView showGridLines="0" zoomScale="117" zoomScaleNormal="117" workbookViewId="0"/>
  </sheetViews>
  <sheetFormatPr baseColWidth="10" defaultColWidth="8.83203125" defaultRowHeight="15" x14ac:dyDescent="0.2"/>
  <cols>
    <col min="1" max="1" width="40" customWidth="1"/>
    <col min="2" max="7" width="13" customWidth="1"/>
  </cols>
  <sheetData>
    <row r="1" spans="1:7" ht="24" customHeight="1" x14ac:dyDescent="0.2">
      <c r="A1" s="1" t="s">
        <v>23</v>
      </c>
      <c r="B1" s="2"/>
      <c r="C1" s="2"/>
      <c r="D1" s="2"/>
      <c r="E1" s="2"/>
      <c r="F1" s="2"/>
      <c r="G1" s="2"/>
    </row>
    <row r="2" spans="1:7" ht="18" customHeight="1" x14ac:dyDescent="0.2">
      <c r="A2" s="3" t="s">
        <v>1</v>
      </c>
      <c r="B2" s="4">
        <v>2020</v>
      </c>
      <c r="C2" s="4">
        <v>2021</v>
      </c>
      <c r="D2" s="4">
        <v>2022</v>
      </c>
      <c r="E2" s="4">
        <v>2023</v>
      </c>
      <c r="F2" s="4">
        <v>2024</v>
      </c>
      <c r="G2" s="4">
        <v>2025</v>
      </c>
    </row>
    <row r="3" spans="1:7" ht="15" customHeight="1" x14ac:dyDescent="0.2">
      <c r="A3" s="5"/>
      <c r="B3" s="5"/>
      <c r="C3" s="5"/>
      <c r="D3" s="5"/>
      <c r="E3" s="5"/>
      <c r="F3" s="5"/>
      <c r="G3" s="5"/>
    </row>
    <row r="4" spans="1:7" ht="15" customHeight="1" x14ac:dyDescent="0.2">
      <c r="A4" s="7" t="s">
        <v>24</v>
      </c>
      <c r="B4" s="21"/>
      <c r="C4" s="21"/>
      <c r="D4" s="21"/>
      <c r="E4" s="21"/>
      <c r="F4" s="21"/>
      <c r="G4" s="21"/>
    </row>
    <row r="5" spans="1:7" ht="15" customHeight="1" x14ac:dyDescent="0.2">
      <c r="A5" s="16" t="s">
        <v>25</v>
      </c>
      <c r="B5" s="17"/>
      <c r="C5" s="17"/>
      <c r="D5" s="17"/>
      <c r="E5" s="17"/>
      <c r="F5" s="17"/>
      <c r="G5" s="17"/>
    </row>
    <row r="6" spans="1:7" ht="15" customHeight="1" x14ac:dyDescent="0.2">
      <c r="A6" s="14" t="s">
        <v>26</v>
      </c>
      <c r="B6" s="15">
        <v>26465</v>
      </c>
      <c r="C6" s="15">
        <v>20945</v>
      </c>
      <c r="D6" s="15">
        <v>21879</v>
      </c>
      <c r="E6" s="15">
        <v>24048</v>
      </c>
      <c r="F6" s="15">
        <v>23466</v>
      </c>
      <c r="G6" s="15">
        <v>30708</v>
      </c>
    </row>
    <row r="7" spans="1:7" ht="15" customHeight="1" x14ac:dyDescent="0.2">
      <c r="A7" s="12" t="s">
        <v>27</v>
      </c>
      <c r="B7" s="18">
        <v>110229</v>
      </c>
      <c r="C7" s="18">
        <v>118704</v>
      </c>
      <c r="D7" s="18">
        <v>91883</v>
      </c>
      <c r="E7" s="18">
        <v>86868</v>
      </c>
      <c r="F7" s="18">
        <v>73169</v>
      </c>
      <c r="G7" s="18">
        <v>96135</v>
      </c>
    </row>
    <row r="8" spans="1:7" ht="15" customHeight="1" x14ac:dyDescent="0.2">
      <c r="A8" s="14" t="s">
        <v>28</v>
      </c>
      <c r="B8" s="15">
        <v>30930</v>
      </c>
      <c r="C8" s="15">
        <v>39304</v>
      </c>
      <c r="D8" s="15">
        <v>40258</v>
      </c>
      <c r="E8" s="15">
        <v>48070</v>
      </c>
      <c r="F8" s="15">
        <v>53128</v>
      </c>
      <c r="G8" s="15">
        <v>62886</v>
      </c>
    </row>
    <row r="9" spans="1:7" ht="15" customHeight="1" x14ac:dyDescent="0.2">
      <c r="A9" s="12" t="s">
        <v>29</v>
      </c>
      <c r="B9" s="18">
        <v>8057</v>
      </c>
      <c r="C9" s="18">
        <v>8016</v>
      </c>
      <c r="D9" s="18">
        <v>6696</v>
      </c>
      <c r="E9" s="18">
        <v>9287</v>
      </c>
      <c r="F9" s="18">
        <v>10493</v>
      </c>
      <c r="G9" s="18">
        <v>16309</v>
      </c>
    </row>
    <row r="10" spans="1:7" ht="15" customHeight="1" x14ac:dyDescent="0.2">
      <c r="A10" s="9" t="s">
        <v>30</v>
      </c>
      <c r="B10" s="10">
        <f>SUM(B6:B9)</f>
        <v>175681</v>
      </c>
      <c r="C10" s="10">
        <f>SUM(C6:C9)</f>
        <v>186969</v>
      </c>
      <c r="D10" s="10">
        <f>SUM(D6:D9)</f>
        <v>160716</v>
      </c>
      <c r="E10" s="10">
        <f>SUM(E6:E9)</f>
        <v>168273</v>
      </c>
      <c r="F10" s="10">
        <f>SUM(F6:F9)</f>
        <v>160256</v>
      </c>
      <c r="G10" s="10">
        <f>SUM(G6:G9)</f>
        <v>206038</v>
      </c>
    </row>
    <row r="11" spans="1:7" ht="15" customHeight="1" x14ac:dyDescent="0.2">
      <c r="A11" s="5"/>
      <c r="B11" s="11"/>
      <c r="C11" s="11"/>
      <c r="D11" s="11"/>
      <c r="E11" s="11"/>
      <c r="F11" s="11"/>
      <c r="G11" s="11"/>
    </row>
    <row r="12" spans="1:7" ht="15" customHeight="1" x14ac:dyDescent="0.2">
      <c r="A12" s="16" t="s">
        <v>31</v>
      </c>
      <c r="B12" s="17"/>
      <c r="C12" s="17"/>
      <c r="D12" s="17"/>
      <c r="E12" s="17"/>
      <c r="F12" s="17"/>
      <c r="G12" s="17"/>
    </row>
    <row r="13" spans="1:7" ht="15" customHeight="1" x14ac:dyDescent="0.2">
      <c r="A13" s="14" t="s">
        <v>32</v>
      </c>
      <c r="B13" s="15">
        <v>84749</v>
      </c>
      <c r="C13" s="15">
        <v>97599</v>
      </c>
      <c r="D13" s="15">
        <v>112668</v>
      </c>
      <c r="E13" s="15">
        <v>129989</v>
      </c>
      <c r="F13" s="15">
        <v>156040</v>
      </c>
      <c r="G13" s="15">
        <v>246597</v>
      </c>
    </row>
    <row r="14" spans="1:7" ht="15" customHeight="1" x14ac:dyDescent="0.2">
      <c r="A14" s="12" t="s">
        <v>33</v>
      </c>
      <c r="B14" s="18">
        <v>1445</v>
      </c>
      <c r="C14" s="18">
        <v>2220</v>
      </c>
      <c r="D14" s="18">
        <v>2228</v>
      </c>
      <c r="E14" s="18">
        <v>2313</v>
      </c>
      <c r="F14" s="18">
        <v>2418</v>
      </c>
      <c r="G14" s="18">
        <v>0</v>
      </c>
    </row>
    <row r="15" spans="1:7" ht="15" customHeight="1" x14ac:dyDescent="0.2">
      <c r="A15" s="14" t="s">
        <v>34</v>
      </c>
      <c r="B15" s="15">
        <v>20624</v>
      </c>
      <c r="C15" s="15">
        <v>24010</v>
      </c>
      <c r="D15" s="15">
        <v>25578</v>
      </c>
      <c r="E15" s="15">
        <v>27433</v>
      </c>
      <c r="F15" s="15">
        <v>29372</v>
      </c>
      <c r="G15" s="15">
        <v>33380</v>
      </c>
    </row>
    <row r="16" spans="1:7" ht="15" customHeight="1" x14ac:dyDescent="0.2">
      <c r="A16" s="12" t="s">
        <v>35</v>
      </c>
      <c r="B16" s="18">
        <v>20673</v>
      </c>
      <c r="C16" s="18">
        <v>30822</v>
      </c>
      <c r="D16" s="18">
        <v>34314</v>
      </c>
      <c r="E16" s="18">
        <v>40699</v>
      </c>
      <c r="F16" s="18">
        <v>42361</v>
      </c>
      <c r="G16" s="18">
        <v>68687</v>
      </c>
    </row>
    <row r="17" spans="1:7" ht="15" customHeight="1" x14ac:dyDescent="0.2">
      <c r="A17" s="14" t="s">
        <v>36</v>
      </c>
      <c r="B17" s="15">
        <v>16444</v>
      </c>
      <c r="C17" s="15">
        <v>17648</v>
      </c>
      <c r="D17" s="15">
        <v>19888</v>
      </c>
      <c r="E17" s="15">
        <v>33685</v>
      </c>
      <c r="F17" s="15">
        <v>49809</v>
      </c>
      <c r="G17" s="15">
        <v>40579</v>
      </c>
    </row>
    <row r="18" spans="1:7" ht="15" customHeight="1" x14ac:dyDescent="0.2">
      <c r="A18" s="9" t="s">
        <v>37</v>
      </c>
      <c r="B18" s="10">
        <f t="shared" ref="B18:G18" si="0">SUM(B13:B17)</f>
        <v>143935</v>
      </c>
      <c r="C18" s="10">
        <f t="shared" si="0"/>
        <v>172299</v>
      </c>
      <c r="D18" s="10">
        <f t="shared" si="0"/>
        <v>194676</v>
      </c>
      <c r="E18" s="10">
        <f t="shared" si="0"/>
        <v>234119</v>
      </c>
      <c r="F18" s="10">
        <f t="shared" si="0"/>
        <v>280000</v>
      </c>
      <c r="G18" s="10">
        <f t="shared" si="0"/>
        <v>389243</v>
      </c>
    </row>
    <row r="19" spans="1:7" ht="15" customHeight="1" x14ac:dyDescent="0.2">
      <c r="A19" s="5"/>
      <c r="B19" s="11"/>
      <c r="C19" s="11"/>
      <c r="D19" s="11"/>
      <c r="E19" s="11"/>
      <c r="F19" s="11"/>
      <c r="G19" s="11"/>
    </row>
    <row r="20" spans="1:7" ht="15" customHeight="1" x14ac:dyDescent="0.2">
      <c r="A20" s="9" t="s">
        <v>38</v>
      </c>
      <c r="B20" s="10">
        <f t="shared" ref="B20:G20" si="1">B10+B18</f>
        <v>319616</v>
      </c>
      <c r="C20" s="10">
        <f t="shared" si="1"/>
        <v>359268</v>
      </c>
      <c r="D20" s="10">
        <f t="shared" si="1"/>
        <v>355392</v>
      </c>
      <c r="E20" s="10">
        <f t="shared" si="1"/>
        <v>402392</v>
      </c>
      <c r="F20" s="10">
        <f t="shared" si="1"/>
        <v>440256</v>
      </c>
      <c r="G20" s="10">
        <f t="shared" si="1"/>
        <v>595281</v>
      </c>
    </row>
    <row r="21" spans="1:7" ht="15" customHeight="1" x14ac:dyDescent="0.2">
      <c r="A21" s="5"/>
      <c r="B21" s="11"/>
      <c r="C21" s="11"/>
      <c r="D21" s="11"/>
      <c r="E21" s="11"/>
      <c r="F21" s="11"/>
      <c r="G21" s="11"/>
    </row>
    <row r="22" spans="1:7" ht="15" customHeight="1" x14ac:dyDescent="0.2">
      <c r="A22" s="16" t="s">
        <v>39</v>
      </c>
      <c r="B22" s="17"/>
      <c r="C22" s="17"/>
      <c r="D22" s="17"/>
      <c r="E22" s="17"/>
      <c r="F22" s="17"/>
      <c r="G22" s="17"/>
    </row>
    <row r="23" spans="1:7" ht="15" customHeight="1" x14ac:dyDescent="0.2">
      <c r="A23" s="16" t="s">
        <v>40</v>
      </c>
      <c r="B23" s="17"/>
      <c r="C23" s="17"/>
      <c r="D23" s="17"/>
      <c r="E23" s="17"/>
      <c r="F23" s="17"/>
      <c r="G23" s="17"/>
    </row>
    <row r="24" spans="1:7" ht="15" customHeight="1" x14ac:dyDescent="0.2">
      <c r="A24" s="14" t="s">
        <v>41</v>
      </c>
      <c r="B24" s="15">
        <v>5589</v>
      </c>
      <c r="C24" s="15">
        <v>6693</v>
      </c>
      <c r="D24" s="15">
        <v>6839</v>
      </c>
      <c r="E24" s="15">
        <v>7664</v>
      </c>
      <c r="F24" s="15">
        <v>8457</v>
      </c>
      <c r="G24" s="15">
        <v>12200</v>
      </c>
    </row>
    <row r="25" spans="1:7" ht="15" customHeight="1" x14ac:dyDescent="0.2">
      <c r="A25" s="12" t="s">
        <v>42</v>
      </c>
      <c r="B25" s="18">
        <v>27923</v>
      </c>
      <c r="C25" s="18">
        <v>33019</v>
      </c>
      <c r="D25" s="18">
        <v>34763</v>
      </c>
      <c r="E25" s="18">
        <v>39225</v>
      </c>
      <c r="F25" s="18">
        <v>43891</v>
      </c>
      <c r="G25" s="18">
        <v>83967</v>
      </c>
    </row>
    <row r="26" spans="1:7" ht="15" customHeight="1" x14ac:dyDescent="0.2">
      <c r="A26" s="14" t="s">
        <v>43</v>
      </c>
      <c r="B26" s="15">
        <v>3288</v>
      </c>
      <c r="C26" s="15">
        <v>3288</v>
      </c>
      <c r="D26" s="15">
        <v>3288</v>
      </c>
      <c r="E26" s="15">
        <v>3288</v>
      </c>
      <c r="F26" s="15">
        <v>3288</v>
      </c>
      <c r="G26" s="15">
        <v>6578</v>
      </c>
    </row>
    <row r="27" spans="1:7" ht="15" customHeight="1" x14ac:dyDescent="0.2">
      <c r="A27" s="12" t="s">
        <v>44</v>
      </c>
      <c r="B27" s="18">
        <v>2695</v>
      </c>
      <c r="C27" s="18">
        <v>1790</v>
      </c>
      <c r="D27" s="18">
        <v>999</v>
      </c>
      <c r="E27" s="18">
        <v>999</v>
      </c>
      <c r="F27" s="18">
        <v>3082</v>
      </c>
      <c r="G27" s="18">
        <v>0</v>
      </c>
    </row>
    <row r="28" spans="1:7" ht="15" customHeight="1" x14ac:dyDescent="0.2">
      <c r="A28" s="14" t="s">
        <v>45</v>
      </c>
      <c r="B28" s="15">
        <v>17339</v>
      </c>
      <c r="C28" s="15">
        <v>19464</v>
      </c>
      <c r="D28" s="15">
        <v>23411</v>
      </c>
      <c r="E28" s="15">
        <v>30638</v>
      </c>
      <c r="F28" s="15">
        <v>30404</v>
      </c>
      <c r="G28" s="15">
        <v>0</v>
      </c>
    </row>
    <row r="29" spans="1:7" ht="15" customHeight="1" x14ac:dyDescent="0.2">
      <c r="A29" s="9" t="s">
        <v>46</v>
      </c>
      <c r="B29" s="10">
        <f t="shared" ref="B29:G29" si="2">SUM(B24:B28)</f>
        <v>56834</v>
      </c>
      <c r="C29" s="10">
        <f t="shared" si="2"/>
        <v>64254</v>
      </c>
      <c r="D29" s="10">
        <f t="shared" si="2"/>
        <v>69300</v>
      </c>
      <c r="E29" s="10">
        <f t="shared" si="2"/>
        <v>81814</v>
      </c>
      <c r="F29" s="10">
        <f t="shared" si="2"/>
        <v>89122</v>
      </c>
      <c r="G29" s="10">
        <f t="shared" si="2"/>
        <v>102745</v>
      </c>
    </row>
    <row r="30" spans="1:7" ht="15" customHeight="1" x14ac:dyDescent="0.2">
      <c r="A30" s="5"/>
      <c r="B30" s="11"/>
      <c r="C30" s="11"/>
      <c r="D30" s="11"/>
      <c r="E30" s="11"/>
      <c r="F30" s="11"/>
      <c r="G30" s="11"/>
    </row>
    <row r="31" spans="1:7" ht="15" customHeight="1" x14ac:dyDescent="0.2">
      <c r="A31" s="16" t="s">
        <v>47</v>
      </c>
      <c r="B31" s="17"/>
      <c r="C31" s="17"/>
      <c r="D31" s="17"/>
      <c r="E31" s="17"/>
      <c r="F31" s="17"/>
      <c r="G31" s="17"/>
    </row>
    <row r="32" spans="1:7" ht="15" customHeight="1" x14ac:dyDescent="0.2">
      <c r="A32" s="14" t="s">
        <v>48</v>
      </c>
      <c r="B32" s="15">
        <v>13932</v>
      </c>
      <c r="C32" s="15">
        <v>14817</v>
      </c>
      <c r="D32" s="15">
        <v>14701</v>
      </c>
      <c r="E32" s="15">
        <v>13253</v>
      </c>
      <c r="F32" s="15">
        <v>12987</v>
      </c>
      <c r="G32" s="15">
        <v>46547</v>
      </c>
    </row>
    <row r="33" spans="1:7" ht="15" customHeight="1" x14ac:dyDescent="0.2">
      <c r="A33" s="12" t="s">
        <v>49</v>
      </c>
      <c r="B33" s="18">
        <v>9190</v>
      </c>
      <c r="C33" s="18">
        <v>8849</v>
      </c>
      <c r="D33" s="18">
        <v>9442</v>
      </c>
      <c r="E33" s="18">
        <v>1702</v>
      </c>
      <c r="F33" s="18">
        <v>5883</v>
      </c>
      <c r="G33" s="18">
        <v>0</v>
      </c>
    </row>
    <row r="34" spans="1:7" ht="15" customHeight="1" x14ac:dyDescent="0.2">
      <c r="A34" s="14" t="s">
        <v>50</v>
      </c>
      <c r="B34" s="15">
        <v>17116</v>
      </c>
      <c r="C34" s="15">
        <v>16334</v>
      </c>
      <c r="D34" s="15">
        <v>15677</v>
      </c>
      <c r="E34" s="15">
        <v>22244</v>
      </c>
      <c r="F34" s="15">
        <v>17180</v>
      </c>
      <c r="G34" s="15">
        <v>30724</v>
      </c>
    </row>
    <row r="35" spans="1:7" ht="15" customHeight="1" x14ac:dyDescent="0.2">
      <c r="A35" s="9" t="s">
        <v>51</v>
      </c>
      <c r="B35" s="10">
        <f t="shared" ref="B35:G35" si="3">B32+B33+B34</f>
        <v>40238</v>
      </c>
      <c r="C35" s="10">
        <f t="shared" si="3"/>
        <v>40000</v>
      </c>
      <c r="D35" s="10">
        <f t="shared" si="3"/>
        <v>39820</v>
      </c>
      <c r="E35" s="10">
        <f t="shared" si="3"/>
        <v>37199</v>
      </c>
      <c r="F35" s="10">
        <f t="shared" si="3"/>
        <v>36050</v>
      </c>
      <c r="G35" s="10">
        <f t="shared" si="3"/>
        <v>77271</v>
      </c>
    </row>
    <row r="36" spans="1:7" ht="15" customHeight="1" x14ac:dyDescent="0.2">
      <c r="A36" s="5"/>
      <c r="B36" s="11"/>
      <c r="C36" s="11"/>
      <c r="D36" s="11"/>
      <c r="E36" s="11"/>
      <c r="F36" s="11"/>
      <c r="G36" s="11"/>
    </row>
    <row r="37" spans="1:7" ht="15" customHeight="1" x14ac:dyDescent="0.2">
      <c r="A37" s="9" t="s">
        <v>52</v>
      </c>
      <c r="B37" s="10">
        <f t="shared" ref="B37:G37" si="4">B29+B35</f>
        <v>97072</v>
      </c>
      <c r="C37" s="10">
        <f t="shared" si="4"/>
        <v>104254</v>
      </c>
      <c r="D37" s="10">
        <f t="shared" si="4"/>
        <v>109120</v>
      </c>
      <c r="E37" s="10">
        <f t="shared" si="4"/>
        <v>119013</v>
      </c>
      <c r="F37" s="10">
        <f t="shared" si="4"/>
        <v>125172</v>
      </c>
      <c r="G37" s="10">
        <f t="shared" si="4"/>
        <v>180016</v>
      </c>
    </row>
    <row r="38" spans="1:7" ht="15" customHeight="1" x14ac:dyDescent="0.2">
      <c r="A38" s="5"/>
      <c r="B38" s="11"/>
      <c r="C38" s="11"/>
      <c r="D38" s="11"/>
      <c r="E38" s="11"/>
      <c r="F38" s="11"/>
      <c r="G38" s="11"/>
    </row>
    <row r="39" spans="1:7" ht="15" customHeight="1" x14ac:dyDescent="0.2">
      <c r="A39" s="16" t="s">
        <v>53</v>
      </c>
      <c r="B39" s="17"/>
      <c r="C39" s="17"/>
      <c r="D39" s="17"/>
      <c r="E39" s="17"/>
      <c r="F39" s="17"/>
      <c r="G39" s="17"/>
    </row>
    <row r="40" spans="1:7" ht="15" customHeight="1" x14ac:dyDescent="0.2">
      <c r="A40" s="14" t="s">
        <v>54</v>
      </c>
      <c r="B40" s="15">
        <v>58510</v>
      </c>
      <c r="C40" s="15">
        <v>66033</v>
      </c>
      <c r="D40" s="15">
        <v>72293</v>
      </c>
      <c r="E40" s="15">
        <v>77846</v>
      </c>
      <c r="F40" s="15">
        <v>85289</v>
      </c>
      <c r="G40" s="15">
        <v>93126</v>
      </c>
    </row>
    <row r="41" spans="1:7" ht="15" customHeight="1" x14ac:dyDescent="0.2">
      <c r="A41" s="12" t="s">
        <v>55</v>
      </c>
      <c r="B41" s="18">
        <v>163401</v>
      </c>
      <c r="C41" s="18">
        <v>191226</v>
      </c>
      <c r="D41" s="18">
        <v>178237</v>
      </c>
      <c r="E41" s="18">
        <v>213311</v>
      </c>
      <c r="F41" s="18">
        <v>248683</v>
      </c>
      <c r="G41" s="18">
        <v>324055</v>
      </c>
    </row>
    <row r="42" spans="1:7" ht="15" customHeight="1" x14ac:dyDescent="0.2">
      <c r="A42" s="14" t="s">
        <v>56</v>
      </c>
      <c r="B42" s="15">
        <v>633</v>
      </c>
      <c r="C42" s="15">
        <v>-45</v>
      </c>
      <c r="D42" s="15">
        <v>-258</v>
      </c>
      <c r="E42" s="15">
        <v>-778</v>
      </c>
      <c r="F42" s="15">
        <v>-888</v>
      </c>
      <c r="G42" s="15">
        <v>-1916</v>
      </c>
    </row>
    <row r="43" spans="1:7" ht="15" customHeight="1" x14ac:dyDescent="0.2">
      <c r="A43" s="9" t="s">
        <v>57</v>
      </c>
      <c r="B43" s="10">
        <f t="shared" ref="B43:G43" si="5">SUM(B40:B42)</f>
        <v>222544</v>
      </c>
      <c r="C43" s="10">
        <f t="shared" si="5"/>
        <v>257214</v>
      </c>
      <c r="D43" s="10">
        <f t="shared" si="5"/>
        <v>250272</v>
      </c>
      <c r="E43" s="10">
        <f t="shared" si="5"/>
        <v>290379</v>
      </c>
      <c r="F43" s="10">
        <f t="shared" si="5"/>
        <v>333084</v>
      </c>
      <c r="G43" s="10">
        <f t="shared" si="5"/>
        <v>415265</v>
      </c>
    </row>
    <row r="44" spans="1:7" ht="15" customHeight="1" x14ac:dyDescent="0.2">
      <c r="A44" s="5"/>
      <c r="B44" s="11"/>
      <c r="C44" s="11"/>
      <c r="D44" s="11"/>
      <c r="E44" s="11"/>
      <c r="F44" s="11"/>
      <c r="G44" s="11"/>
    </row>
    <row r="45" spans="1:7" ht="15" customHeight="1" x14ac:dyDescent="0.2">
      <c r="A45" s="9" t="s">
        <v>58</v>
      </c>
      <c r="B45" s="10">
        <f>B43+B37</f>
        <v>319616</v>
      </c>
      <c r="C45" s="10">
        <f>C37+C43</f>
        <v>361468</v>
      </c>
      <c r="D45" s="10">
        <f>D37+D43</f>
        <v>359392</v>
      </c>
      <c r="E45" s="10">
        <f>E37+E43</f>
        <v>409392</v>
      </c>
      <c r="F45" s="10">
        <f>F37+F43</f>
        <v>458256</v>
      </c>
      <c r="G45" s="10">
        <f>G37+G43</f>
        <v>595281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74EA6"/>
  </sheetPr>
  <dimension ref="A1:I36"/>
  <sheetViews>
    <sheetView showGridLines="0" zoomScale="117" zoomScaleNormal="172" workbookViewId="0"/>
  </sheetViews>
  <sheetFormatPr baseColWidth="10" defaultColWidth="8.83203125" defaultRowHeight="15" x14ac:dyDescent="0.2"/>
  <cols>
    <col min="1" max="1" width="39.83203125" customWidth="1"/>
    <col min="2" max="9" width="13" customWidth="1"/>
  </cols>
  <sheetData>
    <row r="1" spans="1:9" ht="24" customHeight="1" x14ac:dyDescent="0.2">
      <c r="A1" s="1" t="s">
        <v>59</v>
      </c>
      <c r="B1" s="2"/>
      <c r="C1" s="2"/>
      <c r="D1" s="2"/>
      <c r="E1" s="2"/>
      <c r="F1" s="2"/>
      <c r="G1" s="2"/>
      <c r="H1" s="22"/>
      <c r="I1" s="22"/>
    </row>
    <row r="2" spans="1:9" ht="18" customHeight="1" x14ac:dyDescent="0.2">
      <c r="A2" s="3" t="s">
        <v>1</v>
      </c>
      <c r="B2" s="4">
        <v>2020</v>
      </c>
      <c r="C2" s="4">
        <v>2021</v>
      </c>
      <c r="D2" s="4">
        <v>2022</v>
      </c>
      <c r="E2" s="4">
        <v>2023</v>
      </c>
      <c r="F2" s="4">
        <v>2024</v>
      </c>
      <c r="G2" s="4">
        <v>2025</v>
      </c>
    </row>
    <row r="3" spans="1:9" ht="15" customHeight="1" x14ac:dyDescent="0.2">
      <c r="A3" s="5"/>
      <c r="B3" s="5"/>
      <c r="C3" s="5"/>
      <c r="D3" s="5"/>
      <c r="E3" s="5"/>
      <c r="F3" s="5"/>
      <c r="G3" s="5"/>
    </row>
    <row r="4" spans="1:9" ht="15" customHeight="1" x14ac:dyDescent="0.2">
      <c r="A4" s="7" t="s">
        <v>60</v>
      </c>
      <c r="B4" s="7"/>
      <c r="C4" s="7"/>
      <c r="D4" s="7"/>
      <c r="E4" s="7"/>
      <c r="F4" s="7"/>
      <c r="G4" s="7"/>
    </row>
    <row r="5" spans="1:9" ht="15" customHeight="1" x14ac:dyDescent="0.2">
      <c r="A5" s="9" t="s">
        <v>19</v>
      </c>
      <c r="B5" s="10">
        <v>40269</v>
      </c>
      <c r="C5" s="10">
        <v>76033</v>
      </c>
      <c r="D5" s="10">
        <v>59972</v>
      </c>
      <c r="E5" s="10">
        <v>73795</v>
      </c>
      <c r="F5" s="10">
        <v>100118</v>
      </c>
      <c r="G5" s="10">
        <v>132170</v>
      </c>
    </row>
    <row r="6" spans="1:9" ht="15" customHeight="1" x14ac:dyDescent="0.2">
      <c r="A6" s="12" t="s">
        <v>61</v>
      </c>
      <c r="B6" s="18">
        <v>11678</v>
      </c>
      <c r="C6" s="18">
        <v>12821</v>
      </c>
      <c r="D6" s="18">
        <v>13497</v>
      </c>
      <c r="E6" s="18">
        <v>12721</v>
      </c>
      <c r="F6" s="18">
        <v>13040</v>
      </c>
      <c r="G6" s="18">
        <v>21136</v>
      </c>
    </row>
    <row r="7" spans="1:9" ht="15" customHeight="1" x14ac:dyDescent="0.2">
      <c r="A7" s="14" t="s">
        <v>62</v>
      </c>
      <c r="B7" s="15">
        <v>15276</v>
      </c>
      <c r="C7" s="15">
        <v>15383</v>
      </c>
      <c r="D7" s="15">
        <v>19380</v>
      </c>
      <c r="E7" s="15">
        <v>22497</v>
      </c>
      <c r="F7" s="15">
        <v>19271</v>
      </c>
      <c r="G7" s="15">
        <v>24953</v>
      </c>
    </row>
    <row r="8" spans="1:9" ht="15" customHeight="1" x14ac:dyDescent="0.2">
      <c r="A8" s="12" t="s">
        <v>63</v>
      </c>
      <c r="B8" s="18">
        <v>-7817</v>
      </c>
      <c r="C8" s="18">
        <v>-8081</v>
      </c>
      <c r="D8" s="18">
        <v>-7750</v>
      </c>
      <c r="E8" s="18">
        <v>-7838</v>
      </c>
      <c r="F8" s="18">
        <v>-4544</v>
      </c>
      <c r="G8" s="18">
        <v>8348</v>
      </c>
    </row>
    <row r="9" spans="1:9" ht="15" customHeight="1" x14ac:dyDescent="0.2">
      <c r="A9" s="16" t="s">
        <v>64</v>
      </c>
      <c r="B9" s="17"/>
      <c r="C9" s="17"/>
      <c r="D9" s="17"/>
      <c r="E9" s="17"/>
      <c r="F9" s="17"/>
      <c r="G9" s="17"/>
      <c r="H9" s="23"/>
    </row>
    <row r="10" spans="1:9" ht="15" customHeight="1" x14ac:dyDescent="0.2">
      <c r="A10" s="14" t="s">
        <v>28</v>
      </c>
      <c r="B10" s="15">
        <v>-8463</v>
      </c>
      <c r="C10" s="15">
        <v>-9145</v>
      </c>
      <c r="D10" s="15">
        <v>-2310</v>
      </c>
      <c r="E10" s="15">
        <v>-7756</v>
      </c>
      <c r="F10" s="15">
        <v>-5012</v>
      </c>
      <c r="G10" s="15">
        <v>-8779</v>
      </c>
    </row>
    <row r="11" spans="1:9" ht="15" customHeight="1" x14ac:dyDescent="0.2">
      <c r="A11" s="12" t="s">
        <v>41</v>
      </c>
      <c r="B11" s="18">
        <v>664</v>
      </c>
      <c r="C11" s="18">
        <v>707</v>
      </c>
      <c r="D11" s="18">
        <v>283</v>
      </c>
      <c r="E11" s="18">
        <v>304</v>
      </c>
      <c r="F11" s="18">
        <v>345</v>
      </c>
      <c r="G11" s="18">
        <v>907</v>
      </c>
    </row>
    <row r="12" spans="1:9" ht="15" customHeight="1" x14ac:dyDescent="0.2">
      <c r="A12" s="14" t="s">
        <v>65</v>
      </c>
      <c r="B12" s="15">
        <v>13517</v>
      </c>
      <c r="C12" s="15">
        <v>3934</v>
      </c>
      <c r="D12" s="15">
        <v>8423</v>
      </c>
      <c r="E12" s="15">
        <v>7023</v>
      </c>
      <c r="F12" s="15">
        <v>2081</v>
      </c>
      <c r="G12" s="15">
        <v>-14022</v>
      </c>
    </row>
    <row r="13" spans="1:9" ht="15" customHeight="1" x14ac:dyDescent="0.2">
      <c r="A13" s="9" t="s">
        <v>66</v>
      </c>
      <c r="B13" s="10">
        <f t="shared" ref="B13:G13" si="0">SUM(B5:B12)</f>
        <v>65124</v>
      </c>
      <c r="C13" s="10">
        <f t="shared" si="0"/>
        <v>91652</v>
      </c>
      <c r="D13" s="10">
        <f t="shared" si="0"/>
        <v>91495</v>
      </c>
      <c r="E13" s="10">
        <f t="shared" si="0"/>
        <v>100746</v>
      </c>
      <c r="F13" s="10">
        <f t="shared" si="0"/>
        <v>125299</v>
      </c>
      <c r="G13" s="10">
        <f>SUM(G5:G12)</f>
        <v>164713</v>
      </c>
    </row>
    <row r="14" spans="1:9" ht="15" customHeight="1" x14ac:dyDescent="0.2">
      <c r="A14" s="5"/>
      <c r="B14" s="11"/>
      <c r="C14" s="11"/>
      <c r="D14" s="11"/>
      <c r="E14" s="11"/>
      <c r="F14" s="11"/>
      <c r="G14" s="11"/>
    </row>
    <row r="15" spans="1:9" ht="15" customHeight="1" x14ac:dyDescent="0.2">
      <c r="A15" s="16" t="s">
        <v>67</v>
      </c>
      <c r="B15" s="17"/>
      <c r="C15" s="17"/>
      <c r="D15" s="17"/>
      <c r="E15" s="17"/>
      <c r="F15" s="17"/>
      <c r="G15" s="17"/>
    </row>
    <row r="16" spans="1:9" ht="15" customHeight="1" x14ac:dyDescent="0.2">
      <c r="A16" s="14" t="s">
        <v>68</v>
      </c>
      <c r="B16" s="15">
        <v>-24640</v>
      </c>
      <c r="C16" s="15">
        <v>-31485</v>
      </c>
      <c r="D16" s="15">
        <v>-31485</v>
      </c>
      <c r="E16" s="15">
        <v>-32279</v>
      </c>
      <c r="F16" s="15">
        <v>-44530</v>
      </c>
      <c r="G16" s="15">
        <v>-91447</v>
      </c>
    </row>
    <row r="17" spans="1:9" ht="15" customHeight="1" x14ac:dyDescent="0.2">
      <c r="A17" s="12" t="s">
        <v>69</v>
      </c>
      <c r="B17" s="18">
        <v>-80861</v>
      </c>
      <c r="C17" s="18">
        <v>-138006</v>
      </c>
      <c r="D17" s="18">
        <v>-81354</v>
      </c>
      <c r="E17" s="18">
        <v>-80925</v>
      </c>
      <c r="F17" s="18">
        <v>-77729</v>
      </c>
      <c r="G17" s="18">
        <v>-109489</v>
      </c>
      <c r="H17" s="23"/>
    </row>
    <row r="18" spans="1:9" ht="15" customHeight="1" x14ac:dyDescent="0.2">
      <c r="A18" s="14" t="s">
        <v>70</v>
      </c>
      <c r="B18" s="15">
        <v>87634</v>
      </c>
      <c r="C18" s="15">
        <v>129244</v>
      </c>
      <c r="D18" s="15">
        <v>98032</v>
      </c>
      <c r="E18" s="15">
        <v>87603</v>
      </c>
      <c r="F18" s="15">
        <v>88408</v>
      </c>
      <c r="G18" s="15">
        <v>84607</v>
      </c>
    </row>
    <row r="19" spans="1:9" ht="15" customHeight="1" x14ac:dyDescent="0.2">
      <c r="A19" s="12" t="s">
        <v>71</v>
      </c>
      <c r="B19" s="18">
        <v>-2607</v>
      </c>
      <c r="C19" s="18">
        <v>-2649</v>
      </c>
      <c r="D19" s="18">
        <v>-6989</v>
      </c>
      <c r="E19" s="18">
        <v>-495</v>
      </c>
      <c r="F19" s="18">
        <v>-2503</v>
      </c>
      <c r="G19" s="18">
        <v>-1592</v>
      </c>
    </row>
    <row r="20" spans="1:9" ht="15" customHeight="1" x14ac:dyDescent="0.2">
      <c r="A20" s="14" t="s">
        <v>72</v>
      </c>
      <c r="B20" s="15">
        <v>541</v>
      </c>
      <c r="C20" s="15">
        <v>1620</v>
      </c>
      <c r="D20" s="15">
        <v>1618</v>
      </c>
      <c r="E20" s="15">
        <v>-1084</v>
      </c>
      <c r="F20" s="15">
        <v>-2306</v>
      </c>
      <c r="G20" s="15">
        <v>-2370</v>
      </c>
    </row>
    <row r="21" spans="1:9" ht="15" customHeight="1" x14ac:dyDescent="0.2">
      <c r="A21" s="9" t="s">
        <v>73</v>
      </c>
      <c r="B21" s="10">
        <v>-32773</v>
      </c>
      <c r="C21" s="10">
        <v>-35523</v>
      </c>
      <c r="D21" s="10">
        <v>-20298</v>
      </c>
      <c r="E21" s="10">
        <v>-27063</v>
      </c>
      <c r="F21" s="10">
        <v>-45536</v>
      </c>
      <c r="G21" s="10">
        <v>-120291</v>
      </c>
      <c r="H21" s="23"/>
      <c r="I21" s="23"/>
    </row>
    <row r="22" spans="1:9" ht="15" customHeight="1" x14ac:dyDescent="0.2">
      <c r="A22" s="5"/>
      <c r="B22" s="11"/>
      <c r="C22" s="11"/>
      <c r="D22" s="11"/>
      <c r="E22" s="11"/>
      <c r="F22" s="11"/>
      <c r="G22" s="11"/>
    </row>
    <row r="23" spans="1:9" ht="15" customHeight="1" x14ac:dyDescent="0.2">
      <c r="A23" s="16" t="s">
        <v>74</v>
      </c>
      <c r="B23" s="17"/>
      <c r="C23" s="17"/>
      <c r="D23" s="17"/>
      <c r="E23" s="17"/>
      <c r="F23" s="17"/>
      <c r="G23" s="17"/>
    </row>
    <row r="24" spans="1:9" ht="15" customHeight="1" x14ac:dyDescent="0.2">
      <c r="A24" s="14" t="s">
        <v>75</v>
      </c>
      <c r="B24" s="15">
        <v>20177</v>
      </c>
      <c r="C24" s="15">
        <v>20204</v>
      </c>
      <c r="D24" s="15">
        <v>52949</v>
      </c>
      <c r="E24" s="15">
        <v>10756</v>
      </c>
      <c r="F24" s="15">
        <v>11514</v>
      </c>
      <c r="G24" s="15">
        <v>64564</v>
      </c>
    </row>
    <row r="25" spans="1:9" ht="15" customHeight="1" x14ac:dyDescent="0.2">
      <c r="A25" s="12" t="s">
        <v>76</v>
      </c>
      <c r="B25" s="18">
        <v>-21436</v>
      </c>
      <c r="C25" s="18">
        <v>-21377</v>
      </c>
      <c r="D25" s="18">
        <v>-54133</v>
      </c>
      <c r="E25" s="18">
        <v>-11636</v>
      </c>
      <c r="F25" s="18">
        <v>-10816</v>
      </c>
      <c r="G25" s="18">
        <v>-32427</v>
      </c>
    </row>
    <row r="26" spans="1:9" ht="15" customHeight="1" x14ac:dyDescent="0.2">
      <c r="A26" s="14" t="s">
        <v>77</v>
      </c>
      <c r="B26" s="15">
        <v>-31149</v>
      </c>
      <c r="C26" s="15">
        <v>-50274</v>
      </c>
      <c r="D26" s="15">
        <v>-59296</v>
      </c>
      <c r="E26" s="15">
        <v>-61540</v>
      </c>
      <c r="F26" s="15">
        <v>-52679</v>
      </c>
      <c r="G26" s="15">
        <v>-45709</v>
      </c>
    </row>
    <row r="27" spans="1:9" ht="15" customHeight="1" x14ac:dyDescent="0.2">
      <c r="A27" s="12" t="s">
        <v>78</v>
      </c>
      <c r="B27" s="18">
        <v>0</v>
      </c>
      <c r="C27" s="18">
        <v>0</v>
      </c>
      <c r="D27" s="18">
        <v>0</v>
      </c>
      <c r="E27" s="18">
        <v>0</v>
      </c>
      <c r="F27" s="18">
        <v>-6191</v>
      </c>
      <c r="G27" s="18">
        <v>-10049</v>
      </c>
      <c r="H27" s="23"/>
    </row>
    <row r="28" spans="1:9" ht="15" customHeight="1" x14ac:dyDescent="0.2">
      <c r="A28" s="14" t="s">
        <v>79</v>
      </c>
      <c r="B28" s="15">
        <v>8000</v>
      </c>
      <c r="C28" s="15">
        <v>85</v>
      </c>
      <c r="D28" s="15">
        <v>723</v>
      </c>
      <c r="E28" s="15">
        <v>930</v>
      </c>
      <c r="F28" s="15">
        <v>439</v>
      </c>
      <c r="G28" s="15">
        <v>-13767</v>
      </c>
    </row>
    <row r="29" spans="1:9" ht="15" customHeight="1" x14ac:dyDescent="0.2">
      <c r="A29" s="9" t="s">
        <v>80</v>
      </c>
      <c r="B29" s="10">
        <f t="shared" ref="B29:G29" si="1">SUM(B24:B28)</f>
        <v>-24408</v>
      </c>
      <c r="C29" s="10">
        <f t="shared" si="1"/>
        <v>-51362</v>
      </c>
      <c r="D29" s="10">
        <f t="shared" si="1"/>
        <v>-59757</v>
      </c>
      <c r="E29" s="10">
        <f t="shared" si="1"/>
        <v>-61490</v>
      </c>
      <c r="F29" s="10">
        <f t="shared" si="1"/>
        <v>-57733</v>
      </c>
      <c r="G29" s="10">
        <f t="shared" si="1"/>
        <v>-37388</v>
      </c>
    </row>
    <row r="30" spans="1:9" ht="15" customHeight="1" x14ac:dyDescent="0.2">
      <c r="A30" s="5"/>
      <c r="B30" s="11"/>
      <c r="C30" s="11"/>
      <c r="D30" s="11"/>
      <c r="E30" s="11"/>
      <c r="F30" s="11"/>
      <c r="G30" s="11"/>
    </row>
    <row r="31" spans="1:9" ht="15" customHeight="1" x14ac:dyDescent="0.2">
      <c r="A31" s="9" t="s">
        <v>81</v>
      </c>
      <c r="B31" s="10">
        <f t="shared" ref="B31:G31" si="2">B13+B21+B29</f>
        <v>7943</v>
      </c>
      <c r="C31" s="10">
        <f t="shared" si="2"/>
        <v>4767</v>
      </c>
      <c r="D31" s="10">
        <f t="shared" si="2"/>
        <v>11440</v>
      </c>
      <c r="E31" s="10">
        <f t="shared" si="2"/>
        <v>12193</v>
      </c>
      <c r="F31" s="10">
        <f t="shared" si="2"/>
        <v>22030</v>
      </c>
      <c r="G31" s="10">
        <f t="shared" si="2"/>
        <v>7034</v>
      </c>
      <c r="H31" s="23"/>
    </row>
    <row r="32" spans="1:9" ht="15" customHeight="1" x14ac:dyDescent="0.2">
      <c r="A32" s="12" t="s">
        <v>82</v>
      </c>
      <c r="B32" s="18">
        <v>18498</v>
      </c>
      <c r="C32" s="18">
        <v>26441</v>
      </c>
      <c r="D32" s="18">
        <v>21208</v>
      </c>
      <c r="E32" s="18">
        <v>22648</v>
      </c>
      <c r="F32" s="18">
        <v>25238</v>
      </c>
      <c r="G32" s="18">
        <v>23466</v>
      </c>
    </row>
    <row r="33" spans="1:7" ht="15" customHeight="1" x14ac:dyDescent="0.2">
      <c r="A33" s="14" t="s">
        <v>83</v>
      </c>
      <c r="B33" s="15">
        <v>26441</v>
      </c>
      <c r="C33" s="15">
        <v>21208</v>
      </c>
      <c r="D33" s="15">
        <v>22648</v>
      </c>
      <c r="E33" s="15">
        <v>25238</v>
      </c>
      <c r="F33" s="15">
        <v>25268</v>
      </c>
      <c r="G33" s="15">
        <v>30708</v>
      </c>
    </row>
    <row r="34" spans="1:7" ht="15" customHeight="1" x14ac:dyDescent="0.2">
      <c r="A34" s="5"/>
      <c r="B34" s="11"/>
      <c r="C34" s="11"/>
      <c r="D34" s="11"/>
      <c r="E34" s="11"/>
      <c r="F34" s="11"/>
      <c r="G34" s="11"/>
    </row>
    <row r="35" spans="1:7" ht="15" customHeight="1" x14ac:dyDescent="0.2">
      <c r="A35" s="16" t="s">
        <v>84</v>
      </c>
      <c r="B35" s="17"/>
      <c r="C35" s="17"/>
      <c r="D35" s="17"/>
      <c r="E35" s="17"/>
      <c r="F35" s="17"/>
      <c r="G35" s="17"/>
    </row>
    <row r="36" spans="1:7" ht="15" customHeight="1" x14ac:dyDescent="0.2">
      <c r="A36" s="9" t="s">
        <v>85</v>
      </c>
      <c r="B36" s="10">
        <v>40484</v>
      </c>
      <c r="C36" s="10">
        <v>60167</v>
      </c>
      <c r="D36" s="10">
        <v>60010</v>
      </c>
      <c r="E36" s="10">
        <v>69467</v>
      </c>
      <c r="F36" s="10">
        <v>80769</v>
      </c>
      <c r="G36" s="10">
        <v>73266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74EA6"/>
  </sheetPr>
  <dimension ref="A1:L31"/>
  <sheetViews>
    <sheetView showGridLines="0" tabSelected="1" zoomScale="142" zoomScaleNormal="142" workbookViewId="0"/>
  </sheetViews>
  <sheetFormatPr baseColWidth="10" defaultColWidth="8.83203125" defaultRowHeight="15" x14ac:dyDescent="0.2"/>
  <cols>
    <col min="1" max="1" width="32" customWidth="1"/>
    <col min="2" max="12" width="13" customWidth="1"/>
  </cols>
  <sheetData>
    <row r="1" spans="1:12" ht="24" customHeight="1" x14ac:dyDescent="0.2">
      <c r="A1" s="1" t="s">
        <v>86</v>
      </c>
      <c r="B1" s="2"/>
      <c r="C1" s="2"/>
      <c r="D1" s="2"/>
      <c r="E1" s="2"/>
      <c r="F1" s="2"/>
      <c r="G1" s="2"/>
      <c r="H1" s="2"/>
      <c r="I1" s="22"/>
      <c r="J1" s="22"/>
      <c r="K1" s="22"/>
      <c r="L1" s="22"/>
    </row>
    <row r="2" spans="1:12" ht="18" customHeight="1" x14ac:dyDescent="0.2">
      <c r="A2" s="3" t="s">
        <v>1</v>
      </c>
      <c r="B2" s="4">
        <v>2020</v>
      </c>
      <c r="C2" s="4">
        <v>2021</v>
      </c>
      <c r="D2" s="4">
        <v>2022</v>
      </c>
      <c r="E2" s="4">
        <v>2023</v>
      </c>
      <c r="F2" s="4">
        <v>2024</v>
      </c>
      <c r="G2" s="4"/>
      <c r="H2" s="4"/>
    </row>
    <row r="3" spans="1:12" ht="15.75" customHeight="1" x14ac:dyDescent="0.2">
      <c r="A3" s="5"/>
      <c r="B3" s="5"/>
      <c r="C3" s="5"/>
      <c r="D3" s="5"/>
      <c r="E3" s="5"/>
      <c r="F3" s="5"/>
      <c r="G3" s="5"/>
      <c r="H3" s="5"/>
    </row>
    <row r="4" spans="1:12" ht="15" customHeight="1" x14ac:dyDescent="0.2">
      <c r="A4" s="7" t="s">
        <v>87</v>
      </c>
      <c r="B4" s="7"/>
      <c r="C4" s="7"/>
      <c r="D4" s="7"/>
      <c r="E4" s="7"/>
      <c r="F4" s="7"/>
      <c r="G4" s="7"/>
      <c r="H4" s="7"/>
    </row>
    <row r="5" spans="1:12" ht="21" customHeight="1" x14ac:dyDescent="0.2">
      <c r="A5" s="12" t="s">
        <v>88</v>
      </c>
      <c r="B5" s="24">
        <v>0.53600000000000003</v>
      </c>
      <c r="C5" s="24">
        <v>0.56899999999999995</v>
      </c>
      <c r="D5" s="24">
        <v>0.55400000000000005</v>
      </c>
      <c r="E5" s="24">
        <v>0.56899999999999995</v>
      </c>
      <c r="F5" s="24">
        <v>0.55000000000000004</v>
      </c>
      <c r="G5" s="5"/>
      <c r="I5" s="55" t="s">
        <v>89</v>
      </c>
      <c r="J5" s="56"/>
      <c r="K5" s="56"/>
      <c r="L5" s="57"/>
    </row>
    <row r="6" spans="1:12" ht="15" customHeight="1" x14ac:dyDescent="0.2">
      <c r="A6" s="12" t="s">
        <v>90</v>
      </c>
      <c r="B6" s="24">
        <v>0.22600000000000001</v>
      </c>
      <c r="C6" s="24">
        <v>0.30499999999999999</v>
      </c>
      <c r="D6" s="24">
        <v>0.26500000000000001</v>
      </c>
      <c r="E6" s="24">
        <v>0.28299999999999997</v>
      </c>
      <c r="F6" s="24">
        <v>0.253</v>
      </c>
      <c r="G6" s="12"/>
      <c r="H6" s="12"/>
    </row>
    <row r="7" spans="1:12" ht="15" customHeight="1" x14ac:dyDescent="0.2">
      <c r="A7" s="12" t="s">
        <v>91</v>
      </c>
      <c r="B7" s="24">
        <v>0.22</v>
      </c>
      <c r="C7" s="24">
        <v>0.29299999999999998</v>
      </c>
      <c r="D7" s="24">
        <v>0.23200000000000001</v>
      </c>
      <c r="E7" s="24">
        <v>0.25600000000000001</v>
      </c>
      <c r="F7" s="24">
        <v>0.23499999999999999</v>
      </c>
      <c r="G7" s="5"/>
      <c r="H7" s="5"/>
    </row>
    <row r="8" spans="1:12" ht="15" customHeight="1" x14ac:dyDescent="0.2">
      <c r="A8" s="25"/>
      <c r="B8" s="25"/>
      <c r="C8" s="25"/>
      <c r="D8" s="25"/>
      <c r="E8" s="25"/>
      <c r="F8" s="25"/>
      <c r="G8" s="5"/>
      <c r="H8" s="5"/>
    </row>
    <row r="9" spans="1:12" ht="15" customHeight="1" x14ac:dyDescent="0.2">
      <c r="A9" s="16" t="s">
        <v>92</v>
      </c>
      <c r="B9" s="26"/>
      <c r="C9" s="26"/>
      <c r="D9" s="26"/>
      <c r="E9" s="26"/>
      <c r="F9" s="26"/>
      <c r="G9" s="26"/>
      <c r="H9" s="26"/>
    </row>
    <row r="10" spans="1:12" ht="15" customHeight="1" x14ac:dyDescent="0.2">
      <c r="A10" s="12" t="s">
        <v>93</v>
      </c>
      <c r="B10" s="24">
        <v>0.126</v>
      </c>
      <c r="C10" s="24">
        <v>0.21099999999999999</v>
      </c>
      <c r="D10" s="24">
        <v>0.185</v>
      </c>
      <c r="E10" s="24">
        <v>0.19500000000000001</v>
      </c>
      <c r="F10" s="24">
        <v>0.183</v>
      </c>
      <c r="G10" s="5"/>
      <c r="H10" s="5"/>
    </row>
    <row r="11" spans="1:12" ht="15" customHeight="1" x14ac:dyDescent="0.2">
      <c r="A11" s="12" t="s">
        <v>94</v>
      </c>
      <c r="B11" s="24">
        <v>0.18</v>
      </c>
      <c r="C11" s="24">
        <v>0.29399999999999998</v>
      </c>
      <c r="D11" s="24">
        <v>0.26200000000000001</v>
      </c>
      <c r="E11" s="24">
        <v>0.27100000000000002</v>
      </c>
      <c r="F11" s="24">
        <v>0.247</v>
      </c>
      <c r="G11" s="12"/>
      <c r="H11" s="12"/>
    </row>
    <row r="12" spans="1:12" ht="15" customHeight="1" x14ac:dyDescent="0.2">
      <c r="A12" s="25"/>
      <c r="B12" s="25"/>
      <c r="C12" s="25"/>
      <c r="D12" s="25"/>
      <c r="E12" s="25"/>
      <c r="F12" s="25"/>
      <c r="G12" s="5"/>
      <c r="H12" s="5"/>
    </row>
    <row r="13" spans="1:12" ht="15" customHeight="1" x14ac:dyDescent="0.2">
      <c r="A13" s="16" t="s">
        <v>95</v>
      </c>
      <c r="B13" s="26"/>
      <c r="C13" s="26"/>
      <c r="D13" s="26"/>
      <c r="E13" s="26"/>
      <c r="F13" s="26"/>
      <c r="G13" s="26"/>
      <c r="H13" s="26"/>
    </row>
    <row r="14" spans="1:12" ht="15" customHeight="1" x14ac:dyDescent="0.2">
      <c r="A14" s="12" t="s">
        <v>96</v>
      </c>
      <c r="B14" s="27">
        <v>3.09</v>
      </c>
      <c r="C14" s="27">
        <v>2.91</v>
      </c>
      <c r="D14" s="27">
        <v>2.3199999999999998</v>
      </c>
      <c r="E14" s="27">
        <v>2.06</v>
      </c>
      <c r="F14" s="27">
        <v>1.8</v>
      </c>
      <c r="G14" s="5"/>
      <c r="H14" s="5"/>
    </row>
    <row r="15" spans="1:12" ht="15" customHeight="1" x14ac:dyDescent="0.2">
      <c r="A15" s="12" t="s">
        <v>97</v>
      </c>
      <c r="B15" s="27">
        <v>3.09</v>
      </c>
      <c r="C15" s="27">
        <v>2.91</v>
      </c>
      <c r="D15" s="27">
        <v>2.3199999999999998</v>
      </c>
      <c r="E15" s="27">
        <v>2.06</v>
      </c>
      <c r="F15" s="27">
        <v>1.8</v>
      </c>
      <c r="G15" s="12"/>
      <c r="H15" s="12"/>
    </row>
    <row r="16" spans="1:12" ht="15" customHeight="1" x14ac:dyDescent="0.2">
      <c r="A16" s="25"/>
      <c r="B16" s="25"/>
      <c r="C16" s="25"/>
      <c r="D16" s="25"/>
      <c r="E16" s="25"/>
      <c r="F16" s="25"/>
      <c r="G16" s="5"/>
      <c r="H16" s="5"/>
    </row>
    <row r="17" spans="1:8" ht="15" customHeight="1" x14ac:dyDescent="0.2">
      <c r="A17" s="16" t="s">
        <v>98</v>
      </c>
      <c r="B17" s="26"/>
      <c r="C17" s="26"/>
      <c r="D17" s="26"/>
      <c r="E17" s="26"/>
      <c r="F17" s="26"/>
      <c r="G17" s="26"/>
      <c r="H17" s="26"/>
    </row>
    <row r="18" spans="1:8" ht="15" customHeight="1" x14ac:dyDescent="0.2">
      <c r="A18" s="12" t="s">
        <v>99</v>
      </c>
      <c r="B18" s="27">
        <v>0.06</v>
      </c>
      <c r="C18" s="27">
        <v>0.06</v>
      </c>
      <c r="D18" s="27">
        <v>0.06</v>
      </c>
      <c r="E18" s="27">
        <v>0.05</v>
      </c>
      <c r="F18" s="27">
        <v>0.04</v>
      </c>
      <c r="G18" s="5"/>
      <c r="H18" s="5"/>
    </row>
    <row r="19" spans="1:8" ht="15" customHeight="1" x14ac:dyDescent="0.2">
      <c r="A19" s="12" t="s">
        <v>100</v>
      </c>
      <c r="B19" s="27">
        <v>0.04</v>
      </c>
      <c r="C19" s="27">
        <v>0.04</v>
      </c>
      <c r="D19" s="27">
        <v>0.04</v>
      </c>
      <c r="E19" s="27">
        <v>0.03</v>
      </c>
      <c r="F19" s="27">
        <v>0.03</v>
      </c>
      <c r="G19" s="12"/>
      <c r="H19" s="12"/>
    </row>
    <row r="20" spans="1:8" ht="15" customHeight="1" x14ac:dyDescent="0.2">
      <c r="A20" s="25"/>
      <c r="B20" s="25"/>
      <c r="C20" s="25"/>
      <c r="D20" s="25"/>
      <c r="E20" s="25"/>
      <c r="F20" s="25"/>
      <c r="G20" s="5"/>
      <c r="H20" s="5"/>
    </row>
    <row r="21" spans="1:8" ht="15" customHeight="1" x14ac:dyDescent="0.2">
      <c r="A21" s="16" t="s">
        <v>101</v>
      </c>
      <c r="B21" s="26"/>
      <c r="C21" s="26"/>
      <c r="D21" s="26"/>
      <c r="E21" s="26"/>
      <c r="F21" s="26"/>
      <c r="G21" s="26"/>
      <c r="H21" s="26"/>
    </row>
    <row r="22" spans="1:8" ht="15" customHeight="1" x14ac:dyDescent="0.2">
      <c r="A22" s="12" t="s">
        <v>102</v>
      </c>
      <c r="B22" s="27">
        <v>0.56999999999999995</v>
      </c>
      <c r="C22" s="27">
        <v>0.72</v>
      </c>
      <c r="D22" s="27">
        <v>0.8</v>
      </c>
      <c r="E22" s="27">
        <v>0.76</v>
      </c>
      <c r="F22" s="27">
        <v>0.78</v>
      </c>
      <c r="G22" s="5"/>
      <c r="H22" s="5"/>
    </row>
    <row r="23" spans="1:8" ht="15" customHeight="1" x14ac:dyDescent="0.2">
      <c r="A23" s="25"/>
      <c r="B23" s="25"/>
      <c r="C23" s="25"/>
      <c r="D23" s="25"/>
      <c r="E23" s="25"/>
      <c r="F23" s="25"/>
      <c r="G23" s="5"/>
      <c r="H23" s="5"/>
    </row>
    <row r="24" spans="1:8" ht="15" customHeight="1" x14ac:dyDescent="0.2">
      <c r="A24" s="16" t="s">
        <v>103</v>
      </c>
      <c r="B24" s="26"/>
      <c r="C24" s="26"/>
      <c r="D24" s="26"/>
      <c r="E24" s="26"/>
      <c r="F24" s="26"/>
      <c r="G24" s="26"/>
      <c r="H24" s="26"/>
    </row>
    <row r="25" spans="1:8" ht="15" customHeight="1" x14ac:dyDescent="0.2">
      <c r="A25" s="12" t="s">
        <v>104</v>
      </c>
      <c r="B25" s="28">
        <v>65124</v>
      </c>
      <c r="C25" s="28">
        <v>91652</v>
      </c>
      <c r="D25" s="28">
        <v>91495</v>
      </c>
      <c r="E25" s="28">
        <v>101746</v>
      </c>
      <c r="F25" s="28">
        <v>125299</v>
      </c>
      <c r="G25" s="5"/>
      <c r="H25" s="5"/>
    </row>
    <row r="26" spans="1:8" ht="15" customHeight="1" x14ac:dyDescent="0.2">
      <c r="A26" s="9" t="s">
        <v>105</v>
      </c>
      <c r="B26" s="29">
        <v>40484</v>
      </c>
      <c r="C26" s="29">
        <v>60167</v>
      </c>
      <c r="D26" s="29">
        <v>60010</v>
      </c>
      <c r="E26" s="29">
        <v>69467</v>
      </c>
      <c r="F26" s="29">
        <v>80769</v>
      </c>
      <c r="G26" s="9"/>
      <c r="H26" s="9"/>
    </row>
    <row r="27" spans="1:8" ht="15" customHeight="1" x14ac:dyDescent="0.2">
      <c r="A27" s="12" t="s">
        <v>106</v>
      </c>
      <c r="B27" s="24">
        <v>0.222</v>
      </c>
      <c r="C27" s="24">
        <v>0.23300000000000001</v>
      </c>
      <c r="D27" s="24">
        <v>0.21199999999999999</v>
      </c>
      <c r="E27" s="24">
        <v>0.22600000000000001</v>
      </c>
      <c r="F27" s="24">
        <v>0.23100000000000001</v>
      </c>
      <c r="G27" s="5"/>
      <c r="H27" s="5"/>
    </row>
    <row r="28" spans="1:8" ht="15" customHeight="1" x14ac:dyDescent="0.2">
      <c r="A28" s="25"/>
      <c r="B28" s="25"/>
      <c r="C28" s="25"/>
      <c r="D28" s="25"/>
      <c r="E28" s="25"/>
      <c r="F28" s="25"/>
      <c r="G28" s="5"/>
      <c r="H28" s="5"/>
    </row>
    <row r="29" spans="1:8" ht="15" customHeight="1" x14ac:dyDescent="0.2">
      <c r="A29" s="16" t="s">
        <v>107</v>
      </c>
      <c r="B29" s="26"/>
      <c r="C29" s="26"/>
      <c r="D29" s="26"/>
      <c r="E29" s="26"/>
      <c r="F29" s="26"/>
      <c r="G29" s="26"/>
      <c r="H29" s="26"/>
    </row>
    <row r="30" spans="1:8" ht="15" customHeight="1" x14ac:dyDescent="0.2">
      <c r="A30" s="12" t="s">
        <v>22</v>
      </c>
      <c r="B30" s="28">
        <v>13700</v>
      </c>
      <c r="C30" s="28">
        <v>13472</v>
      </c>
      <c r="D30" s="28">
        <v>12843</v>
      </c>
      <c r="E30" s="28">
        <v>11972</v>
      </c>
      <c r="F30" s="28">
        <v>10826</v>
      </c>
      <c r="G30" s="5"/>
      <c r="H30" s="5"/>
    </row>
    <row r="31" spans="1:8" ht="15.75" customHeight="1" x14ac:dyDescent="0.2">
      <c r="A31" s="12" t="s">
        <v>108</v>
      </c>
      <c r="B31" s="27">
        <v>2.93</v>
      </c>
      <c r="C31" s="27">
        <v>5.61</v>
      </c>
      <c r="D31" s="27">
        <v>5.1100000000000003</v>
      </c>
      <c r="E31" s="27">
        <v>6.57</v>
      </c>
      <c r="F31" s="27">
        <v>7.59</v>
      </c>
      <c r="G31" s="12"/>
      <c r="H31" s="12"/>
    </row>
  </sheetData>
  <mergeCells count="1">
    <mergeCell ref="I5:L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74EA6"/>
  </sheetPr>
  <dimension ref="A1:F27"/>
  <sheetViews>
    <sheetView showGridLines="0" zoomScale="150" zoomScaleNormal="150" workbookViewId="0"/>
  </sheetViews>
  <sheetFormatPr baseColWidth="10" defaultColWidth="8.83203125" defaultRowHeight="15" x14ac:dyDescent="0.2"/>
  <cols>
    <col min="1" max="1" width="37.33203125" customWidth="1"/>
    <col min="2" max="6" width="13" customWidth="1"/>
  </cols>
  <sheetData>
    <row r="1" spans="1:6" ht="24" customHeight="1" x14ac:dyDescent="0.2">
      <c r="A1" s="1" t="s">
        <v>109</v>
      </c>
      <c r="B1" s="2"/>
      <c r="C1" s="2"/>
      <c r="D1" s="2"/>
      <c r="E1" s="2"/>
      <c r="F1" s="2"/>
    </row>
    <row r="2" spans="1:6" ht="18" customHeight="1" x14ac:dyDescent="0.2">
      <c r="A2" s="3" t="s">
        <v>1</v>
      </c>
      <c r="B2" s="4">
        <v>2020</v>
      </c>
      <c r="C2" s="4">
        <v>2021</v>
      </c>
      <c r="D2" s="4">
        <v>2022</v>
      </c>
      <c r="E2" s="4">
        <v>2023</v>
      </c>
      <c r="F2" s="4">
        <v>2024</v>
      </c>
    </row>
    <row r="3" spans="1:6" ht="15" customHeight="1" x14ac:dyDescent="0.2">
      <c r="A3" s="5"/>
      <c r="B3" s="5"/>
      <c r="C3" s="5"/>
      <c r="D3" s="5"/>
      <c r="E3" s="5"/>
      <c r="F3" s="5"/>
    </row>
    <row r="4" spans="1:6" ht="15" customHeight="1" x14ac:dyDescent="0.2">
      <c r="A4" s="7" t="s">
        <v>110</v>
      </c>
      <c r="B4" s="7"/>
      <c r="C4" s="7"/>
      <c r="D4" s="7"/>
      <c r="E4" s="7"/>
      <c r="F4" s="7"/>
    </row>
    <row r="5" spans="1:6" ht="15" customHeight="1" x14ac:dyDescent="0.2">
      <c r="A5" s="14" t="s">
        <v>111</v>
      </c>
      <c r="B5" s="30">
        <v>104062</v>
      </c>
      <c r="C5" s="30">
        <v>148951</v>
      </c>
      <c r="D5" s="30">
        <v>162450</v>
      </c>
      <c r="E5" s="30">
        <v>175033</v>
      </c>
      <c r="F5" s="30">
        <v>197868</v>
      </c>
    </row>
    <row r="6" spans="1:6" ht="15" customHeight="1" x14ac:dyDescent="0.2">
      <c r="A6" s="12" t="s">
        <v>112</v>
      </c>
      <c r="B6" s="28">
        <v>19772</v>
      </c>
      <c r="C6" s="28">
        <v>28845</v>
      </c>
      <c r="D6" s="28">
        <v>29243</v>
      </c>
      <c r="E6" s="28">
        <v>31510</v>
      </c>
      <c r="F6" s="28">
        <v>35309</v>
      </c>
    </row>
    <row r="7" spans="1:6" ht="15" customHeight="1" x14ac:dyDescent="0.2">
      <c r="A7" s="14" t="s">
        <v>113</v>
      </c>
      <c r="B7" s="30">
        <v>23057</v>
      </c>
      <c r="C7" s="30">
        <v>31701</v>
      </c>
      <c r="D7" s="30">
        <v>32780</v>
      </c>
      <c r="E7" s="30">
        <v>31316</v>
      </c>
      <c r="F7" s="30">
        <v>31010</v>
      </c>
    </row>
    <row r="8" spans="1:6" ht="15" customHeight="1" x14ac:dyDescent="0.2">
      <c r="A8" s="12" t="s">
        <v>114</v>
      </c>
      <c r="B8" s="28">
        <v>21711</v>
      </c>
      <c r="C8" s="28">
        <v>28813</v>
      </c>
      <c r="D8" s="28">
        <v>29055</v>
      </c>
      <c r="E8" s="28">
        <v>34685</v>
      </c>
      <c r="F8" s="28">
        <v>40710</v>
      </c>
    </row>
    <row r="9" spans="1:6" ht="15" customHeight="1" x14ac:dyDescent="0.2">
      <c r="A9" s="9" t="s">
        <v>115</v>
      </c>
      <c r="B9" s="31">
        <f>SUM(B5:B8)</f>
        <v>168602</v>
      </c>
      <c r="C9" s="31">
        <f>SUM(C5:C8)</f>
        <v>238310</v>
      </c>
      <c r="D9" s="31">
        <f>SUM(D5:D8)</f>
        <v>253528</v>
      </c>
      <c r="E9" s="31">
        <f>SUM(E5:E8)</f>
        <v>272544</v>
      </c>
      <c r="F9" s="31">
        <f>SUM(F5:F8)</f>
        <v>304897</v>
      </c>
    </row>
    <row r="10" spans="1:6" ht="15" customHeight="1" x14ac:dyDescent="0.2">
      <c r="A10" s="5"/>
      <c r="B10" s="32"/>
      <c r="C10" s="32"/>
      <c r="D10" s="32"/>
      <c r="E10" s="32"/>
      <c r="F10" s="32"/>
    </row>
    <row r="11" spans="1:6" ht="15" customHeight="1" x14ac:dyDescent="0.2">
      <c r="A11" s="16" t="s">
        <v>116</v>
      </c>
      <c r="B11" s="33"/>
      <c r="C11" s="33"/>
      <c r="D11" s="33"/>
      <c r="E11" s="33"/>
      <c r="F11" s="33"/>
    </row>
    <row r="12" spans="1:6" ht="15" customHeight="1" x14ac:dyDescent="0.2">
      <c r="A12" s="14" t="s">
        <v>117</v>
      </c>
      <c r="B12" s="30">
        <v>13059</v>
      </c>
      <c r="C12" s="30">
        <v>19206</v>
      </c>
      <c r="D12" s="30">
        <v>26280</v>
      </c>
      <c r="E12" s="30">
        <v>33088</v>
      </c>
      <c r="F12" s="30">
        <v>41794</v>
      </c>
    </row>
    <row r="13" spans="1:6" ht="15" customHeight="1" x14ac:dyDescent="0.2">
      <c r="A13" s="5"/>
      <c r="B13" s="32"/>
      <c r="C13" s="32"/>
      <c r="D13" s="32"/>
      <c r="E13" s="32"/>
      <c r="F13" s="32"/>
    </row>
    <row r="14" spans="1:6" ht="15" customHeight="1" x14ac:dyDescent="0.2">
      <c r="A14" s="16" t="s">
        <v>118</v>
      </c>
      <c r="B14" s="33"/>
      <c r="C14" s="33"/>
      <c r="D14" s="33"/>
      <c r="E14" s="33"/>
      <c r="F14" s="33"/>
    </row>
    <row r="15" spans="1:6" ht="15" customHeight="1" x14ac:dyDescent="0.2">
      <c r="A15" s="14" t="s">
        <v>119</v>
      </c>
      <c r="B15" s="34">
        <v>657</v>
      </c>
      <c r="C15" s="34">
        <v>753</v>
      </c>
      <c r="D15" s="30">
        <v>1068</v>
      </c>
      <c r="E15" s="30">
        <v>1527</v>
      </c>
      <c r="F15" s="30">
        <v>1907</v>
      </c>
    </row>
    <row r="16" spans="1:6" ht="15" customHeight="1" x14ac:dyDescent="0.2">
      <c r="A16" s="5"/>
      <c r="B16" s="32"/>
      <c r="C16" s="32"/>
      <c r="D16" s="32"/>
      <c r="E16" s="32"/>
      <c r="F16" s="32"/>
    </row>
    <row r="17" spans="1:6" ht="15" customHeight="1" x14ac:dyDescent="0.2">
      <c r="A17" s="16" t="s">
        <v>120</v>
      </c>
      <c r="B17" s="33"/>
      <c r="C17" s="33"/>
      <c r="D17" s="33"/>
      <c r="E17" s="33"/>
      <c r="F17" s="33"/>
    </row>
    <row r="18" spans="1:6" ht="15" customHeight="1" x14ac:dyDescent="0.2">
      <c r="A18" s="14" t="s">
        <v>121</v>
      </c>
      <c r="B18" s="34">
        <v>209</v>
      </c>
      <c r="C18" s="34">
        <v>368</v>
      </c>
      <c r="D18" s="34">
        <v>-40</v>
      </c>
      <c r="E18" s="34">
        <v>235</v>
      </c>
      <c r="F18" s="34">
        <v>420</v>
      </c>
    </row>
    <row r="19" spans="1:6" ht="15" customHeight="1" x14ac:dyDescent="0.2">
      <c r="A19" s="5"/>
      <c r="B19" s="32"/>
      <c r="C19" s="32"/>
      <c r="D19" s="32"/>
      <c r="E19" s="32"/>
      <c r="F19" s="32"/>
    </row>
    <row r="20" spans="1:6" ht="15" customHeight="1" x14ac:dyDescent="0.2">
      <c r="A20" s="9" t="s">
        <v>122</v>
      </c>
      <c r="B20" s="31">
        <f>B9+B12+B15+B18</f>
        <v>182527</v>
      </c>
      <c r="C20" s="29">
        <v>257637</v>
      </c>
      <c r="D20" s="29">
        <v>282836</v>
      </c>
      <c r="E20" s="29">
        <v>307394</v>
      </c>
      <c r="F20" s="29">
        <v>350018</v>
      </c>
    </row>
    <row r="21" spans="1:6" ht="15" customHeight="1" x14ac:dyDescent="0.2">
      <c r="A21" s="5"/>
      <c r="B21" s="32"/>
      <c r="C21" s="32"/>
      <c r="D21" s="32"/>
      <c r="E21" s="32"/>
      <c r="F21" s="32"/>
    </row>
    <row r="22" spans="1:6" ht="15" customHeight="1" x14ac:dyDescent="0.2">
      <c r="A22" s="9" t="s">
        <v>123</v>
      </c>
      <c r="B22" s="31"/>
      <c r="C22" s="31"/>
      <c r="D22" s="31"/>
      <c r="E22" s="31"/>
      <c r="F22" s="31"/>
    </row>
    <row r="23" spans="1:6" ht="15" customHeight="1" x14ac:dyDescent="0.2">
      <c r="A23" s="9" t="s">
        <v>124</v>
      </c>
      <c r="B23" s="29">
        <v>60913</v>
      </c>
      <c r="C23" s="29">
        <v>98703</v>
      </c>
      <c r="D23" s="29">
        <v>88132</v>
      </c>
      <c r="E23" s="29">
        <v>100456</v>
      </c>
      <c r="F23" s="29">
        <v>117372</v>
      </c>
    </row>
    <row r="24" spans="1:6" ht="15" customHeight="1" x14ac:dyDescent="0.2">
      <c r="A24" s="9" t="s">
        <v>125</v>
      </c>
      <c r="B24" s="29">
        <v>-5607</v>
      </c>
      <c r="C24" s="29">
        <v>-3099</v>
      </c>
      <c r="D24" s="29">
        <v>1753</v>
      </c>
      <c r="E24" s="29">
        <v>6448</v>
      </c>
      <c r="F24" s="29">
        <v>10447</v>
      </c>
    </row>
    <row r="25" spans="1:6" ht="15" customHeight="1" x14ac:dyDescent="0.2">
      <c r="A25" s="9" t="s">
        <v>126</v>
      </c>
      <c r="B25" s="29">
        <v>-4540</v>
      </c>
      <c r="C25" s="29">
        <v>-5281</v>
      </c>
      <c r="D25" s="29">
        <v>-6085</v>
      </c>
      <c r="E25" s="29">
        <v>-6532</v>
      </c>
      <c r="F25" s="29">
        <v>-7070</v>
      </c>
    </row>
    <row r="26" spans="1:6" ht="15" customHeight="1" x14ac:dyDescent="0.2">
      <c r="A26" s="12" t="s">
        <v>127</v>
      </c>
      <c r="B26" s="28">
        <v>-9542</v>
      </c>
      <c r="C26" s="28">
        <v>-11609</v>
      </c>
      <c r="D26" s="28">
        <v>-9958</v>
      </c>
      <c r="E26" s="28">
        <v>-12254</v>
      </c>
      <c r="F26" s="28">
        <v>-32211</v>
      </c>
    </row>
    <row r="27" spans="1:6" ht="15" customHeight="1" x14ac:dyDescent="0.2">
      <c r="A27" s="9" t="s">
        <v>128</v>
      </c>
      <c r="B27" s="29">
        <v>41224</v>
      </c>
      <c r="C27" s="29">
        <v>78714</v>
      </c>
      <c r="D27" s="29">
        <v>74842</v>
      </c>
      <c r="E27" s="29">
        <v>88118</v>
      </c>
      <c r="F27" s="29">
        <v>88538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74EA6"/>
  </sheetPr>
  <dimension ref="A1:E43"/>
  <sheetViews>
    <sheetView showGridLines="0" zoomScale="135" zoomScaleNormal="135" workbookViewId="0"/>
  </sheetViews>
  <sheetFormatPr baseColWidth="10" defaultColWidth="8.83203125" defaultRowHeight="15" x14ac:dyDescent="0.2"/>
  <cols>
    <col min="1" max="1" width="44" customWidth="1"/>
    <col min="2" max="2" width="18" customWidth="1"/>
    <col min="3" max="3" width="29.1640625" customWidth="1"/>
    <col min="4" max="4" width="12" customWidth="1"/>
    <col min="5" max="5" width="13" customWidth="1"/>
  </cols>
  <sheetData>
    <row r="1" spans="1:5" ht="24" customHeight="1" x14ac:dyDescent="0.2">
      <c r="A1" s="1" t="s">
        <v>129</v>
      </c>
      <c r="B1" s="35"/>
      <c r="C1" s="35"/>
      <c r="D1" s="36"/>
      <c r="E1" s="37"/>
    </row>
    <row r="2" spans="1:5" ht="15" customHeight="1" x14ac:dyDescent="0.2">
      <c r="A2" s="5"/>
      <c r="B2" s="5"/>
      <c r="C2" s="5"/>
      <c r="D2" s="38"/>
      <c r="E2" s="38"/>
    </row>
    <row r="3" spans="1:5" s="40" customFormat="1" ht="18.75" customHeight="1" x14ac:dyDescent="0.25">
      <c r="A3" s="59" t="s">
        <v>130</v>
      </c>
      <c r="B3" s="56"/>
      <c r="C3" s="57"/>
      <c r="D3" s="39"/>
      <c r="E3" s="39"/>
    </row>
    <row r="4" spans="1:5" ht="15" customHeight="1" x14ac:dyDescent="0.2">
      <c r="A4" s="14" t="s">
        <v>131</v>
      </c>
      <c r="B4" s="14" t="s">
        <v>132</v>
      </c>
      <c r="C4" s="5"/>
    </row>
    <row r="5" spans="1:5" ht="15" customHeight="1" x14ac:dyDescent="0.2">
      <c r="A5" s="12" t="s">
        <v>133</v>
      </c>
      <c r="B5" s="12" t="s">
        <v>134</v>
      </c>
      <c r="C5" s="12"/>
    </row>
    <row r="6" spans="1:5" ht="15" customHeight="1" x14ac:dyDescent="0.2">
      <c r="A6" s="14" t="s">
        <v>135</v>
      </c>
      <c r="B6" s="14" t="s">
        <v>136</v>
      </c>
      <c r="C6" s="5"/>
    </row>
    <row r="7" spans="1:5" ht="15" customHeight="1" x14ac:dyDescent="0.2">
      <c r="A7" s="5"/>
      <c r="B7" s="5"/>
      <c r="C7" s="5"/>
    </row>
    <row r="8" spans="1:5" ht="18.75" customHeight="1" x14ac:dyDescent="0.2">
      <c r="A8" s="58" t="s">
        <v>137</v>
      </c>
      <c r="B8" s="56"/>
      <c r="C8" s="57"/>
    </row>
    <row r="9" spans="1:5" ht="15" customHeight="1" x14ac:dyDescent="0.2">
      <c r="A9" s="14" t="s">
        <v>138</v>
      </c>
      <c r="B9" s="30">
        <v>350018</v>
      </c>
      <c r="C9" s="5"/>
    </row>
    <row r="10" spans="1:5" ht="15" customHeight="1" x14ac:dyDescent="0.2">
      <c r="A10" s="9" t="s">
        <v>11</v>
      </c>
      <c r="B10" s="29">
        <v>88538</v>
      </c>
      <c r="C10" s="9"/>
    </row>
    <row r="11" spans="1:5" ht="15" customHeight="1" x14ac:dyDescent="0.2">
      <c r="A11" s="9" t="s">
        <v>19</v>
      </c>
      <c r="B11" s="29">
        <v>82183</v>
      </c>
      <c r="C11" s="5"/>
    </row>
    <row r="12" spans="1:5" ht="15" customHeight="1" x14ac:dyDescent="0.2">
      <c r="A12" s="9" t="s">
        <v>105</v>
      </c>
      <c r="B12" s="29">
        <v>80769</v>
      </c>
      <c r="C12" s="9"/>
    </row>
    <row r="13" spans="1:5" ht="15" customHeight="1" x14ac:dyDescent="0.2">
      <c r="A13" s="9" t="s">
        <v>139</v>
      </c>
      <c r="B13" s="29">
        <v>16069</v>
      </c>
      <c r="C13" s="5"/>
    </row>
    <row r="14" spans="1:5" ht="15" customHeight="1" x14ac:dyDescent="0.2">
      <c r="A14" s="12" t="s">
        <v>140</v>
      </c>
      <c r="B14" s="28">
        <v>96635</v>
      </c>
      <c r="C14" s="12"/>
    </row>
    <row r="15" spans="1:5" ht="15" customHeight="1" x14ac:dyDescent="0.2">
      <c r="A15" s="14" t="s">
        <v>141</v>
      </c>
      <c r="B15" s="30">
        <v>10826</v>
      </c>
      <c r="C15" s="5"/>
    </row>
    <row r="16" spans="1:5" ht="15" customHeight="1" x14ac:dyDescent="0.2">
      <c r="A16" s="5"/>
      <c r="B16" s="5"/>
      <c r="C16" s="5"/>
    </row>
    <row r="17" spans="1:3" ht="18.75" customHeight="1" x14ac:dyDescent="0.2">
      <c r="A17" s="58" t="s">
        <v>142</v>
      </c>
      <c r="B17" s="56"/>
      <c r="C17" s="57"/>
    </row>
    <row r="18" spans="1:3" ht="15" customHeight="1" x14ac:dyDescent="0.2">
      <c r="A18" s="14" t="s">
        <v>143</v>
      </c>
      <c r="B18" s="41">
        <v>0.1</v>
      </c>
      <c r="C18" s="14" t="s">
        <v>144</v>
      </c>
    </row>
    <row r="19" spans="1:3" ht="15" customHeight="1" x14ac:dyDescent="0.2">
      <c r="A19" s="12" t="s">
        <v>145</v>
      </c>
      <c r="B19" s="24">
        <v>0.03</v>
      </c>
      <c r="C19" s="12" t="s">
        <v>144</v>
      </c>
    </row>
    <row r="20" spans="1:3" ht="15" customHeight="1" x14ac:dyDescent="0.2">
      <c r="A20" s="14" t="s">
        <v>146</v>
      </c>
      <c r="B20" s="41">
        <v>0.25</v>
      </c>
      <c r="C20" s="14" t="s">
        <v>144</v>
      </c>
    </row>
    <row r="21" spans="1:3" ht="15" customHeight="1" x14ac:dyDescent="0.2">
      <c r="A21" s="12" t="s">
        <v>147</v>
      </c>
      <c r="B21" s="24">
        <v>0.21</v>
      </c>
      <c r="C21" s="12" t="s">
        <v>148</v>
      </c>
    </row>
    <row r="22" spans="1:3" ht="15" customHeight="1" x14ac:dyDescent="0.2">
      <c r="A22" s="14" t="s">
        <v>149</v>
      </c>
      <c r="B22" s="41">
        <v>8.5000000000000006E-2</v>
      </c>
      <c r="C22" s="14" t="s">
        <v>150</v>
      </c>
    </row>
    <row r="23" spans="1:3" ht="15" customHeight="1" x14ac:dyDescent="0.2">
      <c r="A23" s="5"/>
      <c r="B23" s="5"/>
      <c r="C23" s="5"/>
    </row>
    <row r="24" spans="1:3" ht="18.75" customHeight="1" x14ac:dyDescent="0.2">
      <c r="A24" s="58" t="s">
        <v>151</v>
      </c>
      <c r="B24" s="56"/>
      <c r="C24" s="57"/>
    </row>
    <row r="25" spans="1:3" ht="15" customHeight="1" x14ac:dyDescent="0.2">
      <c r="A25" s="14" t="s">
        <v>152</v>
      </c>
      <c r="B25" s="14" t="s">
        <v>153</v>
      </c>
      <c r="C25" s="14" t="s">
        <v>154</v>
      </c>
    </row>
    <row r="26" spans="1:3" ht="15" customHeight="1" x14ac:dyDescent="0.2">
      <c r="A26" s="12" t="s">
        <v>155</v>
      </c>
      <c r="B26" s="42">
        <v>7.59</v>
      </c>
      <c r="C26" s="12"/>
    </row>
    <row r="27" spans="1:3" ht="15" customHeight="1" x14ac:dyDescent="0.2">
      <c r="A27" s="14" t="s">
        <v>156</v>
      </c>
      <c r="B27" s="14" t="s">
        <v>157</v>
      </c>
      <c r="C27" s="14" t="s">
        <v>158</v>
      </c>
    </row>
    <row r="28" spans="1:3" ht="15" customHeight="1" x14ac:dyDescent="0.2">
      <c r="A28" s="5"/>
      <c r="B28" s="5"/>
      <c r="C28" s="5"/>
    </row>
    <row r="29" spans="1:3" ht="15" customHeight="1" x14ac:dyDescent="0.2">
      <c r="A29" s="16" t="s">
        <v>159</v>
      </c>
      <c r="B29" s="26"/>
      <c r="C29" s="26"/>
    </row>
    <row r="30" spans="1:3" ht="15" customHeight="1" x14ac:dyDescent="0.2">
      <c r="A30" s="14" t="s">
        <v>160</v>
      </c>
      <c r="B30" s="14" t="s">
        <v>161</v>
      </c>
      <c r="C30" s="14" t="s">
        <v>162</v>
      </c>
    </row>
    <row r="31" spans="1:3" ht="15" customHeight="1" x14ac:dyDescent="0.2">
      <c r="A31" s="12" t="s">
        <v>163</v>
      </c>
      <c r="B31" s="12" t="s">
        <v>164</v>
      </c>
      <c r="C31" s="12" t="s">
        <v>164</v>
      </c>
    </row>
    <row r="32" spans="1:3" ht="15" customHeight="1" x14ac:dyDescent="0.2">
      <c r="A32" s="14" t="s">
        <v>165</v>
      </c>
      <c r="B32" s="14" t="s">
        <v>164</v>
      </c>
      <c r="C32" s="14" t="s">
        <v>164</v>
      </c>
    </row>
    <row r="33" spans="1:3" ht="15" customHeight="1" x14ac:dyDescent="0.2">
      <c r="A33" s="12" t="s">
        <v>166</v>
      </c>
      <c r="B33" s="12" t="s">
        <v>164</v>
      </c>
      <c r="C33" s="12" t="s">
        <v>164</v>
      </c>
    </row>
    <row r="34" spans="1:3" ht="15" customHeight="1" x14ac:dyDescent="0.2">
      <c r="A34" s="14" t="s">
        <v>167</v>
      </c>
      <c r="B34" s="14" t="s">
        <v>164</v>
      </c>
      <c r="C34" s="14" t="s">
        <v>164</v>
      </c>
    </row>
    <row r="35" spans="1:3" ht="15" customHeight="1" x14ac:dyDescent="0.2">
      <c r="A35" s="12" t="s">
        <v>168</v>
      </c>
      <c r="B35" s="12" t="s">
        <v>169</v>
      </c>
      <c r="C35" s="12"/>
    </row>
    <row r="36" spans="1:3" ht="15" customHeight="1" x14ac:dyDescent="0.2">
      <c r="A36" s="5"/>
      <c r="B36" s="5"/>
      <c r="C36" s="5"/>
    </row>
    <row r="37" spans="1:3" ht="18.75" customHeight="1" x14ac:dyDescent="0.2">
      <c r="A37" s="58" t="s">
        <v>170</v>
      </c>
      <c r="B37" s="56"/>
      <c r="C37" s="57"/>
    </row>
    <row r="38" spans="1:3" ht="15" customHeight="1" x14ac:dyDescent="0.2">
      <c r="A38" s="16" t="s">
        <v>171</v>
      </c>
      <c r="B38" s="26"/>
      <c r="C38" s="26"/>
    </row>
    <row r="39" spans="1:3" ht="15" customHeight="1" x14ac:dyDescent="0.2">
      <c r="A39" s="16" t="s">
        <v>172</v>
      </c>
      <c r="B39" s="26"/>
      <c r="C39" s="26"/>
    </row>
    <row r="40" spans="1:3" ht="15" customHeight="1" x14ac:dyDescent="0.2">
      <c r="A40" s="16" t="s">
        <v>173</v>
      </c>
      <c r="B40" s="26"/>
      <c r="C40" s="26"/>
    </row>
    <row r="41" spans="1:3" ht="15" customHeight="1" x14ac:dyDescent="0.2">
      <c r="A41" s="16" t="s">
        <v>174</v>
      </c>
      <c r="B41" s="26"/>
      <c r="C41" s="26"/>
    </row>
    <row r="42" spans="1:3" ht="15" customHeight="1" x14ac:dyDescent="0.2">
      <c r="A42" s="16" t="s">
        <v>175</v>
      </c>
      <c r="B42" s="26"/>
      <c r="C42" s="26"/>
    </row>
    <row r="43" spans="1:3" ht="15" customHeight="1" x14ac:dyDescent="0.2">
      <c r="A43" s="16" t="s">
        <v>176</v>
      </c>
      <c r="B43" s="26"/>
      <c r="C43" s="26"/>
    </row>
  </sheetData>
  <mergeCells count="5">
    <mergeCell ref="A37:C37"/>
    <mergeCell ref="A8:C8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A73E8"/>
  </sheetPr>
  <dimension ref="A1:D19"/>
  <sheetViews>
    <sheetView showGridLines="0" workbookViewId="0"/>
  </sheetViews>
  <sheetFormatPr baseColWidth="10" defaultColWidth="8.83203125" defaultRowHeight="15" x14ac:dyDescent="0.2"/>
  <cols>
    <col min="1" max="1" width="52" customWidth="1"/>
    <col min="2" max="4" width="14" customWidth="1"/>
  </cols>
  <sheetData>
    <row r="1" spans="1:4" ht="24" customHeight="1" x14ac:dyDescent="0.2">
      <c r="A1" s="60" t="s">
        <v>177</v>
      </c>
      <c r="B1" s="61"/>
      <c r="C1" s="61"/>
      <c r="D1" s="61"/>
    </row>
    <row r="2" spans="1:4" x14ac:dyDescent="0.2">
      <c r="A2" s="63" t="s">
        <v>178</v>
      </c>
      <c r="B2" s="61"/>
      <c r="C2" s="61"/>
      <c r="D2" s="61"/>
    </row>
    <row r="4" spans="1:4" x14ac:dyDescent="0.2">
      <c r="A4" s="43" t="s">
        <v>160</v>
      </c>
      <c r="B4" s="44" t="s">
        <v>179</v>
      </c>
      <c r="C4" s="44" t="s">
        <v>180</v>
      </c>
      <c r="D4" s="44" t="s">
        <v>181</v>
      </c>
    </row>
    <row r="5" spans="1:4" x14ac:dyDescent="0.2">
      <c r="A5" s="45" t="s">
        <v>182</v>
      </c>
      <c r="B5" s="46">
        <v>357.37</v>
      </c>
      <c r="C5" s="46">
        <v>13.24</v>
      </c>
      <c r="D5" s="47">
        <f>B5/C5</f>
        <v>26.991691842900302</v>
      </c>
    </row>
    <row r="6" spans="1:4" x14ac:dyDescent="0.2">
      <c r="A6" s="48" t="s">
        <v>165</v>
      </c>
      <c r="B6" s="49">
        <v>281.74</v>
      </c>
      <c r="C6" s="49">
        <v>8.2899999999999991</v>
      </c>
      <c r="D6" s="50">
        <f>B6/C6</f>
        <v>33.985524728588665</v>
      </c>
    </row>
    <row r="7" spans="1:4" x14ac:dyDescent="0.2">
      <c r="A7" s="51" t="s">
        <v>163</v>
      </c>
      <c r="B7" s="52">
        <v>373.02</v>
      </c>
      <c r="C7" s="52">
        <v>16.86</v>
      </c>
      <c r="D7" s="53">
        <f>B7/C7</f>
        <v>22.12455516014235</v>
      </c>
    </row>
    <row r="8" spans="1:4" x14ac:dyDescent="0.2">
      <c r="A8" s="48" t="s">
        <v>167</v>
      </c>
      <c r="B8" s="49">
        <v>241.7</v>
      </c>
      <c r="C8" s="49">
        <v>8.49</v>
      </c>
      <c r="D8" s="50">
        <f>B8/C8</f>
        <v>28.468786808009419</v>
      </c>
    </row>
    <row r="9" spans="1:4" x14ac:dyDescent="0.2">
      <c r="A9" s="51" t="s">
        <v>166</v>
      </c>
      <c r="B9" s="52">
        <v>550.25</v>
      </c>
      <c r="C9" s="52">
        <v>27.95</v>
      </c>
      <c r="D9" s="53">
        <f>B9/C9</f>
        <v>19.686940966010734</v>
      </c>
    </row>
    <row r="11" spans="1:4" x14ac:dyDescent="0.2">
      <c r="A11" s="64" t="s">
        <v>183</v>
      </c>
      <c r="B11" s="65"/>
      <c r="C11" s="65"/>
      <c r="D11" s="66"/>
    </row>
    <row r="12" spans="1:4" x14ac:dyDescent="0.2">
      <c r="A12" s="45" t="s">
        <v>184</v>
      </c>
      <c r="D12" s="53">
        <f>MEDIAN(D6:D9)</f>
        <v>25.296670984075885</v>
      </c>
    </row>
    <row r="13" spans="1:4" x14ac:dyDescent="0.2">
      <c r="A13" s="45" t="s">
        <v>185</v>
      </c>
      <c r="D13" s="54">
        <f>D5/D12-1</f>
        <v>6.7005688609834246E-2</v>
      </c>
    </row>
    <row r="14" spans="1:4" x14ac:dyDescent="0.2">
      <c r="A14" s="45" t="s">
        <v>186</v>
      </c>
      <c r="D14" s="52">
        <f>D12*C5</f>
        <v>334.92792382916474</v>
      </c>
    </row>
    <row r="15" spans="1:4" x14ac:dyDescent="0.2">
      <c r="A15" s="45" t="s">
        <v>187</v>
      </c>
      <c r="D15" s="54">
        <f>D14/B5-1</f>
        <v>-6.279787383058244E-2</v>
      </c>
    </row>
    <row r="17" spans="1:4" x14ac:dyDescent="0.2">
      <c r="A17" s="62" t="s">
        <v>188</v>
      </c>
      <c r="B17" s="61"/>
      <c r="C17" s="61"/>
      <c r="D17" s="61"/>
    </row>
    <row r="18" spans="1:4" x14ac:dyDescent="0.2">
      <c r="A18" s="61"/>
      <c r="B18" s="61"/>
      <c r="C18" s="61"/>
      <c r="D18" s="61"/>
    </row>
    <row r="19" spans="1:4" x14ac:dyDescent="0.2">
      <c r="A19" s="61"/>
      <c r="B19" s="61"/>
      <c r="C19" s="61"/>
      <c r="D19" s="61"/>
    </row>
  </sheetData>
  <mergeCells count="4">
    <mergeCell ref="A1:D1"/>
    <mergeCell ref="A17:D19"/>
    <mergeCell ref="A2:D2"/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Income Statement</vt:lpstr>
      <vt:lpstr>Balance Sheet</vt:lpstr>
      <vt:lpstr>Cash Flow Statement</vt:lpstr>
      <vt:lpstr>Key Metrics</vt:lpstr>
      <vt:lpstr>Revenue Breakdown</vt:lpstr>
      <vt:lpstr>Model Inputs</vt:lpstr>
      <vt:lpstr>Peer Comps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Debjit Mukherjee</cp:lastModifiedBy>
  <cp:revision>0</cp:revision>
  <cp:lastPrinted>2026-04-01T13:58:27Z</cp:lastPrinted>
  <dcterms:created xsi:type="dcterms:W3CDTF">2026-02-23T16:26:19Z</dcterms:created>
  <dcterms:modified xsi:type="dcterms:W3CDTF">2026-07-08T07:03:05Z</dcterms:modified>
  <dc:language>en-US</dc:language>
</cp:coreProperties>
</file>