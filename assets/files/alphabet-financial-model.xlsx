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3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Key Metrics" sheetId="4" state="visible" r:id="rId4"/>
    <sheet xmlns:r="http://schemas.openxmlformats.org/officeDocument/2006/relationships" name="Revenue Breakdown" sheetId="5" state="visible" r:id="rId5"/>
    <sheet xmlns:r="http://schemas.openxmlformats.org/officeDocument/2006/relationships" name="SOTP" sheetId="6" state="visible" r:id="rId6"/>
    <sheet xmlns:r="http://schemas.openxmlformats.org/officeDocument/2006/relationships" name="Model Inputs" sheetId="7" state="visible" r:id="rId7"/>
    <sheet xmlns:r="http://schemas.openxmlformats.org/officeDocument/2006/relationships" name="Peer Comps" sheetId="8" state="visible" r:id="rId8"/>
  </sheets>
  <definedNames>
    <definedName name="_xlnm.Print_Area" localSheetId="0">'Income Statement'!$A$1:$H$32</definedName>
    <definedName name="_xlnm.Print_Area" localSheetId="1">'Balance Sheet'!$A$1:$H$45</definedName>
    <definedName name="_xlnm.Print_Area" localSheetId="2">'Cash Flow Statement'!$A$1:$I$36</definedName>
    <definedName name="_xlnm.Print_Area" localSheetId="3">'Key Metrics'!$A$1:$L$31</definedName>
    <definedName name="_xlnm.Print_Area" localSheetId="4">'Revenue Breakdown'!$A$1:$G$27</definedName>
    <definedName name="_xlnm.Print_Area" localSheetId="5">'SOTP'!$A$1:$F$33</definedName>
    <definedName name="_xlnm.Print_Area" localSheetId="6">'Model Inputs'!$A$1:$E$43</definedName>
    <definedName name="_xlnm.Print_Area" localSheetId="7">'Peer Comps'!$A$1:$D$19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5">
    <numFmt numFmtId="164" formatCode="_(* #,##0.00_);_(* \(#,##0.00\);_(* \-??_);_(@_)"/>
    <numFmt numFmtId="165" formatCode="_(* #,##0_);_(* \(#,##0\);_(* \-??_);_(@_)"/>
    <numFmt numFmtId="166" formatCode="#,##0;\(#,##0\)"/>
    <numFmt numFmtId="167" formatCode="0.0&quot;x&quot;"/>
    <numFmt numFmtId="168" formatCode="0.0%"/>
  </numFmts>
  <fonts count="20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0"/>
    </font>
    <font>
      <name val="Arial"/>
      <family val="2"/>
      <b val="1"/>
      <color rgb="FF174EA6"/>
      <sz val="10"/>
    </font>
    <font>
      <name val="Arial"/>
      <family val="2"/>
      <color rgb="FF1F1F1F"/>
      <sz val="10"/>
    </font>
    <font>
      <name val="Arial"/>
      <family val="2"/>
      <color rgb="FF0000FF"/>
      <sz val="10"/>
    </font>
    <font>
      <name val="Arial"/>
      <family val="2"/>
      <color rgb="FFFFFFFF"/>
      <sz val="10"/>
    </font>
    <font>
      <name val="Arial"/>
      <family val="2"/>
      <b val="1"/>
      <color rgb="FF1F1F1F"/>
      <sz val="16"/>
    </font>
    <font>
      <name val="Calibri"/>
      <charset val="1"/>
      <family val="2"/>
      <color theme="0"/>
      <sz val="11"/>
    </font>
    <font>
      <name val="Calibri"/>
      <charset val="1"/>
      <family val="2"/>
      <color theme="1"/>
      <sz val="14"/>
    </font>
    <font>
      <name val="Calibri"/>
      <family val="2"/>
      <b val="1"/>
      <color rgb="FFFFFFFF"/>
      <sz val="14"/>
    </font>
    <font>
      <name val="Calibri"/>
      <family val="2"/>
      <i val="1"/>
      <color rgb="FF595959"/>
      <sz val="9.5"/>
    </font>
    <font>
      <name val="Calibri"/>
      <family val="2"/>
      <b val="1"/>
      <color rgb="FFFFFFFF"/>
      <sz val="10.5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Calibri"/>
      <family val="2"/>
      <i val="1"/>
      <color rgb="FF595959"/>
      <sz val="9.5"/>
    </font>
    <font>
      <b val="1"/>
      <color rgb="00FFFFFF"/>
      <sz val="11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FF174EA6"/>
        <bgColor rgb="FF333399"/>
      </patternFill>
    </fill>
    <fill>
      <patternFill patternType="solid">
        <fgColor rgb="FFD2E3FC"/>
        <bgColor rgb="FFDDDDDD"/>
      </patternFill>
    </fill>
    <fill>
      <patternFill patternType="solid">
        <fgColor rgb="FFE8F0FE"/>
        <bgColor rgb="FFD2E3FC"/>
      </patternFill>
    </fill>
    <fill>
      <patternFill patternType="solid">
        <fgColor rgb="FF4285F4"/>
        <bgColor rgb="FF666699"/>
      </patternFill>
    </fill>
    <fill>
      <patternFill patternType="solid">
        <fgColor theme="9" tint="-0.249977111117893"/>
        <bgColor rgb="FFFF9900"/>
      </patternFill>
    </fill>
    <fill>
      <patternFill patternType="solid">
        <fgColor rgb="FF1A73E8"/>
      </patternFill>
    </fill>
    <fill>
      <patternFill patternType="solid">
        <fgColor rgb="FFEEF2F8"/>
      </patternFill>
    </fill>
    <fill>
      <patternFill patternType="solid">
        <fgColor rgb="001F3864"/>
      </patternFill>
    </fill>
    <fill>
      <patternFill patternType="solid">
        <fgColor rgb="002E5496"/>
      </patternFill>
    </fill>
  </fills>
  <borders count="11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34A853"/>
      </top>
      <bottom style="thin">
        <color rgb="FF34A85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2" borderId="1" pivotButton="0" quotePrefix="0" xfId="0"/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4" fillId="3" borderId="2" pivotButton="0" quotePrefix="0" xfId="0"/>
    <xf numFmtId="165" fontId="4" fillId="3" borderId="2" pivotButton="0" quotePrefix="0" xfId="0"/>
    <xf numFmtId="165" fontId="0" fillId="0" borderId="1" pivotButton="0" quotePrefix="0" xfId="0"/>
    <xf numFmtId="0" fontId="5" fillId="4" borderId="1" pivotButton="0" quotePrefix="0" xfId="0"/>
    <xf numFmtId="165" fontId="5" fillId="4" borderId="1" pivotButton="0" quotePrefix="0" xfId="0"/>
    <xf numFmtId="0" fontId="5" fillId="0" borderId="1" pivotButton="0" quotePrefix="0" xfId="0"/>
    <xf numFmtId="165" fontId="6" fillId="0" borderId="1" pivotButton="0" quotePrefix="0" xfId="0"/>
    <xf numFmtId="0" fontId="3" fillId="5" borderId="1" pivotButton="0" quotePrefix="0" xfId="0"/>
    <xf numFmtId="165" fontId="7" fillId="5" borderId="1" pivotButton="0" quotePrefix="0" xfId="0"/>
    <xf numFmtId="165" fontId="6" fillId="4" borderId="1" pivotButton="0" quotePrefix="0" xfId="0"/>
    <xf numFmtId="164" fontId="7" fillId="5" borderId="1" pivotButton="0" quotePrefix="0" xfId="0"/>
    <xf numFmtId="164" fontId="5" fillId="0" borderId="1" pivotButton="0" quotePrefix="0" xfId="0"/>
    <xf numFmtId="165" fontId="3" fillId="2" borderId="1" pivotButton="0" quotePrefix="0" xfId="0"/>
    <xf numFmtId="0" fontId="2" fillId="2" borderId="0" pivotButton="0" quotePrefix="0" xfId="0"/>
    <xf numFmtId="165" fontId="0" fillId="0" borderId="0" pivotButton="0" quotePrefix="0" xfId="0"/>
    <xf numFmtId="10" fontId="6" fillId="4" borderId="1" pivotButton="0" quotePrefix="0" xfId="0"/>
    <xf numFmtId="0" fontId="9" fillId="6" borderId="1" pivotButton="0" quotePrefix="0" xfId="0"/>
    <xf numFmtId="0" fontId="7" fillId="5" borderId="1" pivotButton="0" quotePrefix="0" xfId="0"/>
    <xf numFmtId="0" fontId="6" fillId="4" borderId="1" pivotButton="0" quotePrefix="0" xfId="0"/>
    <xf numFmtId="166" fontId="6" fillId="4" borderId="1" pivotButton="0" quotePrefix="0" xfId="0"/>
    <xf numFmtId="166" fontId="4" fillId="3" borderId="2" pivotButton="0" quotePrefix="0" xfId="0"/>
    <xf numFmtId="166" fontId="6" fillId="0" borderId="1" pivotButton="0" quotePrefix="0" xfId="0"/>
    <xf numFmtId="1" fontId="4" fillId="3" borderId="2" pivotButton="0" quotePrefix="0" xfId="0"/>
    <xf numFmtId="1" fontId="0" fillId="0" borderId="1" pivotButton="0" quotePrefix="0" xfId="0"/>
    <xf numFmtId="1" fontId="7" fillId="5" borderId="1" pivotButton="0" quotePrefix="0" xfId="0"/>
    <xf numFmtId="1" fontId="6" fillId="0" borderId="1" pivotButton="0" quotePrefix="0" xfId="0"/>
    <xf numFmtId="0" fontId="1" fillId="2" borderId="1" pivotButton="0" quotePrefix="0" xfId="0"/>
    <xf numFmtId="0" fontId="1" fillId="2" borderId="3" pivotButton="0" quotePrefix="0" xfId="0"/>
    <xf numFmtId="0" fontId="2" fillId="2" borderId="3" pivotButton="0" quotePrefix="0" xfId="0"/>
    <xf numFmtId="0" fontId="0" fillId="0" borderId="3" pivotButton="0" quotePrefix="0" xfId="0"/>
    <xf numFmtId="0" fontId="3" fillId="2" borderId="0" pivotButton="0" quotePrefix="0" xfId="0"/>
    <xf numFmtId="0" fontId="10" fillId="0" borderId="0" pivotButton="0" quotePrefix="0" xfId="0"/>
    <xf numFmtId="10" fontId="6" fillId="0" borderId="1" pivotButton="0" quotePrefix="0" xfId="0"/>
    <xf numFmtId="2" fontId="6" fillId="4" borderId="1" pivotButton="0" quotePrefix="0" xfId="0"/>
    <xf numFmtId="0" fontId="13" fillId="7" borderId="6" applyAlignment="1" pivotButton="0" quotePrefix="0" xfId="0">
      <alignment horizontal="left"/>
    </xf>
    <xf numFmtId="0" fontId="13" fillId="7" borderId="6" applyAlignment="1" pivotButton="0" quotePrefix="0" xfId="0">
      <alignment horizontal="center"/>
    </xf>
    <xf numFmtId="0" fontId="14" fillId="0" borderId="6" pivotButton="0" quotePrefix="0" xfId="0"/>
    <xf numFmtId="4" fontId="14" fillId="0" borderId="6" pivotButton="0" quotePrefix="0" xfId="0"/>
    <xf numFmtId="167" fontId="14" fillId="0" borderId="6" pivotButton="0" quotePrefix="0" xfId="0"/>
    <xf numFmtId="0" fontId="0" fillId="8" borderId="6" pivotButton="0" quotePrefix="0" xfId="0"/>
    <xf numFmtId="4" fontId="0" fillId="8" borderId="6" pivotButton="0" quotePrefix="0" xfId="0"/>
    <xf numFmtId="167" fontId="0" fillId="8" borderId="6" pivotButton="0" quotePrefix="0" xfId="0"/>
    <xf numFmtId="0" fontId="0" fillId="0" borderId="6" pivotButton="0" quotePrefix="0" xfId="0"/>
    <xf numFmtId="4" fontId="0" fillId="0" borderId="6" pivotButton="0" quotePrefix="0" xfId="0"/>
    <xf numFmtId="167" fontId="0" fillId="0" borderId="6" pivotButton="0" quotePrefix="0" xfId="0"/>
    <xf numFmtId="168" fontId="0" fillId="0" borderId="6" pivotButton="0" quotePrefix="0" xfId="0"/>
    <xf numFmtId="0" fontId="8" fillId="4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11" fillId="7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16" fillId="0" borderId="0" applyAlignment="1" pivotButton="0" quotePrefix="0" xfId="0">
      <alignment vertical="top" wrapText="1"/>
    </xf>
    <xf numFmtId="0" fontId="12" fillId="0" borderId="0" pivotButton="0" quotePrefix="0" xfId="0"/>
    <xf numFmtId="0" fontId="15" fillId="7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4" borderId="6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5" borderId="6" applyAlignment="1" pivotButton="0" quotePrefix="0" xfId="0">
      <alignment horizontal="center"/>
    </xf>
    <xf numFmtId="0" fontId="17" fillId="9" borderId="0" pivotButton="0" quotePrefix="0" xfId="0"/>
    <xf numFmtId="0" fontId="18" fillId="10" borderId="0" pivotButton="0" quotePrefix="0" xfId="0"/>
    <xf numFmtId="0" fontId="19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2" fillId="2" borderId="6" applyAlignment="1" pivotButton="0" quotePrefix="0" xfId="0">
      <alignment horizontal="center" vertical="center"/>
    </xf>
    <xf numFmtId="165" fontId="6" fillId="0" borderId="6" pivotButton="0" quotePrefix="0" xfId="0"/>
    <xf numFmtId="165" fontId="6" fillId="4" borderId="6" pivotButton="0" quotePrefix="0" xfId="0"/>
    <xf numFmtId="165" fontId="5" fillId="4" borderId="6" pivotButton="0" quotePrefix="0" xfId="0"/>
    <xf numFmtId="164" fontId="5" fillId="0" borderId="6" pivotButton="0" quotePrefix="0" xfId="0"/>
    <xf numFmtId="166" fontId="6" fillId="0" borderId="6" pivotButton="0" quotePrefix="0" xfId="0"/>
    <xf numFmtId="166" fontId="6" fillId="4" borderId="6" pivotButton="0" quotePrefix="0" xfId="0"/>
    <xf numFmtId="1" fontId="6" fillId="0" borderId="6" pivotButton="0" quotePrefix="0" xfId="0"/>
    <xf numFmtId="0" fontId="5" fillId="0" borderId="6" pivotButton="0" quotePrefix="0" xfId="0"/>
    <xf numFmtId="0" fontId="0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5" fillId="0" borderId="6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0FE"/>
      <rgbColor rgb="FF660066"/>
      <rgbColor rgb="FFFF8080"/>
      <rgbColor rgb="FF174EA6"/>
      <rgbColor rgb="FFD2E3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FCC00"/>
      <rgbColor rgb="FFFF9900"/>
      <rgbColor rgb="FFE46C0A"/>
      <rgbColor rgb="FF666699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74EA6"/>
    <outlinePr summaryBelow="1" summaryRight="1"/>
    <pageSetUpPr fitToPage="1"/>
  </sheetPr>
  <dimension ref="A1:H32"/>
  <sheetViews>
    <sheetView showGridLines="0" zoomScale="125" zoomScaleNormal="125" workbookViewId="0">
      <selection activeCell="A1" sqref="A1"/>
    </sheetView>
  </sheetViews>
  <sheetFormatPr baseColWidth="10" defaultColWidth="8.83203125" defaultRowHeight="15"/>
  <cols>
    <col width="38" customWidth="1" style="61" min="1" max="1"/>
    <col width="13" customWidth="1" style="61" min="2" max="7"/>
  </cols>
  <sheetData>
    <row r="1" ht="24" customHeight="1" s="61">
      <c r="A1" s="1" t="inlineStr">
        <is>
          <t>Alphabet Inc. - Income Statement (USD Millions)</t>
        </is>
      </c>
      <c r="B1" s="2" t="n"/>
      <c r="C1" s="2" t="n"/>
      <c r="D1" s="2" t="n"/>
      <c r="E1" s="2" t="n"/>
      <c r="F1" s="2" t="n"/>
      <c r="G1" s="2" t="n"/>
    </row>
    <row r="2" ht="18" customHeight="1" s="61">
      <c r="A2" s="3" t="inlineStr">
        <is>
          <t>Fiscal Year Ended December 31</t>
        </is>
      </c>
      <c r="B2" s="4" t="n">
        <v>2020</v>
      </c>
      <c r="C2" s="4" t="n">
        <v>2021</v>
      </c>
      <c r="D2" s="4" t="n">
        <v>2022</v>
      </c>
      <c r="E2" s="4" t="n">
        <v>2023</v>
      </c>
      <c r="F2" s="4" t="n">
        <v>2024</v>
      </c>
      <c r="G2" s="4" t="n">
        <v>2025</v>
      </c>
      <c r="H2" s="75" t="inlineStr">
        <is>
          <t>Q2 2026A</t>
        </is>
      </c>
    </row>
    <row r="3" ht="15" customHeight="1" s="61">
      <c r="A3" s="5" t="n"/>
      <c r="B3" s="6" t="n"/>
      <c r="C3" s="6" t="n"/>
      <c r="D3" s="6" t="n"/>
      <c r="E3" s="6" t="n"/>
      <c r="F3" s="6" t="n"/>
      <c r="G3" s="6" t="n"/>
    </row>
    <row r="4" ht="15" customHeight="1" s="61">
      <c r="A4" s="7" t="inlineStr">
        <is>
          <t>REVENUE</t>
        </is>
      </c>
      <c r="B4" s="8" t="n"/>
      <c r="C4" s="8" t="n"/>
      <c r="D4" s="8" t="n"/>
      <c r="E4" s="8" t="n"/>
      <c r="F4" s="8" t="n"/>
      <c r="G4" s="8" t="n"/>
    </row>
    <row r="5" ht="15" customHeight="1" s="61">
      <c r="A5" s="9" t="inlineStr">
        <is>
          <t>Total Revenues</t>
        </is>
      </c>
      <c r="B5" s="10" t="n">
        <v>182527</v>
      </c>
      <c r="C5" s="10" t="n">
        <v>257637</v>
      </c>
      <c r="D5" s="10" t="n">
        <v>282836</v>
      </c>
      <c r="E5" s="10" t="n">
        <v>307394</v>
      </c>
      <c r="F5" s="10" t="n">
        <v>350018</v>
      </c>
      <c r="G5" s="10" t="n">
        <v>402836</v>
      </c>
      <c r="H5" s="10" t="n">
        <v>119796</v>
      </c>
    </row>
    <row r="6" ht="15" customHeight="1" s="61">
      <c r="A6" s="5" t="n"/>
      <c r="B6" s="11" t="n"/>
      <c r="C6" s="11" t="n"/>
      <c r="D6" s="11" t="n"/>
      <c r="E6" s="11" t="n"/>
      <c r="F6" s="11" t="n"/>
      <c r="G6" s="11" t="n"/>
    </row>
    <row r="7" ht="15" customHeight="1" s="61">
      <c r="A7" s="12" t="inlineStr">
        <is>
          <t>COST &amp; EXPENSES</t>
        </is>
      </c>
      <c r="B7" s="13" t="n"/>
      <c r="C7" s="13" t="n"/>
      <c r="D7" s="13" t="n"/>
      <c r="E7" s="13" t="n"/>
      <c r="F7" s="13" t="n"/>
      <c r="G7" s="13">
        <f>B5-B8</f>
        <v/>
      </c>
    </row>
    <row r="8" ht="15" customHeight="1" s="61">
      <c r="A8" s="14" t="inlineStr">
        <is>
          <t>Cost of Revenue</t>
        </is>
      </c>
      <c r="B8" s="15" t="n">
        <v>84732</v>
      </c>
      <c r="C8" s="15" t="n">
        <v>110939</v>
      </c>
      <c r="D8" s="15" t="n">
        <v>126203</v>
      </c>
      <c r="E8" s="15" t="n">
        <v>133332</v>
      </c>
      <c r="F8" s="15" t="n">
        <v>146306</v>
      </c>
      <c r="G8" s="15" t="n">
        <v>162535</v>
      </c>
      <c r="H8" s="76" t="n">
        <v>45943</v>
      </c>
    </row>
    <row r="9" ht="15" customHeight="1" s="61">
      <c r="A9" s="9" t="inlineStr">
        <is>
          <t>Gross Profit</t>
        </is>
      </c>
      <c r="B9" s="10">
        <f>B5-B8</f>
        <v/>
      </c>
      <c r="C9" s="10">
        <f>C5-C8</f>
        <v/>
      </c>
      <c r="D9" s="10">
        <f>D5-D8</f>
        <v/>
      </c>
      <c r="E9" s="10">
        <f>E5-E8</f>
        <v/>
      </c>
      <c r="F9" s="10">
        <f>F5-F8</f>
        <v/>
      </c>
      <c r="G9" s="10">
        <f>G5-G8</f>
        <v/>
      </c>
      <c r="H9" s="10">
        <f>H5-H8</f>
        <v/>
      </c>
    </row>
    <row r="10" ht="15" customHeight="1" s="61">
      <c r="A10" s="5" t="n"/>
      <c r="B10" s="11" t="n"/>
      <c r="C10" s="11" t="n"/>
      <c r="D10" s="11" t="n"/>
      <c r="E10" s="11" t="n"/>
      <c r="F10" s="11" t="n"/>
      <c r="G10" s="11" t="n"/>
    </row>
    <row r="11" ht="15" customHeight="1" s="61">
      <c r="A11" s="16" t="inlineStr">
        <is>
          <t>Operating Expenses:</t>
        </is>
      </c>
      <c r="B11" s="17" t="n"/>
      <c r="C11" s="17" t="n"/>
      <c r="D11" s="17" t="n"/>
      <c r="E11" s="17" t="n"/>
      <c r="F11" s="17" t="n"/>
      <c r="G11" s="17" t="n"/>
    </row>
    <row r="12" ht="15" customHeight="1" s="61">
      <c r="A12" s="14" t="inlineStr">
        <is>
          <t>Research &amp; Development</t>
        </is>
      </c>
      <c r="B12" s="15" t="n">
        <v>27573</v>
      </c>
      <c r="C12" s="15" t="n">
        <v>31562</v>
      </c>
      <c r="D12" s="15" t="n">
        <v>39500</v>
      </c>
      <c r="E12" s="15" t="n">
        <v>45427</v>
      </c>
      <c r="F12" s="15" t="n">
        <v>49326</v>
      </c>
      <c r="G12" s="15" t="n">
        <v>61087</v>
      </c>
      <c r="H12" s="76" t="n">
        <v>18219</v>
      </c>
    </row>
    <row r="13" ht="15" customHeight="1" s="61">
      <c r="A13" s="12" t="inlineStr">
        <is>
          <t>Selling, General &amp; Administrative</t>
        </is>
      </c>
      <c r="B13" s="18" t="n">
        <v>28998</v>
      </c>
      <c r="C13" s="18" t="n">
        <v>36422</v>
      </c>
      <c r="D13" s="18" t="n">
        <v>42291</v>
      </c>
      <c r="E13" s="18" t="n">
        <v>44342</v>
      </c>
      <c r="F13" s="18" t="n">
        <v>41996</v>
      </c>
      <c r="G13" s="18" t="n">
        <v>50175</v>
      </c>
      <c r="H13" s="77" t="n">
        <v>14864</v>
      </c>
    </row>
    <row r="14" ht="15" customHeight="1" s="61">
      <c r="A14" s="9" t="inlineStr">
        <is>
          <t>Total Operating Expenses</t>
        </is>
      </c>
      <c r="B14" s="10">
        <f>B12+B13</f>
        <v/>
      </c>
      <c r="C14" s="10">
        <f>C12+C13</f>
        <v/>
      </c>
      <c r="D14" s="10">
        <f>D12+D13</f>
        <v/>
      </c>
      <c r="E14" s="10">
        <f>E12+E13</f>
        <v/>
      </c>
      <c r="F14" s="10">
        <f>F12+F13</f>
        <v/>
      </c>
      <c r="G14" s="10">
        <f>G12+G13</f>
        <v/>
      </c>
      <c r="H14" s="10">
        <f>H12+H13</f>
        <v/>
      </c>
    </row>
    <row r="15" ht="15" customHeight="1" s="61">
      <c r="A15" s="5" t="n"/>
      <c r="B15" s="11" t="n"/>
      <c r="C15" s="11" t="n"/>
      <c r="D15" s="11" t="n"/>
      <c r="E15" s="11" t="n"/>
      <c r="F15" s="11" t="n"/>
      <c r="G15" s="11" t="n"/>
    </row>
    <row r="16" ht="15" customHeight="1" s="61">
      <c r="A16" s="9" t="inlineStr">
        <is>
          <t>Operating Income (EBIT)</t>
        </is>
      </c>
      <c r="B16" s="10">
        <f>B9-B14</f>
        <v/>
      </c>
      <c r="C16" s="10">
        <f>C9-C14</f>
        <v/>
      </c>
      <c r="D16" s="10">
        <f>D9-D14</f>
        <v/>
      </c>
      <c r="E16" s="10">
        <f>E9-E14</f>
        <v/>
      </c>
      <c r="F16" s="10">
        <f>F9-F14</f>
        <v/>
      </c>
      <c r="G16" s="10">
        <f>G9-G14</f>
        <v/>
      </c>
      <c r="H16" s="10">
        <f>H9-H14</f>
        <v/>
      </c>
    </row>
    <row r="17" ht="15" customHeight="1" s="61">
      <c r="A17" s="5" t="n"/>
      <c r="B17" s="11" t="n"/>
      <c r="C17" s="11" t="n"/>
      <c r="D17" s="11" t="n"/>
      <c r="E17" s="11" t="n"/>
      <c r="F17" s="11" t="n"/>
      <c r="G17" s="11" t="n"/>
    </row>
    <row r="18" ht="15" customHeight="1" s="61">
      <c r="A18" s="16" t="inlineStr">
        <is>
          <t>OTHER INCOME/EXPENSE</t>
        </is>
      </c>
      <c r="B18" s="17" t="n"/>
      <c r="C18" s="17" t="n"/>
      <c r="D18" s="17" t="n"/>
      <c r="E18" s="17" t="n"/>
      <c r="F18" s="17" t="n"/>
      <c r="G18" s="17" t="n"/>
    </row>
    <row r="19" ht="15" customHeight="1" s="61">
      <c r="A19" s="14" t="inlineStr">
        <is>
          <t>Interest Income</t>
        </is>
      </c>
      <c r="B19" s="15" t="n">
        <v>8104</v>
      </c>
      <c r="C19" s="15" t="n">
        <v>13486</v>
      </c>
      <c r="D19" s="15" t="n">
        <v>2858</v>
      </c>
      <c r="E19" s="15" t="n">
        <v>0</v>
      </c>
      <c r="F19" s="15" t="n">
        <v>0</v>
      </c>
      <c r="G19" s="15" t="n">
        <v>0</v>
      </c>
      <c r="H19" s="76" t="n">
        <v>1430</v>
      </c>
    </row>
    <row r="20" ht="15" customHeight="1" s="61">
      <c r="A20" s="12" t="inlineStr">
        <is>
          <t>Interest Expense</t>
        </is>
      </c>
      <c r="B20" s="18" t="n">
        <v>-135</v>
      </c>
      <c r="C20" s="18" t="n">
        <v>-346</v>
      </c>
      <c r="D20" s="18" t="n">
        <v>-357</v>
      </c>
      <c r="E20" s="18" t="n">
        <v>0</v>
      </c>
      <c r="F20" s="18" t="n">
        <v>0</v>
      </c>
      <c r="G20" s="18" t="n">
        <v>0</v>
      </c>
      <c r="H20" s="77" t="n">
        <v>-1278</v>
      </c>
    </row>
    <row r="21" ht="15" customHeight="1" s="61">
      <c r="A21" s="14" t="inlineStr">
        <is>
          <t>Other Income/(Expense), net</t>
        </is>
      </c>
      <c r="B21" s="15" t="n">
        <v>-1246</v>
      </c>
      <c r="C21" s="15" t="n">
        <v>-1562</v>
      </c>
      <c r="D21" s="15" t="n">
        <v>93</v>
      </c>
      <c r="E21" s="15" t="n">
        <v>1424</v>
      </c>
      <c r="F21" s="15" t="n">
        <v>7425</v>
      </c>
      <c r="G21" s="15" t="n">
        <v>29787</v>
      </c>
      <c r="H21" s="76" t="n">
        <v>97831</v>
      </c>
    </row>
    <row r="22" ht="15" customHeight="1" s="61">
      <c r="A22" s="12" t="inlineStr">
        <is>
          <t>Total Other Income/(Expense)</t>
        </is>
      </c>
      <c r="B22" s="13">
        <f>B19+B20+B21</f>
        <v/>
      </c>
      <c r="C22" s="13">
        <f>C19+C20+C21</f>
        <v/>
      </c>
      <c r="D22" s="13">
        <f>D19+D20+D21</f>
        <v/>
      </c>
      <c r="E22" s="13">
        <f>E19+E20+E21</f>
        <v/>
      </c>
      <c r="F22" s="13">
        <f>F19+F20+F21</f>
        <v/>
      </c>
      <c r="G22" s="13">
        <f>G19+G20+G21</f>
        <v/>
      </c>
      <c r="H22" s="78">
        <f>H19+H20+H21</f>
        <v/>
      </c>
    </row>
    <row r="23" ht="15" customHeight="1" s="61">
      <c r="A23" s="5" t="n"/>
      <c r="B23" s="11" t="n"/>
      <c r="C23" s="11" t="n"/>
      <c r="D23" s="11" t="n"/>
      <c r="E23" s="11" t="n"/>
      <c r="F23" s="11" t="n"/>
      <c r="G23" s="11" t="n"/>
    </row>
    <row r="24" ht="15" customHeight="1" s="61">
      <c r="A24" s="12" t="inlineStr">
        <is>
          <t>Pre-Tax Income (EBT)</t>
        </is>
      </c>
      <c r="B24" s="13">
        <f>B16+B22</f>
        <v/>
      </c>
      <c r="C24" s="13">
        <f>C16+C22</f>
        <v/>
      </c>
      <c r="D24" s="13">
        <f>D16+D22</f>
        <v/>
      </c>
      <c r="E24" s="13">
        <f>E16+E22</f>
        <v/>
      </c>
      <c r="F24" s="13">
        <f>F16+F22</f>
        <v/>
      </c>
      <c r="G24" s="13">
        <f>G16+G22</f>
        <v/>
      </c>
      <c r="H24" s="78">
        <f>H16+H22</f>
        <v/>
      </c>
    </row>
    <row r="25" ht="15" customHeight="1" s="61">
      <c r="A25" s="5" t="n"/>
      <c r="B25" s="11" t="n"/>
      <c r="C25" s="11" t="n"/>
      <c r="D25" s="11" t="n"/>
      <c r="E25" s="11" t="n"/>
      <c r="F25" s="11" t="n"/>
      <c r="G25" s="11" t="n"/>
    </row>
    <row r="26" ht="15" customHeight="1" s="61">
      <c r="A26" s="12" t="inlineStr">
        <is>
          <t>Income Tax Provision</t>
        </is>
      </c>
      <c r="B26" s="18" t="n">
        <v>7813</v>
      </c>
      <c r="C26" s="18" t="n">
        <v>14701</v>
      </c>
      <c r="D26" s="18" t="n">
        <v>11798</v>
      </c>
      <c r="E26" s="18" t="n">
        <v>11922</v>
      </c>
      <c r="F26" s="18" t="n">
        <v>19697</v>
      </c>
      <c r="G26" s="18" t="n">
        <v>26656</v>
      </c>
      <c r="H26" s="77" t="n">
        <v>26560</v>
      </c>
    </row>
    <row r="27" ht="15" customHeight="1" s="61">
      <c r="A27" s="5" t="n"/>
      <c r="B27" s="11" t="n"/>
      <c r="C27" s="11" t="n"/>
      <c r="D27" s="11" t="n"/>
      <c r="E27" s="11" t="n"/>
      <c r="F27" s="11" t="n"/>
      <c r="G27" s="11" t="n"/>
    </row>
    <row r="28" ht="15" customHeight="1" s="61">
      <c r="A28" s="9" t="inlineStr">
        <is>
          <t>Net Income</t>
        </is>
      </c>
      <c r="B28" s="10">
        <f>B24-B26</f>
        <v/>
      </c>
      <c r="C28" s="10">
        <f>C24-C26</f>
        <v/>
      </c>
      <c r="D28" s="10">
        <f>D24-D26</f>
        <v/>
      </c>
      <c r="E28" s="10">
        <f>E24-E26</f>
        <v/>
      </c>
      <c r="F28" s="10">
        <f>F24-F26</f>
        <v/>
      </c>
      <c r="G28" s="10">
        <f>G24-G26</f>
        <v/>
      </c>
      <c r="H28" s="10">
        <f>H24-H26</f>
        <v/>
      </c>
    </row>
    <row r="29" ht="15" customHeight="1" s="61">
      <c r="A29" s="5" t="n"/>
      <c r="B29" s="11" t="n"/>
      <c r="C29" s="11" t="n"/>
      <c r="D29" s="11" t="n"/>
      <c r="E29" s="11" t="n"/>
      <c r="F29" s="11" t="n"/>
      <c r="G29" s="11" t="n"/>
    </row>
    <row r="30" ht="15" customHeight="1" s="61">
      <c r="A30" s="16" t="inlineStr">
        <is>
          <t>SHARES DATA</t>
        </is>
      </c>
      <c r="B30" s="19" t="n"/>
      <c r="C30" s="19" t="n"/>
      <c r="D30" s="19" t="n"/>
      <c r="E30" s="19" t="n"/>
      <c r="F30" s="19" t="n"/>
      <c r="G30" s="19" t="n"/>
    </row>
    <row r="31" ht="15" customHeight="1" s="61">
      <c r="A31" s="14" t="inlineStr">
        <is>
          <t>Diluted EPS</t>
        </is>
      </c>
      <c r="B31" s="20">
        <f>B28/B32</f>
        <v/>
      </c>
      <c r="C31" s="20">
        <f>C28/C32</f>
        <v/>
      </c>
      <c r="D31" s="20">
        <f>D28/D32</f>
        <v/>
      </c>
      <c r="E31" s="20">
        <f>E28/E32</f>
        <v/>
      </c>
      <c r="F31" s="20">
        <f>F28/F32</f>
        <v/>
      </c>
      <c r="G31" s="20">
        <f>G28/G32</f>
        <v/>
      </c>
      <c r="H31" s="79">
        <f>H28/H32</f>
        <v/>
      </c>
    </row>
    <row r="32" ht="15.75" customHeight="1" s="61">
      <c r="A32" s="12" t="inlineStr">
        <is>
          <t>Diluted Shares Outstanding (M)</t>
        </is>
      </c>
      <c r="B32" s="18" t="n">
        <v>13700</v>
      </c>
      <c r="C32" s="18" t="n">
        <v>13472</v>
      </c>
      <c r="D32" s="18" t="n">
        <v>12843</v>
      </c>
      <c r="E32" s="18" t="n">
        <v>12723</v>
      </c>
      <c r="F32" s="18" t="n">
        <v>12447</v>
      </c>
      <c r="G32" s="18" t="n">
        <v>12230</v>
      </c>
      <c r="H32" s="77" t="n">
        <v>12309</v>
      </c>
    </row>
  </sheetData>
  <printOptions horizontalCentered="1"/>
  <pageMargins left="0.25" right="0.25" top="0.3" bottom="0.3" header="0.511811023622047" footer="0.511811023622047"/>
  <pageSetup orientation="landscape" paperSize="9" fitToHeight="1" fitToWidth="1" horizontalDpi="300" verticalDpi="300"/>
</worksheet>
</file>

<file path=xl/worksheets/sheet2.xml><?xml version="1.0" encoding="utf-8"?>
<worksheet xmlns="http://schemas.openxmlformats.org/spreadsheetml/2006/main">
  <sheetPr>
    <tabColor rgb="FF174EA6"/>
    <outlinePr summaryBelow="1" summaryRight="1"/>
    <pageSetUpPr fitToPage="1"/>
  </sheetPr>
  <dimension ref="A1:H45"/>
  <sheetViews>
    <sheetView showGridLines="0" zoomScale="117" zoomScaleNormal="117" workbookViewId="0">
      <selection activeCell="A1" sqref="A1"/>
    </sheetView>
  </sheetViews>
  <sheetFormatPr baseColWidth="10" defaultColWidth="8.83203125" defaultRowHeight="15"/>
  <cols>
    <col width="40" customWidth="1" style="61" min="1" max="1"/>
    <col width="13" customWidth="1" style="61" min="2" max="7"/>
  </cols>
  <sheetData>
    <row r="1" ht="24" customHeight="1" s="61">
      <c r="A1" s="1" t="inlineStr">
        <is>
          <t>Alphabet Inc. - Balance Sheet (USD Millions)</t>
        </is>
      </c>
      <c r="B1" s="2" t="n"/>
      <c r="C1" s="2" t="n"/>
      <c r="D1" s="2" t="n"/>
      <c r="E1" s="2" t="n"/>
      <c r="F1" s="2" t="n"/>
      <c r="G1" s="2" t="n"/>
    </row>
    <row r="2" ht="18" customHeight="1" s="61">
      <c r="A2" s="3" t="inlineStr">
        <is>
          <t>Fiscal Year Ended December 31</t>
        </is>
      </c>
      <c r="B2" s="4" t="n">
        <v>2020</v>
      </c>
      <c r="C2" s="4" t="n">
        <v>2021</v>
      </c>
      <c r="D2" s="4" t="n">
        <v>2022</v>
      </c>
      <c r="E2" s="4" t="n">
        <v>2023</v>
      </c>
      <c r="F2" s="4" t="n">
        <v>2024</v>
      </c>
      <c r="G2" s="4" t="n">
        <v>2025</v>
      </c>
      <c r="H2" s="75" t="inlineStr">
        <is>
          <t>30-Jun-2026A</t>
        </is>
      </c>
    </row>
    <row r="3" ht="15" customHeight="1" s="61">
      <c r="A3" s="5" t="n"/>
      <c r="B3" s="5" t="n"/>
      <c r="C3" s="5" t="n"/>
      <c r="D3" s="5" t="n"/>
      <c r="E3" s="5" t="n"/>
      <c r="F3" s="5" t="n"/>
      <c r="G3" s="5" t="n"/>
    </row>
    <row r="4" ht="15" customHeight="1" s="61">
      <c r="A4" s="7" t="inlineStr">
        <is>
          <t>ASSETS</t>
        </is>
      </c>
      <c r="B4" s="21" t="n"/>
      <c r="C4" s="21" t="n"/>
      <c r="D4" s="21" t="n"/>
      <c r="E4" s="21" t="n"/>
      <c r="F4" s="21" t="n"/>
      <c r="G4" s="21" t="n"/>
    </row>
    <row r="5" ht="15" customHeight="1" s="61">
      <c r="A5" s="16" t="inlineStr">
        <is>
          <t>Current Assets:</t>
        </is>
      </c>
      <c r="B5" s="17" t="n"/>
      <c r="C5" s="17" t="n"/>
      <c r="D5" s="17" t="n"/>
      <c r="E5" s="17" t="n"/>
      <c r="F5" s="17" t="n"/>
      <c r="G5" s="17" t="n"/>
    </row>
    <row r="6" ht="15" customHeight="1" s="61">
      <c r="A6" s="14" t="inlineStr">
        <is>
          <t>Cash and Cash Equivalents</t>
        </is>
      </c>
      <c r="B6" s="15" t="n">
        <v>26465</v>
      </c>
      <c r="C6" s="15" t="n">
        <v>20945</v>
      </c>
      <c r="D6" s="15" t="n">
        <v>21879</v>
      </c>
      <c r="E6" s="15" t="n">
        <v>24048</v>
      </c>
      <c r="F6" s="15" t="n">
        <v>23466</v>
      </c>
      <c r="G6" s="15" t="n">
        <v>30708</v>
      </c>
      <c r="H6" s="76" t="n">
        <v>55911</v>
      </c>
    </row>
    <row r="7" ht="15" customHeight="1" s="61">
      <c r="A7" s="12" t="inlineStr">
        <is>
          <t>Short-term Investments</t>
        </is>
      </c>
      <c r="B7" s="18" t="n">
        <v>110229</v>
      </c>
      <c r="C7" s="18" t="n">
        <v>118704</v>
      </c>
      <c r="D7" s="18" t="n">
        <v>91883</v>
      </c>
      <c r="E7" s="18" t="n">
        <v>86868</v>
      </c>
      <c r="F7" s="18" t="n">
        <v>73169</v>
      </c>
      <c r="G7" s="18" t="n">
        <v>96135</v>
      </c>
      <c r="H7" s="77" t="n">
        <v>186563</v>
      </c>
    </row>
    <row r="8" ht="15" customHeight="1" s="61">
      <c r="A8" s="14" t="inlineStr">
        <is>
          <t>Accounts Receivable</t>
        </is>
      </c>
      <c r="B8" s="15" t="n">
        <v>30930</v>
      </c>
      <c r="C8" s="15" t="n">
        <v>39304</v>
      </c>
      <c r="D8" s="15" t="n">
        <v>40258</v>
      </c>
      <c r="E8" s="15" t="n">
        <v>48070</v>
      </c>
      <c r="F8" s="15" t="n">
        <v>53128</v>
      </c>
      <c r="G8" s="15" t="n">
        <v>62886</v>
      </c>
      <c r="H8" s="76" t="n">
        <v>69175</v>
      </c>
    </row>
    <row r="9" ht="15" customHeight="1" s="61">
      <c r="A9" s="12" t="inlineStr">
        <is>
          <t>Other Current Assets</t>
        </is>
      </c>
      <c r="B9" s="18" t="n">
        <v>8057</v>
      </c>
      <c r="C9" s="18" t="n">
        <v>8016</v>
      </c>
      <c r="D9" s="18" t="n">
        <v>6696</v>
      </c>
      <c r="E9" s="18" t="n">
        <v>9287</v>
      </c>
      <c r="F9" s="18" t="n">
        <v>10493</v>
      </c>
      <c r="G9" s="18" t="n">
        <v>16309</v>
      </c>
      <c r="H9" s="77" t="n">
        <v>31875</v>
      </c>
    </row>
    <row r="10" ht="15" customHeight="1" s="61">
      <c r="A10" s="9" t="inlineStr">
        <is>
          <t>Total Current Assets</t>
        </is>
      </c>
      <c r="B10" s="10">
        <f>SUM(B6:B9)</f>
        <v/>
      </c>
      <c r="C10" s="10">
        <f>SUM(C6:C9)</f>
        <v/>
      </c>
      <c r="D10" s="10">
        <f>SUM(D6:D9)</f>
        <v/>
      </c>
      <c r="E10" s="10">
        <f>SUM(E6:E9)</f>
        <v/>
      </c>
      <c r="F10" s="10">
        <f>SUM(F6:F9)</f>
        <v/>
      </c>
      <c r="G10" s="10">
        <f>SUM(G6:G9)</f>
        <v/>
      </c>
      <c r="H10" s="10">
        <f>SUM(H6:H9)</f>
        <v/>
      </c>
    </row>
    <row r="11" ht="15" customHeight="1" s="61">
      <c r="A11" s="5" t="n"/>
      <c r="B11" s="11" t="n"/>
      <c r="C11" s="11" t="n"/>
      <c r="D11" s="11" t="n"/>
      <c r="E11" s="11" t="n"/>
      <c r="F11" s="11" t="n"/>
      <c r="G11" s="11" t="n"/>
    </row>
    <row r="12" ht="15" customHeight="1" s="61">
      <c r="A12" s="16" t="inlineStr">
        <is>
          <t>Non-Current Assets:</t>
        </is>
      </c>
      <c r="B12" s="17" t="n"/>
      <c r="C12" s="17" t="n"/>
      <c r="D12" s="17" t="n"/>
      <c r="E12" s="17" t="n"/>
      <c r="F12" s="17" t="n"/>
      <c r="G12" s="17" t="n"/>
    </row>
    <row r="13" ht="15" customHeight="1" s="61">
      <c r="A13" s="14" t="inlineStr">
        <is>
          <t>Property, Plant &amp; Equipment, net</t>
        </is>
      </c>
      <c r="B13" s="15" t="n">
        <v>84749</v>
      </c>
      <c r="C13" s="15" t="n">
        <v>97599</v>
      </c>
      <c r="D13" s="15" t="n">
        <v>112668</v>
      </c>
      <c r="E13" s="15" t="n">
        <v>129989</v>
      </c>
      <c r="F13" s="15" t="n">
        <v>156040</v>
      </c>
      <c r="G13" s="15" t="n">
        <v>246597</v>
      </c>
      <c r="H13" s="76" t="n">
        <v>321212</v>
      </c>
    </row>
    <row r="14" ht="15" customHeight="1" s="61">
      <c r="A14" s="12" t="inlineStr">
        <is>
          <t>Intangible Assets</t>
        </is>
      </c>
      <c r="B14" s="18" t="n">
        <v>1445</v>
      </c>
      <c r="C14" s="18" t="n">
        <v>2220</v>
      </c>
      <c r="D14" s="18" t="n">
        <v>2228</v>
      </c>
      <c r="E14" s="18" t="n">
        <v>2313</v>
      </c>
      <c r="F14" s="18" t="n">
        <v>2418</v>
      </c>
      <c r="G14" s="18" t="n">
        <v>0</v>
      </c>
      <c r="H14" s="77" t="n">
        <v>9105</v>
      </c>
    </row>
    <row r="15" ht="15" customHeight="1" s="61">
      <c r="A15" s="14" t="inlineStr">
        <is>
          <t>Goodwill</t>
        </is>
      </c>
      <c r="B15" s="15" t="n">
        <v>20624</v>
      </c>
      <c r="C15" s="15" t="n">
        <v>24010</v>
      </c>
      <c r="D15" s="15" t="n">
        <v>25578</v>
      </c>
      <c r="E15" s="15" t="n">
        <v>27433</v>
      </c>
      <c r="F15" s="15" t="n">
        <v>29372</v>
      </c>
      <c r="G15" s="15" t="n">
        <v>33380</v>
      </c>
      <c r="H15" s="76" t="n">
        <v>57828</v>
      </c>
    </row>
    <row r="16" ht="15" customHeight="1" s="61">
      <c r="A16" s="12" t="inlineStr">
        <is>
          <t>Long-term Investments</t>
        </is>
      </c>
      <c r="B16" s="18" t="n">
        <v>20673</v>
      </c>
      <c r="C16" s="18" t="n">
        <v>30822</v>
      </c>
      <c r="D16" s="18" t="n">
        <v>34314</v>
      </c>
      <c r="E16" s="18" t="n">
        <v>40699</v>
      </c>
      <c r="F16" s="18" t="n">
        <v>42361</v>
      </c>
      <c r="G16" s="18" t="n">
        <v>68687</v>
      </c>
      <c r="H16" s="77" t="n">
        <v>131461</v>
      </c>
    </row>
    <row r="17" ht="15" customHeight="1" s="61">
      <c r="A17" s="14" t="inlineStr">
        <is>
          <t>Other Non-Current Assets</t>
        </is>
      </c>
      <c r="B17" s="15" t="n">
        <v>16444</v>
      </c>
      <c r="C17" s="15" t="n">
        <v>17648</v>
      </c>
      <c r="D17" s="15" t="n">
        <v>19888</v>
      </c>
      <c r="E17" s="15" t="n">
        <v>33685</v>
      </c>
      <c r="F17" s="15" t="n">
        <v>49809</v>
      </c>
      <c r="G17" s="15" t="n">
        <v>40579</v>
      </c>
      <c r="H17" s="76" t="n">
        <v>58853</v>
      </c>
    </row>
    <row r="18" ht="15" customHeight="1" s="61">
      <c r="A18" s="9" t="inlineStr">
        <is>
          <t>Total Non-Current Assets</t>
        </is>
      </c>
      <c r="B18" s="10">
        <f>SUM(B13:B17)</f>
        <v/>
      </c>
      <c r="C18" s="10">
        <f>SUM(C13:C17)</f>
        <v/>
      </c>
      <c r="D18" s="10">
        <f>SUM(D13:D17)</f>
        <v/>
      </c>
      <c r="E18" s="10">
        <f>SUM(E13:E17)</f>
        <v/>
      </c>
      <c r="F18" s="10">
        <f>SUM(F13:F17)</f>
        <v/>
      </c>
      <c r="G18" s="10">
        <f>SUM(G13:G17)</f>
        <v/>
      </c>
      <c r="H18" s="10">
        <f>SUM(H13:H17)</f>
        <v/>
      </c>
    </row>
    <row r="19" ht="15" customHeight="1" s="61">
      <c r="A19" s="5" t="n"/>
      <c r="B19" s="11" t="n"/>
      <c r="C19" s="11" t="n"/>
      <c r="D19" s="11" t="n"/>
      <c r="E19" s="11" t="n"/>
      <c r="F19" s="11" t="n"/>
      <c r="G19" s="11" t="n"/>
    </row>
    <row r="20" ht="15" customHeight="1" s="61">
      <c r="A20" s="9" t="inlineStr">
        <is>
          <t>TOTAL ASSETS</t>
        </is>
      </c>
      <c r="B20" s="10">
        <f>B10+B18</f>
        <v/>
      </c>
      <c r="C20" s="10">
        <f>C10+C18</f>
        <v/>
      </c>
      <c r="D20" s="10">
        <f>D10+D18</f>
        <v/>
      </c>
      <c r="E20" s="10">
        <f>E10+E18</f>
        <v/>
      </c>
      <c r="F20" s="10">
        <f>F10+F18</f>
        <v/>
      </c>
      <c r="G20" s="10">
        <f>G10+G18</f>
        <v/>
      </c>
      <c r="H20" s="10">
        <f>H10+H18</f>
        <v/>
      </c>
    </row>
    <row r="21" ht="15" customHeight="1" s="61">
      <c r="A21" s="5" t="n"/>
      <c r="B21" s="11" t="n"/>
      <c r="C21" s="11" t="n"/>
      <c r="D21" s="11" t="n"/>
      <c r="E21" s="11" t="n"/>
      <c r="F21" s="11" t="n"/>
      <c r="G21" s="11" t="n"/>
    </row>
    <row r="22" ht="15" customHeight="1" s="61">
      <c r="A22" s="16" t="inlineStr">
        <is>
          <t>LIABILITIES</t>
        </is>
      </c>
      <c r="B22" s="17" t="n"/>
      <c r="C22" s="17" t="n"/>
      <c r="D22" s="17" t="n"/>
      <c r="E22" s="17" t="n"/>
      <c r="F22" s="17" t="n"/>
      <c r="G22" s="17" t="n"/>
    </row>
    <row r="23" ht="15" customHeight="1" s="61">
      <c r="A23" s="16" t="inlineStr">
        <is>
          <t>Current Liabilities:</t>
        </is>
      </c>
      <c r="B23" s="17" t="n"/>
      <c r="C23" s="17" t="n"/>
      <c r="D23" s="17" t="n"/>
      <c r="E23" s="17" t="n"/>
      <c r="F23" s="17" t="n"/>
      <c r="G23" s="17" t="n"/>
    </row>
    <row r="24" ht="15" customHeight="1" s="61">
      <c r="A24" s="14" t="inlineStr">
        <is>
          <t>Accounts Payable</t>
        </is>
      </c>
      <c r="B24" s="15" t="n">
        <v>5589</v>
      </c>
      <c r="C24" s="15" t="n">
        <v>6693</v>
      </c>
      <c r="D24" s="15" t="n">
        <v>6839</v>
      </c>
      <c r="E24" s="15" t="n">
        <v>7664</v>
      </c>
      <c r="F24" s="15" t="n">
        <v>8457</v>
      </c>
      <c r="G24" s="15" t="n">
        <v>12200</v>
      </c>
      <c r="H24" s="76" t="n">
        <v>20258</v>
      </c>
    </row>
    <row r="25" ht="15" customHeight="1" s="61">
      <c r="A25" s="12" t="inlineStr">
        <is>
          <t>Accrued Expenses</t>
        </is>
      </c>
      <c r="B25" s="18" t="n">
        <v>27923</v>
      </c>
      <c r="C25" s="18" t="n">
        <v>33019</v>
      </c>
      <c r="D25" s="18" t="n">
        <v>34763</v>
      </c>
      <c r="E25" s="18" t="n">
        <v>39225</v>
      </c>
      <c r="F25" s="18" t="n">
        <v>43891</v>
      </c>
      <c r="G25" s="18" t="n">
        <v>83967</v>
      </c>
      <c r="H25" s="77" t="n">
        <v>88100</v>
      </c>
    </row>
    <row r="26" ht="15" customHeight="1" s="61">
      <c r="A26" s="14" t="inlineStr">
        <is>
          <t>Deferred Revenue</t>
        </is>
      </c>
      <c r="B26" s="15" t="n">
        <v>3288</v>
      </c>
      <c r="C26" s="15" t="n">
        <v>3288</v>
      </c>
      <c r="D26" s="15" t="n">
        <v>3288</v>
      </c>
      <c r="E26" s="15" t="n">
        <v>3288</v>
      </c>
      <c r="F26" s="15" t="n">
        <v>3288</v>
      </c>
      <c r="G26" s="15" t="n">
        <v>6578</v>
      </c>
      <c r="H26" s="76" t="n">
        <v>7154</v>
      </c>
    </row>
    <row r="27" ht="15" customHeight="1" s="61">
      <c r="A27" s="12" t="inlineStr">
        <is>
          <t>Short-term Debt</t>
        </is>
      </c>
      <c r="B27" s="18" t="n">
        <v>2695</v>
      </c>
      <c r="C27" s="18" t="n">
        <v>1790</v>
      </c>
      <c r="D27" s="18" t="n">
        <v>999</v>
      </c>
      <c r="E27" s="18" t="n">
        <v>999</v>
      </c>
      <c r="F27" s="18" t="n">
        <v>3082</v>
      </c>
      <c r="G27" s="18" t="n">
        <v>0</v>
      </c>
      <c r="H27" s="77" t="n">
        <v>0</v>
      </c>
    </row>
    <row r="28" ht="15" customHeight="1" s="61">
      <c r="A28" s="14" t="inlineStr">
        <is>
          <t>Other Current Liabilities</t>
        </is>
      </c>
      <c r="B28" s="15" t="n">
        <v>17339</v>
      </c>
      <c r="C28" s="15" t="n">
        <v>19464</v>
      </c>
      <c r="D28" s="15" t="n">
        <v>23411</v>
      </c>
      <c r="E28" s="15" t="n">
        <v>30638</v>
      </c>
      <c r="F28" s="15" t="n">
        <v>30404</v>
      </c>
      <c r="G28" s="15" t="n">
        <v>0</v>
      </c>
      <c r="H28" s="76" t="n">
        <v>10599</v>
      </c>
    </row>
    <row r="29" ht="15" customHeight="1" s="61">
      <c r="A29" s="9" t="inlineStr">
        <is>
          <t>Total Current Liabilities</t>
        </is>
      </c>
      <c r="B29" s="10">
        <f>SUM(B24:B28)</f>
        <v/>
      </c>
      <c r="C29" s="10">
        <f>SUM(C24:C28)</f>
        <v/>
      </c>
      <c r="D29" s="10">
        <f>SUM(D24:D28)</f>
        <v/>
      </c>
      <c r="E29" s="10">
        <f>SUM(E24:E28)</f>
        <v/>
      </c>
      <c r="F29" s="10">
        <f>SUM(F24:F28)</f>
        <v/>
      </c>
      <c r="G29" s="10">
        <f>SUM(G24:G28)</f>
        <v/>
      </c>
      <c r="H29" s="10">
        <f>SUM(H24:H28)</f>
        <v/>
      </c>
    </row>
    <row r="30" ht="15" customHeight="1" s="61">
      <c r="A30" s="5" t="n"/>
      <c r="B30" s="11" t="n"/>
      <c r="C30" s="11" t="n"/>
      <c r="D30" s="11" t="n"/>
      <c r="E30" s="11" t="n"/>
      <c r="F30" s="11" t="n"/>
      <c r="G30" s="11" t="n"/>
    </row>
    <row r="31" ht="15" customHeight="1" s="61">
      <c r="A31" s="16" t="inlineStr">
        <is>
          <t>Non-Current Liabilities:</t>
        </is>
      </c>
      <c r="B31" s="17" t="n"/>
      <c r="C31" s="17" t="n"/>
      <c r="D31" s="17" t="n"/>
      <c r="E31" s="17" t="n"/>
      <c r="F31" s="17" t="n"/>
      <c r="G31" s="17" t="n"/>
    </row>
    <row r="32" ht="15" customHeight="1" s="61">
      <c r="A32" s="14" t="inlineStr">
        <is>
          <t>Long-term Debt</t>
        </is>
      </c>
      <c r="B32" s="15" t="n">
        <v>13932</v>
      </c>
      <c r="C32" s="15" t="n">
        <v>14817</v>
      </c>
      <c r="D32" s="15" t="n">
        <v>14701</v>
      </c>
      <c r="E32" s="15" t="n">
        <v>13253</v>
      </c>
      <c r="F32" s="15" t="n">
        <v>12987</v>
      </c>
      <c r="G32" s="15" t="n">
        <v>46547</v>
      </c>
      <c r="H32" s="76" t="n">
        <v>98165</v>
      </c>
    </row>
    <row r="33" ht="15" customHeight="1" s="61">
      <c r="A33" s="12" t="inlineStr">
        <is>
          <t>Deferred Tax Liabilities</t>
        </is>
      </c>
      <c r="B33" s="18" t="n">
        <v>9190</v>
      </c>
      <c r="C33" s="18" t="n">
        <v>8849</v>
      </c>
      <c r="D33" s="18" t="n">
        <v>9442</v>
      </c>
      <c r="E33" s="18" t="n">
        <v>1702</v>
      </c>
      <c r="F33" s="18" t="n">
        <v>5883</v>
      </c>
      <c r="G33" s="18" t="n">
        <v>0</v>
      </c>
      <c r="H33" s="77" t="n">
        <v>22819</v>
      </c>
    </row>
    <row r="34" ht="15" customHeight="1" s="61">
      <c r="A34" s="14" t="inlineStr">
        <is>
          <t>Other Non-Current Liabilities</t>
        </is>
      </c>
      <c r="B34" s="15" t="n">
        <v>17116</v>
      </c>
      <c r="C34" s="15" t="n">
        <v>16334</v>
      </c>
      <c r="D34" s="15" t="n">
        <v>15677</v>
      </c>
      <c r="E34" s="15" t="n">
        <v>22244</v>
      </c>
      <c r="F34" s="15" t="n">
        <v>17180</v>
      </c>
      <c r="G34" s="15" t="n">
        <v>30724</v>
      </c>
      <c r="H34" s="76" t="n">
        <v>34408</v>
      </c>
    </row>
    <row r="35" ht="15" customHeight="1" s="61">
      <c r="A35" s="9" t="inlineStr">
        <is>
          <t>Total Non-Current Liabilities</t>
        </is>
      </c>
      <c r="B35" s="10">
        <f>B32+B33+B34</f>
        <v/>
      </c>
      <c r="C35" s="10">
        <f>C32+C33+C34</f>
        <v/>
      </c>
      <c r="D35" s="10">
        <f>D32+D33+D34</f>
        <v/>
      </c>
      <c r="E35" s="10">
        <f>E32+E33+E34</f>
        <v/>
      </c>
      <c r="F35" s="10">
        <f>F32+F33+F34</f>
        <v/>
      </c>
      <c r="G35" s="10">
        <f>G32+G33+G34</f>
        <v/>
      </c>
      <c r="H35" s="10">
        <f>H32+H33+H34</f>
        <v/>
      </c>
    </row>
    <row r="36" ht="15" customHeight="1" s="61">
      <c r="A36" s="5" t="n"/>
      <c r="B36" s="11" t="n"/>
      <c r="C36" s="11" t="n"/>
      <c r="D36" s="11" t="n"/>
      <c r="E36" s="11" t="n"/>
      <c r="F36" s="11" t="n"/>
      <c r="G36" s="11" t="n"/>
    </row>
    <row r="37" ht="15" customHeight="1" s="61">
      <c r="A37" s="9" t="inlineStr">
        <is>
          <t>TOTAL LIABILITIES</t>
        </is>
      </c>
      <c r="B37" s="10">
        <f>B29+B35</f>
        <v/>
      </c>
      <c r="C37" s="10">
        <f>C29+C35</f>
        <v/>
      </c>
      <c r="D37" s="10">
        <f>D29+D35</f>
        <v/>
      </c>
      <c r="E37" s="10">
        <f>E29+E35</f>
        <v/>
      </c>
      <c r="F37" s="10">
        <f>F29+F35</f>
        <v/>
      </c>
      <c r="G37" s="10">
        <f>G29+G35</f>
        <v/>
      </c>
      <c r="H37" s="10">
        <f>H29+H35</f>
        <v/>
      </c>
    </row>
    <row r="38" ht="15" customHeight="1" s="61">
      <c r="A38" s="5" t="n"/>
      <c r="B38" s="11" t="n"/>
      <c r="C38" s="11" t="n"/>
      <c r="D38" s="11" t="n"/>
      <c r="E38" s="11" t="n"/>
      <c r="F38" s="11" t="n"/>
      <c r="G38" s="11" t="n"/>
    </row>
    <row r="39" ht="15" customHeight="1" s="61">
      <c r="A39" s="16" t="inlineStr">
        <is>
          <t>STOCKHOLDERS' EQUITY</t>
        </is>
      </c>
      <c r="B39" s="17" t="n"/>
      <c r="C39" s="17" t="n"/>
      <c r="D39" s="17" t="n"/>
      <c r="E39" s="17" t="n"/>
      <c r="F39" s="17" t="n"/>
      <c r="G39" s="17" t="n"/>
    </row>
    <row r="40" ht="15" customHeight="1" s="61">
      <c r="A40" s="14" t="inlineStr">
        <is>
          <t>Common Stock</t>
        </is>
      </c>
      <c r="B40" s="15" t="n">
        <v>58510</v>
      </c>
      <c r="C40" s="15" t="n">
        <v>66033</v>
      </c>
      <c r="D40" s="15" t="n">
        <v>72293</v>
      </c>
      <c r="E40" s="15" t="n">
        <v>77846</v>
      </c>
      <c r="F40" s="15" t="n">
        <v>85289</v>
      </c>
      <c r="G40" s="15" t="n">
        <v>93126</v>
      </c>
      <c r="H40" s="76" t="n">
        <v>149394</v>
      </c>
    </row>
    <row r="41" ht="15" customHeight="1" s="61">
      <c r="A41" s="12" t="inlineStr">
        <is>
          <t>Retained Earnings</t>
        </is>
      </c>
      <c r="B41" s="18" t="n">
        <v>163401</v>
      </c>
      <c r="C41" s="18" t="n">
        <v>191226</v>
      </c>
      <c r="D41" s="18" t="n">
        <v>178237</v>
      </c>
      <c r="E41" s="18" t="n">
        <v>213311</v>
      </c>
      <c r="F41" s="18" t="n">
        <v>248683</v>
      </c>
      <c r="G41" s="18" t="n">
        <v>324055</v>
      </c>
      <c r="H41" s="77" t="n">
        <v>493371</v>
      </c>
    </row>
    <row r="42" ht="15" customHeight="1" s="61">
      <c r="A42" s="14" t="inlineStr">
        <is>
          <t>Accumulated Other Comprehensive Income</t>
        </is>
      </c>
      <c r="B42" s="15" t="n">
        <v>633</v>
      </c>
      <c r="C42" s="15" t="n">
        <v>-45</v>
      </c>
      <c r="D42" s="15" t="n">
        <v>-258</v>
      </c>
      <c r="E42" s="15" t="n">
        <v>-778</v>
      </c>
      <c r="F42" s="15" t="n">
        <v>-888</v>
      </c>
      <c r="G42" s="15" t="n">
        <v>-1916</v>
      </c>
      <c r="H42" s="76" t="n">
        <v>-2285</v>
      </c>
    </row>
    <row r="43" ht="15" customHeight="1" s="61">
      <c r="A43" s="9" t="inlineStr">
        <is>
          <t>Total Stockholders' Equity</t>
        </is>
      </c>
      <c r="B43" s="10">
        <f>SUM(B40:B42)</f>
        <v/>
      </c>
      <c r="C43" s="10">
        <f>SUM(C40:C42)</f>
        <v/>
      </c>
      <c r="D43" s="10">
        <f>SUM(D40:D42)</f>
        <v/>
      </c>
      <c r="E43" s="10">
        <f>SUM(E40:E42)</f>
        <v/>
      </c>
      <c r="F43" s="10">
        <f>SUM(F40:F42)</f>
        <v/>
      </c>
      <c r="G43" s="10">
        <f>SUM(G40:G42)</f>
        <v/>
      </c>
      <c r="H43" s="10">
        <f>SUM(H40:H42)</f>
        <v/>
      </c>
    </row>
    <row r="44" ht="15" customHeight="1" s="61">
      <c r="A44" s="5" t="n"/>
      <c r="B44" s="11" t="n"/>
      <c r="C44" s="11" t="n"/>
      <c r="D44" s="11" t="n"/>
      <c r="E44" s="11" t="n"/>
      <c r="F44" s="11" t="n"/>
      <c r="G44" s="11" t="n"/>
    </row>
    <row r="45" ht="15" customHeight="1" s="61">
      <c r="A45" s="9" t="inlineStr">
        <is>
          <t>TOTAL LIABILITIES &amp; EQUITY</t>
        </is>
      </c>
      <c r="B45" s="10">
        <f>B43+B37</f>
        <v/>
      </c>
      <c r="C45" s="10">
        <f>C37+C43</f>
        <v/>
      </c>
      <c r="D45" s="10">
        <f>D37+D43</f>
        <v/>
      </c>
      <c r="E45" s="10">
        <f>E37+E43</f>
        <v/>
      </c>
      <c r="F45" s="10">
        <f>F37+F43</f>
        <v/>
      </c>
      <c r="G45" s="10">
        <f>G37+G43</f>
        <v/>
      </c>
      <c r="H45" s="10">
        <f>H37+H43</f>
        <v/>
      </c>
    </row>
  </sheetData>
  <printOptions horizontalCentered="1"/>
  <pageMargins left="0.25" right="0.25" top="0.3" bottom="0.3" header="0.511811023622047" footer="0.511811023622047"/>
  <pageSetup orientation="landscape" paperSize="9" fitToHeight="1" fitToWidth="1" horizontalDpi="300" verticalDpi="300"/>
</worksheet>
</file>

<file path=xl/worksheets/sheet3.xml><?xml version="1.0" encoding="utf-8"?>
<worksheet xmlns="http://schemas.openxmlformats.org/spreadsheetml/2006/main">
  <sheetPr>
    <tabColor rgb="FF174EA6"/>
    <outlinePr summaryBelow="1" summaryRight="1"/>
    <pageSetUpPr fitToPage="1"/>
  </sheetPr>
  <dimension ref="A1:I36"/>
  <sheetViews>
    <sheetView showGridLines="0" zoomScale="117" zoomScaleNormal="172" workbookViewId="0">
      <selection activeCell="A1" sqref="A1"/>
    </sheetView>
  </sheetViews>
  <sheetFormatPr baseColWidth="10" defaultColWidth="8.83203125" defaultRowHeight="15"/>
  <cols>
    <col width="39.83203125" customWidth="1" style="61" min="1" max="1"/>
    <col width="13" customWidth="1" style="61" min="2" max="9"/>
  </cols>
  <sheetData>
    <row r="1" ht="24" customHeight="1" s="61">
      <c r="A1" s="1" t="inlineStr">
        <is>
          <t>Alphabet Inc. - Cash Flow Statement (USD Millions)</t>
        </is>
      </c>
      <c r="B1" s="2" t="n"/>
      <c r="C1" s="2" t="n"/>
      <c r="D1" s="2" t="n"/>
      <c r="E1" s="2" t="n"/>
      <c r="F1" s="2" t="n"/>
      <c r="G1" s="2" t="n"/>
      <c r="H1" s="22" t="n"/>
      <c r="I1" s="22" t="n"/>
    </row>
    <row r="2" ht="18" customHeight="1" s="61">
      <c r="A2" s="3" t="inlineStr">
        <is>
          <t>Fiscal Year Ended December 31</t>
        </is>
      </c>
      <c r="B2" s="4" t="n">
        <v>2020</v>
      </c>
      <c r="C2" s="4" t="n">
        <v>2021</v>
      </c>
      <c r="D2" s="4" t="n">
        <v>2022</v>
      </c>
      <c r="E2" s="4" t="n">
        <v>2023</v>
      </c>
      <c r="F2" s="4" t="n">
        <v>2024</v>
      </c>
      <c r="G2" s="4" t="n">
        <v>2025</v>
      </c>
      <c r="H2" s="75" t="inlineStr">
        <is>
          <t>H1 2026A</t>
        </is>
      </c>
    </row>
    <row r="3" ht="15" customHeight="1" s="61">
      <c r="A3" s="5" t="n"/>
      <c r="B3" s="5" t="n"/>
      <c r="C3" s="5" t="n"/>
      <c r="D3" s="5" t="n"/>
      <c r="E3" s="5" t="n"/>
      <c r="F3" s="5" t="n"/>
      <c r="G3" s="5" t="n"/>
    </row>
    <row r="4" ht="15" customHeight="1" s="61">
      <c r="A4" s="7" t="inlineStr">
        <is>
          <t>OPERATING ACTIVITIES</t>
        </is>
      </c>
      <c r="B4" s="7" t="n"/>
      <c r="C4" s="7" t="n"/>
      <c r="D4" s="7" t="n"/>
      <c r="E4" s="7" t="n"/>
      <c r="F4" s="7" t="n"/>
      <c r="G4" s="7" t="n"/>
    </row>
    <row r="5" ht="15" customHeight="1" s="61">
      <c r="A5" s="9" t="inlineStr">
        <is>
          <t>Net Income</t>
        </is>
      </c>
      <c r="B5" s="10" t="n">
        <v>40269</v>
      </c>
      <c r="C5" s="10" t="n">
        <v>76033</v>
      </c>
      <c r="D5" s="10" t="n">
        <v>59972</v>
      </c>
      <c r="E5" s="10" t="n">
        <v>73795</v>
      </c>
      <c r="F5" s="10" t="n">
        <v>100118</v>
      </c>
      <c r="G5" s="10" t="n">
        <v>132170</v>
      </c>
      <c r="H5" s="10" t="n">
        <v>174771</v>
      </c>
    </row>
    <row r="6" ht="15" customHeight="1" s="61">
      <c r="A6" s="12" t="inlineStr">
        <is>
          <t>Depreciation &amp; Amortization</t>
        </is>
      </c>
      <c r="B6" s="18" t="n">
        <v>11678</v>
      </c>
      <c r="C6" s="18" t="n">
        <v>12821</v>
      </c>
      <c r="D6" s="18" t="n">
        <v>13497</v>
      </c>
      <c r="E6" s="18" t="n">
        <v>12721</v>
      </c>
      <c r="F6" s="18" t="n">
        <v>13040</v>
      </c>
      <c r="G6" s="18" t="n">
        <v>21136</v>
      </c>
      <c r="H6" s="77" t="n">
        <v>13586</v>
      </c>
    </row>
    <row r="7" ht="15" customHeight="1" s="61">
      <c r="A7" s="14" t="inlineStr">
        <is>
          <t>Stock-Based Compensation</t>
        </is>
      </c>
      <c r="B7" s="15" t="n">
        <v>15276</v>
      </c>
      <c r="C7" s="15" t="n">
        <v>15383</v>
      </c>
      <c r="D7" s="15" t="n">
        <v>19380</v>
      </c>
      <c r="E7" s="15" t="n">
        <v>22497</v>
      </c>
      <c r="F7" s="15" t="n">
        <v>19271</v>
      </c>
      <c r="G7" s="15" t="n">
        <v>24953</v>
      </c>
      <c r="H7" s="76" t="n">
        <v>14708</v>
      </c>
    </row>
    <row r="8" ht="15" customHeight="1" s="61">
      <c r="A8" s="12" t="inlineStr">
        <is>
          <t>Deferred Taxes</t>
        </is>
      </c>
      <c r="B8" s="18" t="n">
        <v>-7817</v>
      </c>
      <c r="C8" s="18" t="n">
        <v>-8081</v>
      </c>
      <c r="D8" s="18" t="n">
        <v>-7750</v>
      </c>
      <c r="E8" s="18" t="n">
        <v>-7838</v>
      </c>
      <c r="F8" s="18" t="n">
        <v>-4544</v>
      </c>
      <c r="G8" s="18" t="n">
        <v>8348</v>
      </c>
      <c r="H8" s="77" t="n">
        <v>27538</v>
      </c>
    </row>
    <row r="9" ht="15" customHeight="1" s="61">
      <c r="A9" s="16" t="inlineStr">
        <is>
          <t>Changes in Working Capital:</t>
        </is>
      </c>
      <c r="B9" s="17" t="n"/>
      <c r="C9" s="17" t="n"/>
      <c r="D9" s="17" t="n"/>
      <c r="E9" s="17" t="n"/>
      <c r="F9" s="17" t="n"/>
      <c r="G9" s="17" t="n"/>
      <c r="H9" s="23" t="n"/>
    </row>
    <row r="10" ht="15" customHeight="1" s="61">
      <c r="A10" s="14" t="inlineStr">
        <is>
          <t>Accounts Receivable</t>
        </is>
      </c>
      <c r="B10" s="15" t="n">
        <v>-8463</v>
      </c>
      <c r="C10" s="15" t="n">
        <v>-9145</v>
      </c>
      <c r="D10" s="15" t="n">
        <v>-2310</v>
      </c>
      <c r="E10" s="15" t="n">
        <v>-7756</v>
      </c>
      <c r="F10" s="15" t="n">
        <v>-5012</v>
      </c>
      <c r="G10" s="15" t="n">
        <v>-8779</v>
      </c>
      <c r="H10" s="76" t="n">
        <v>-6904</v>
      </c>
    </row>
    <row r="11" ht="15" customHeight="1" s="61">
      <c r="A11" s="12" t="inlineStr">
        <is>
          <t>Accounts Payable</t>
        </is>
      </c>
      <c r="B11" s="18" t="n">
        <v>664</v>
      </c>
      <c r="C11" s="18" t="n">
        <v>707</v>
      </c>
      <c r="D11" s="18" t="n">
        <v>283</v>
      </c>
      <c r="E11" s="18" t="n">
        <v>304</v>
      </c>
      <c r="F11" s="18" t="n">
        <v>345</v>
      </c>
      <c r="G11" s="18" t="n">
        <v>907</v>
      </c>
      <c r="H11" s="77" t="n">
        <v>2090</v>
      </c>
    </row>
    <row r="12" ht="15" customHeight="1" s="61">
      <c r="A12" s="14" t="inlineStr">
        <is>
          <t>Other Operating Activities</t>
        </is>
      </c>
      <c r="B12" s="15" t="n">
        <v>13517</v>
      </c>
      <c r="C12" s="15" t="n">
        <v>3934</v>
      </c>
      <c r="D12" s="15" t="n">
        <v>8423</v>
      </c>
      <c r="E12" s="15" t="n">
        <v>7023</v>
      </c>
      <c r="F12" s="15" t="n">
        <v>2081</v>
      </c>
      <c r="G12" s="15" t="n">
        <v>-14022</v>
      </c>
      <c r="H12" s="76" t="n">
        <v>-140930</v>
      </c>
    </row>
    <row r="13" ht="15" customHeight="1" s="61">
      <c r="A13" s="9" t="inlineStr">
        <is>
          <t>Net Cash from Operating Activities</t>
        </is>
      </c>
      <c r="B13" s="10">
        <f>SUM(B5:B12)</f>
        <v/>
      </c>
      <c r="C13" s="10">
        <f>SUM(C5:C12)</f>
        <v/>
      </c>
      <c r="D13" s="10">
        <f>SUM(D5:D12)</f>
        <v/>
      </c>
      <c r="E13" s="10">
        <f>SUM(E5:E12)</f>
        <v/>
      </c>
      <c r="F13" s="10">
        <f>SUM(F5:F12)</f>
        <v/>
      </c>
      <c r="G13" s="10">
        <f>SUM(G5:G12)</f>
        <v/>
      </c>
      <c r="H13" s="10">
        <f>SUM(H5:H12)</f>
        <v/>
      </c>
    </row>
    <row r="14" ht="15" customHeight="1" s="61">
      <c r="A14" s="5" t="n"/>
      <c r="B14" s="11" t="n"/>
      <c r="C14" s="11" t="n"/>
      <c r="D14" s="11" t="n"/>
      <c r="E14" s="11" t="n"/>
      <c r="F14" s="11" t="n"/>
      <c r="G14" s="11" t="n"/>
    </row>
    <row r="15" ht="15" customHeight="1" s="61">
      <c r="A15" s="16" t="inlineStr">
        <is>
          <t>INVESTING ACTIVITIES</t>
        </is>
      </c>
      <c r="B15" s="17" t="n"/>
      <c r="C15" s="17" t="n"/>
      <c r="D15" s="17" t="n"/>
      <c r="E15" s="17" t="n"/>
      <c r="F15" s="17" t="n"/>
      <c r="G15" s="17" t="n"/>
    </row>
    <row r="16" ht="15" customHeight="1" s="61">
      <c r="A16" s="14" t="inlineStr">
        <is>
          <t>Capital Expenditures (CapEx)</t>
        </is>
      </c>
      <c r="B16" s="15" t="n">
        <v>-24640</v>
      </c>
      <c r="C16" s="15" t="n">
        <v>-31485</v>
      </c>
      <c r="D16" s="15" t="n">
        <v>-31485</v>
      </c>
      <c r="E16" s="15" t="n">
        <v>-32279</v>
      </c>
      <c r="F16" s="15" t="n">
        <v>-44530</v>
      </c>
      <c r="G16" s="15" t="n">
        <v>-91447</v>
      </c>
      <c r="H16" s="76" t="n">
        <v>-80598</v>
      </c>
    </row>
    <row r="17" ht="15" customHeight="1" s="61">
      <c r="A17" s="12" t="inlineStr">
        <is>
          <t>Purchase of Investments</t>
        </is>
      </c>
      <c r="B17" s="18" t="n">
        <v>-80861</v>
      </c>
      <c r="C17" s="18" t="n">
        <v>-138006</v>
      </c>
      <c r="D17" s="18" t="n">
        <v>-81354</v>
      </c>
      <c r="E17" s="18" t="n">
        <v>-80925</v>
      </c>
      <c r="F17" s="18" t="n">
        <v>-77729</v>
      </c>
      <c r="G17" s="18" t="n">
        <v>-109489</v>
      </c>
      <c r="H17" s="77" t="n">
        <v>-98531</v>
      </c>
    </row>
    <row r="18" ht="15" customHeight="1" s="61">
      <c r="A18" s="14" t="inlineStr">
        <is>
          <t>Sale/Maturity of Investments</t>
        </is>
      </c>
      <c r="B18" s="15" t="n">
        <v>87634</v>
      </c>
      <c r="C18" s="15" t="n">
        <v>129244</v>
      </c>
      <c r="D18" s="15" t="n">
        <v>98032</v>
      </c>
      <c r="E18" s="15" t="n">
        <v>87603</v>
      </c>
      <c r="F18" s="15" t="n">
        <v>88408</v>
      </c>
      <c r="G18" s="15" t="n">
        <v>84607</v>
      </c>
      <c r="H18" s="76" t="n">
        <v>68363</v>
      </c>
    </row>
    <row r="19" ht="15" customHeight="1" s="61">
      <c r="A19" s="12" t="inlineStr">
        <is>
          <t>Acquisitions, net</t>
        </is>
      </c>
      <c r="B19" s="18" t="n">
        <v>-2607</v>
      </c>
      <c r="C19" s="18" t="n">
        <v>-2649</v>
      </c>
      <c r="D19" s="18" t="n">
        <v>-6989</v>
      </c>
      <c r="E19" s="18" t="n">
        <v>-495</v>
      </c>
      <c r="F19" s="18" t="n">
        <v>-2503</v>
      </c>
      <c r="G19" s="18" t="n">
        <v>-1592</v>
      </c>
      <c r="H19" s="77" t="n">
        <v>-33697</v>
      </c>
    </row>
    <row r="20" ht="15" customHeight="1" s="61">
      <c r="A20" s="14" t="inlineStr">
        <is>
          <t>Other Investing Activities</t>
        </is>
      </c>
      <c r="B20" s="15" t="n">
        <v>541</v>
      </c>
      <c r="C20" s="15" t="n">
        <v>1620</v>
      </c>
      <c r="D20" s="15" t="n">
        <v>1618</v>
      </c>
      <c r="E20" s="15" t="n">
        <v>-1084</v>
      </c>
      <c r="F20" s="15" t="n">
        <v>-2306</v>
      </c>
      <c r="G20" s="15" t="n">
        <v>-2370</v>
      </c>
      <c r="H20" s="76" t="n">
        <v>-1359</v>
      </c>
    </row>
    <row r="21" ht="15" customHeight="1" s="61">
      <c r="A21" s="9" t="inlineStr">
        <is>
          <t>Net Cash from Investing Activities</t>
        </is>
      </c>
      <c r="B21" s="10" t="n">
        <v>-32773</v>
      </c>
      <c r="C21" s="10" t="n">
        <v>-35523</v>
      </c>
      <c r="D21" s="10" t="n">
        <v>-20298</v>
      </c>
      <c r="E21" s="10" t="n">
        <v>-27063</v>
      </c>
      <c r="F21" s="10" t="n">
        <v>-45536</v>
      </c>
      <c r="G21" s="10" t="n">
        <v>-120291</v>
      </c>
      <c r="H21" s="10" t="n">
        <v>-145822</v>
      </c>
      <c r="I21" s="23" t="n"/>
    </row>
    <row r="22" ht="15" customHeight="1" s="61">
      <c r="A22" s="5" t="n"/>
      <c r="B22" s="11" t="n"/>
      <c r="C22" s="11" t="n"/>
      <c r="D22" s="11" t="n"/>
      <c r="E22" s="11" t="n"/>
      <c r="F22" s="11" t="n"/>
      <c r="G22" s="11" t="n"/>
    </row>
    <row r="23" ht="15" customHeight="1" s="61">
      <c r="A23" s="16" t="inlineStr">
        <is>
          <t>FINANCING ACTIVITIES</t>
        </is>
      </c>
      <c r="B23" s="17" t="n"/>
      <c r="C23" s="17" t="n"/>
      <c r="D23" s="17" t="n"/>
      <c r="E23" s="17" t="n"/>
      <c r="F23" s="17" t="n"/>
      <c r="G23" s="17" t="n"/>
    </row>
    <row r="24" ht="15" customHeight="1" s="61">
      <c r="A24" s="14" t="inlineStr">
        <is>
          <t>Issuance of Debt</t>
        </is>
      </c>
      <c r="B24" s="15" t="n">
        <v>20177</v>
      </c>
      <c r="C24" s="15" t="n">
        <v>20204</v>
      </c>
      <c r="D24" s="15" t="n">
        <v>52949</v>
      </c>
      <c r="E24" s="15" t="n">
        <v>10756</v>
      </c>
      <c r="F24" s="15" t="n">
        <v>11514</v>
      </c>
      <c r="G24" s="15" t="n">
        <v>64564</v>
      </c>
      <c r="H24" s="76" t="n">
        <v>56226</v>
      </c>
    </row>
    <row r="25" ht="15" customHeight="1" s="61">
      <c r="A25" s="12" t="inlineStr">
        <is>
          <t>Repayment of Debt</t>
        </is>
      </c>
      <c r="B25" s="18" t="n">
        <v>-21436</v>
      </c>
      <c r="C25" s="18" t="n">
        <v>-21377</v>
      </c>
      <c r="D25" s="18" t="n">
        <v>-54133</v>
      </c>
      <c r="E25" s="18" t="n">
        <v>-11636</v>
      </c>
      <c r="F25" s="18" t="n">
        <v>-10816</v>
      </c>
      <c r="G25" s="18" t="n">
        <v>-32427</v>
      </c>
      <c r="H25" s="77" t="n">
        <v>-5253</v>
      </c>
    </row>
    <row r="26" ht="15" customHeight="1" s="61">
      <c r="A26" s="14" t="inlineStr">
        <is>
          <t>Stock Repurchases</t>
        </is>
      </c>
      <c r="B26" s="15" t="n">
        <v>-31149</v>
      </c>
      <c r="C26" s="15" t="n">
        <v>-50274</v>
      </c>
      <c r="D26" s="15" t="n">
        <v>-59296</v>
      </c>
      <c r="E26" s="15" t="n">
        <v>-61540</v>
      </c>
      <c r="F26" s="15" t="n">
        <v>-52679</v>
      </c>
      <c r="G26" s="15" t="n">
        <v>-45709</v>
      </c>
      <c r="H26" s="76" t="n">
        <v>0</v>
      </c>
    </row>
    <row r="27" ht="15" customHeight="1" s="61">
      <c r="A27" s="12" t="inlineStr">
        <is>
          <t>Dividends Paid</t>
        </is>
      </c>
      <c r="B27" s="18" t="n">
        <v>0</v>
      </c>
      <c r="C27" s="18" t="n">
        <v>0</v>
      </c>
      <c r="D27" s="18" t="n">
        <v>0</v>
      </c>
      <c r="E27" s="18" t="n">
        <v>0</v>
      </c>
      <c r="F27" s="18" t="n">
        <v>-6191</v>
      </c>
      <c r="G27" s="18" t="n">
        <v>-10049</v>
      </c>
      <c r="H27" s="77" t="n">
        <v>-5231</v>
      </c>
    </row>
    <row r="28" ht="15" customHeight="1" s="61">
      <c r="A28" s="14" t="inlineStr">
        <is>
          <t>Other Financing Activities</t>
        </is>
      </c>
      <c r="B28" s="15" t="n">
        <v>8000</v>
      </c>
      <c r="C28" s="15" t="n">
        <v>85</v>
      </c>
      <c r="D28" s="15" t="n">
        <v>723</v>
      </c>
      <c r="E28" s="15" t="n">
        <v>930</v>
      </c>
      <c r="F28" s="15" t="n">
        <v>439</v>
      </c>
      <c r="G28" s="15" t="n">
        <v>-13767</v>
      </c>
      <c r="H28" s="76" t="n">
        <v>40578</v>
      </c>
    </row>
    <row r="29" ht="15" customHeight="1" s="61">
      <c r="A29" s="9" t="inlineStr">
        <is>
          <t>Net Cash from Financing Activities</t>
        </is>
      </c>
      <c r="B29" s="10">
        <f>SUM(B24:B28)</f>
        <v/>
      </c>
      <c r="C29" s="10">
        <f>SUM(C24:C28)</f>
        <v/>
      </c>
      <c r="D29" s="10">
        <f>SUM(D24:D28)</f>
        <v/>
      </c>
      <c r="E29" s="10">
        <f>SUM(E24:E28)</f>
        <v/>
      </c>
      <c r="F29" s="10">
        <f>SUM(F24:F28)</f>
        <v/>
      </c>
      <c r="G29" s="10">
        <f>SUM(G24:G28)</f>
        <v/>
      </c>
      <c r="H29" s="10">
        <f>SUM(H24:H28)</f>
        <v/>
      </c>
    </row>
    <row r="30" ht="15" customHeight="1" s="61">
      <c r="A30" s="5" t="n"/>
      <c r="B30" s="11" t="n"/>
      <c r="C30" s="11" t="n"/>
      <c r="D30" s="11" t="n"/>
      <c r="E30" s="11" t="n"/>
      <c r="F30" s="11" t="n"/>
      <c r="G30" s="11" t="n"/>
    </row>
    <row r="31" ht="15" customHeight="1" s="61">
      <c r="A31" s="9" t="inlineStr">
        <is>
          <t>Net Change in Cash</t>
        </is>
      </c>
      <c r="B31" s="10">
        <f>B13+B21+B29</f>
        <v/>
      </c>
      <c r="C31" s="10">
        <f>C13+C21+C29</f>
        <v/>
      </c>
      <c r="D31" s="10">
        <f>D13+D21+D29</f>
        <v/>
      </c>
      <c r="E31" s="10">
        <f>E13+E21+E29</f>
        <v/>
      </c>
      <c r="F31" s="10">
        <f>F13+F21+F29</f>
        <v/>
      </c>
      <c r="G31" s="10">
        <f>G13+G21+G29</f>
        <v/>
      </c>
      <c r="H31" s="10">
        <f>H13+H21+H29</f>
        <v/>
      </c>
    </row>
    <row r="32" ht="15" customHeight="1" s="61">
      <c r="A32" s="12" t="inlineStr">
        <is>
          <t>Cash at Beginning of Period</t>
        </is>
      </c>
      <c r="B32" s="18" t="n">
        <v>18498</v>
      </c>
      <c r="C32" s="18" t="n">
        <v>26441</v>
      </c>
      <c r="D32" s="18" t="n">
        <v>21208</v>
      </c>
      <c r="E32" s="18" t="n">
        <v>22648</v>
      </c>
      <c r="F32" s="18" t="n">
        <v>25238</v>
      </c>
      <c r="G32" s="18" t="n">
        <v>23466</v>
      </c>
      <c r="H32" s="77" t="n">
        <v>30708</v>
      </c>
    </row>
    <row r="33" ht="15" customHeight="1" s="61">
      <c r="A33" s="14" t="inlineStr">
        <is>
          <t>Cash at End of Period</t>
        </is>
      </c>
      <c r="B33" s="15" t="n">
        <v>26441</v>
      </c>
      <c r="C33" s="15" t="n">
        <v>21208</v>
      </c>
      <c r="D33" s="15" t="n">
        <v>22648</v>
      </c>
      <c r="E33" s="15" t="n">
        <v>25238</v>
      </c>
      <c r="F33" s="15" t="n">
        <v>25268</v>
      </c>
      <c r="G33" s="15" t="n">
        <v>30708</v>
      </c>
      <c r="H33" s="76" t="n">
        <v>55911</v>
      </c>
    </row>
    <row r="34" ht="15" customHeight="1" s="61">
      <c r="A34" s="5" t="n"/>
      <c r="B34" s="11" t="n"/>
      <c r="C34" s="11" t="n"/>
      <c r="D34" s="11" t="n"/>
      <c r="E34" s="11" t="n"/>
      <c r="F34" s="11" t="n"/>
      <c r="G34" s="11" t="n"/>
    </row>
    <row r="35" ht="15" customHeight="1" s="61">
      <c r="A35" s="16" t="inlineStr">
        <is>
          <t>KEY METRICS</t>
        </is>
      </c>
      <c r="B35" s="17" t="n"/>
      <c r="C35" s="17" t="n"/>
      <c r="D35" s="17" t="n"/>
      <c r="E35" s="17" t="n"/>
      <c r="F35" s="17" t="n"/>
      <c r="G35" s="17" t="n"/>
    </row>
    <row r="36" ht="15" customHeight="1" s="61">
      <c r="A36" s="9" t="inlineStr">
        <is>
          <t>Free Cash Flow (OCF - CapEx)</t>
        </is>
      </c>
      <c r="B36" s="10" t="n">
        <v>40484</v>
      </c>
      <c r="C36" s="10" t="n">
        <v>60167</v>
      </c>
      <c r="D36" s="10" t="n">
        <v>60010</v>
      </c>
      <c r="E36" s="10" t="n">
        <v>69467</v>
      </c>
      <c r="F36" s="10" t="n">
        <v>80769</v>
      </c>
      <c r="G36" s="10" t="n">
        <v>73266</v>
      </c>
      <c r="H36" s="10" t="n">
        <v>4261</v>
      </c>
    </row>
  </sheetData>
  <printOptions horizontalCentered="1"/>
  <pageMargins left="0.25" right="0.25" top="0.3" bottom="0.3" header="0.511811023622047" footer="0.511811023622047"/>
  <pageSetup orientation="landscape" paperSize="9" fitToHeight="1" fitToWidth="1" horizontalDpi="300" verticalDpi="300"/>
</worksheet>
</file>

<file path=xl/worksheets/sheet4.xml><?xml version="1.0" encoding="utf-8"?>
<worksheet xmlns="http://schemas.openxmlformats.org/spreadsheetml/2006/main">
  <sheetPr>
    <tabColor rgb="FF174EA6"/>
    <outlinePr summaryBelow="1" summaryRight="1"/>
    <pageSetUpPr fitToPage="1"/>
  </sheetPr>
  <dimension ref="A1:L31"/>
  <sheetViews>
    <sheetView showGridLines="0" tabSelected="1" zoomScale="142" zoomScaleNormal="142" workbookViewId="0">
      <selection activeCell="A1" sqref="A1"/>
    </sheetView>
  </sheetViews>
  <sheetFormatPr baseColWidth="10" defaultColWidth="8.83203125" defaultRowHeight="15"/>
  <cols>
    <col width="32" customWidth="1" style="61" min="1" max="1"/>
    <col width="13" customWidth="1" style="61" min="2" max="12"/>
  </cols>
  <sheetData>
    <row r="1" ht="24" customHeight="1" s="61">
      <c r="A1" s="1" t="inlineStr">
        <is>
          <t>Alphabet Inc. - Key Operating Metrics</t>
        </is>
      </c>
      <c r="B1" s="2" t="n"/>
      <c r="C1" s="2" t="n"/>
      <c r="D1" s="2" t="n"/>
      <c r="E1" s="2" t="n"/>
      <c r="F1" s="2" t="n"/>
      <c r="G1" s="2" t="n"/>
      <c r="H1" s="2" t="n"/>
      <c r="I1" s="22" t="n"/>
      <c r="J1" s="22" t="n"/>
      <c r="K1" s="22" t="n"/>
      <c r="L1" s="22" t="n"/>
    </row>
    <row r="2" ht="18" customHeight="1" s="61">
      <c r="A2" s="3" t="inlineStr">
        <is>
          <t>Fiscal Year Ended December 31</t>
        </is>
      </c>
      <c r="B2" s="4" t="n">
        <v>2020</v>
      </c>
      <c r="C2" s="4" t="n">
        <v>2021</v>
      </c>
      <c r="D2" s="4" t="n">
        <v>2022</v>
      </c>
      <c r="E2" s="4" t="n">
        <v>2023</v>
      </c>
      <c r="F2" s="4" t="n">
        <v>2024</v>
      </c>
      <c r="G2" s="4" t="n"/>
      <c r="H2" s="4" t="n"/>
    </row>
    <row r="3" ht="15.75" customHeight="1" s="61">
      <c r="A3" s="5" t="n"/>
      <c r="B3" s="5" t="n"/>
      <c r="C3" s="5" t="n"/>
      <c r="D3" s="5" t="n"/>
      <c r="E3" s="5" t="n"/>
      <c r="F3" s="5" t="n"/>
      <c r="G3" s="5" t="n"/>
      <c r="H3" s="5" t="n"/>
    </row>
    <row r="4" ht="15" customHeight="1" s="61">
      <c r="A4" s="7" t="inlineStr">
        <is>
          <t>PROFITABILITY METRICS</t>
        </is>
      </c>
      <c r="B4" s="7" t="n"/>
      <c r="C4" s="7" t="n"/>
      <c r="D4" s="7" t="n"/>
      <c r="E4" s="7" t="n"/>
      <c r="F4" s="7" t="n"/>
      <c r="G4" s="7" t="n"/>
      <c r="H4" s="7" t="n"/>
    </row>
    <row r="5" ht="21" customHeight="1" s="61">
      <c r="A5" s="12" t="inlineStr">
        <is>
          <t>Gross Margin %</t>
        </is>
      </c>
      <c r="B5" s="24" t="n">
        <v>0.536</v>
      </c>
      <c r="C5" s="24" t="n">
        <v>0.569</v>
      </c>
      <c r="D5" s="24" t="n">
        <v>0.554</v>
      </c>
      <c r="E5" s="24" t="n">
        <v>0.569</v>
      </c>
      <c r="F5" s="24" t="n">
        <v>0.55</v>
      </c>
      <c r="G5" s="5" t="n"/>
      <c r="I5" s="67" t="inlineStr">
        <is>
          <t>All units are in USD millions</t>
        </is>
      </c>
      <c r="J5" s="65" t="n"/>
      <c r="K5" s="65" t="n"/>
      <c r="L5" s="66" t="n"/>
    </row>
    <row r="6" ht="15" customHeight="1" s="61">
      <c r="A6" s="12" t="inlineStr">
        <is>
          <t>Operating Margin %</t>
        </is>
      </c>
      <c r="B6" s="24" t="n">
        <v>0.226</v>
      </c>
      <c r="C6" s="24" t="n">
        <v>0.305</v>
      </c>
      <c r="D6" s="24" t="n">
        <v>0.265</v>
      </c>
      <c r="E6" s="24" t="n">
        <v>0.283</v>
      </c>
      <c r="F6" s="24" t="n">
        <v>0.253</v>
      </c>
      <c r="G6" s="12" t="n"/>
      <c r="H6" s="12" t="n"/>
    </row>
    <row r="7" ht="15" customHeight="1" s="61">
      <c r="A7" s="12" t="inlineStr">
        <is>
          <t>Net Profit Margin %</t>
        </is>
      </c>
      <c r="B7" s="24" t="n">
        <v>0.22</v>
      </c>
      <c r="C7" s="24" t="n">
        <v>0.293</v>
      </c>
      <c r="D7" s="24" t="n">
        <v>0.232</v>
      </c>
      <c r="E7" s="24" t="n">
        <v>0.256</v>
      </c>
      <c r="F7" s="24" t="n">
        <v>0.235</v>
      </c>
      <c r="G7" s="5" t="n"/>
      <c r="H7" s="5" t="n"/>
    </row>
    <row r="8" ht="15" customHeight="1" s="61">
      <c r="A8" s="25" t="n"/>
      <c r="B8" s="25" t="n"/>
      <c r="C8" s="25" t="n"/>
      <c r="D8" s="25" t="n"/>
      <c r="E8" s="25" t="n"/>
      <c r="F8" s="25" t="n"/>
      <c r="G8" s="5" t="n"/>
      <c r="H8" s="5" t="n"/>
    </row>
    <row r="9" ht="15" customHeight="1" s="61">
      <c r="A9" s="16" t="inlineStr">
        <is>
          <t>RETURN METRICS</t>
        </is>
      </c>
      <c r="B9" s="26" t="n"/>
      <c r="C9" s="26" t="n"/>
      <c r="D9" s="26" t="n"/>
      <c r="E9" s="26" t="n"/>
      <c r="F9" s="26" t="n"/>
      <c r="G9" s="26" t="n"/>
      <c r="H9" s="26" t="n"/>
    </row>
    <row r="10" ht="15" customHeight="1" s="61">
      <c r="A10" s="12" t="inlineStr">
        <is>
          <t>Return on Assets (ROA) %</t>
        </is>
      </c>
      <c r="B10" s="24" t="n">
        <v>0.126</v>
      </c>
      <c r="C10" s="24" t="n">
        <v>0.211</v>
      </c>
      <c r="D10" s="24" t="n">
        <v>0.185</v>
      </c>
      <c r="E10" s="24" t="n">
        <v>0.195</v>
      </c>
      <c r="F10" s="24" t="n">
        <v>0.183</v>
      </c>
      <c r="G10" s="5" t="n"/>
      <c r="H10" s="5" t="n"/>
    </row>
    <row r="11" ht="15" customHeight="1" s="61">
      <c r="A11" s="12" t="inlineStr">
        <is>
          <t>Return on Equity (ROE) %</t>
        </is>
      </c>
      <c r="B11" s="24" t="n">
        <v>0.18</v>
      </c>
      <c r="C11" s="24" t="n">
        <v>0.294</v>
      </c>
      <c r="D11" s="24" t="n">
        <v>0.262</v>
      </c>
      <c r="E11" s="24" t="n">
        <v>0.271</v>
      </c>
      <c r="F11" s="24" t="n">
        <v>0.247</v>
      </c>
      <c r="G11" s="12" t="n"/>
      <c r="H11" s="12" t="n"/>
    </row>
    <row r="12" ht="15" customHeight="1" s="61">
      <c r="A12" s="25" t="n"/>
      <c r="B12" s="25" t="n"/>
      <c r="C12" s="25" t="n"/>
      <c r="D12" s="25" t="n"/>
      <c r="E12" s="25" t="n"/>
      <c r="F12" s="25" t="n"/>
      <c r="G12" s="5" t="n"/>
      <c r="H12" s="5" t="n"/>
    </row>
    <row r="13" ht="15" customHeight="1" s="61">
      <c r="A13" s="16" t="inlineStr">
        <is>
          <t>LIQUIDITY RATIOS</t>
        </is>
      </c>
      <c r="B13" s="26" t="n"/>
      <c r="C13" s="26" t="n"/>
      <c r="D13" s="26" t="n"/>
      <c r="E13" s="26" t="n"/>
      <c r="F13" s="26" t="n"/>
      <c r="G13" s="26" t="n"/>
      <c r="H13" s="26" t="n"/>
    </row>
    <row r="14" ht="15" customHeight="1" s="61">
      <c r="A14" s="12" t="inlineStr">
        <is>
          <t>Current Ratio</t>
        </is>
      </c>
      <c r="B14" s="27" t="n">
        <v>3.09</v>
      </c>
      <c r="C14" s="27" t="n">
        <v>2.91</v>
      </c>
      <c r="D14" s="27" t="n">
        <v>2.32</v>
      </c>
      <c r="E14" s="27" t="n">
        <v>2.06</v>
      </c>
      <c r="F14" s="27" t="n">
        <v>1.8</v>
      </c>
      <c r="G14" s="5" t="n"/>
      <c r="H14" s="5" t="n"/>
    </row>
    <row r="15" ht="15" customHeight="1" s="61">
      <c r="A15" s="12" t="inlineStr">
        <is>
          <t>Quick Ratio</t>
        </is>
      </c>
      <c r="B15" s="27" t="n">
        <v>3.09</v>
      </c>
      <c r="C15" s="27" t="n">
        <v>2.91</v>
      </c>
      <c r="D15" s="27" t="n">
        <v>2.32</v>
      </c>
      <c r="E15" s="27" t="n">
        <v>2.06</v>
      </c>
      <c r="F15" s="27" t="n">
        <v>1.8</v>
      </c>
      <c r="G15" s="12" t="n"/>
      <c r="H15" s="12" t="n"/>
    </row>
    <row r="16" ht="15" customHeight="1" s="61">
      <c r="A16" s="25" t="n"/>
      <c r="B16" s="25" t="n"/>
      <c r="C16" s="25" t="n"/>
      <c r="D16" s="25" t="n"/>
      <c r="E16" s="25" t="n"/>
      <c r="F16" s="25" t="n"/>
      <c r="G16" s="5" t="n"/>
      <c r="H16" s="5" t="n"/>
    </row>
    <row r="17" ht="15" customHeight="1" s="61">
      <c r="A17" s="16" t="inlineStr">
        <is>
          <t>LEVERAGE RATIOS</t>
        </is>
      </c>
      <c r="B17" s="26" t="n"/>
      <c r="C17" s="26" t="n"/>
      <c r="D17" s="26" t="n"/>
      <c r="E17" s="26" t="n"/>
      <c r="F17" s="26" t="n"/>
      <c r="G17" s="26" t="n"/>
      <c r="H17" s="26" t="n"/>
    </row>
    <row r="18" ht="15" customHeight="1" s="61">
      <c r="A18" s="12" t="inlineStr">
        <is>
          <t>Debt to Equity</t>
        </is>
      </c>
      <c r="B18" s="27" t="n">
        <v>0.06</v>
      </c>
      <c r="C18" s="27" t="n">
        <v>0.06</v>
      </c>
      <c r="D18" s="27" t="n">
        <v>0.06</v>
      </c>
      <c r="E18" s="27" t="n">
        <v>0.05</v>
      </c>
      <c r="F18" s="27" t="n">
        <v>0.04</v>
      </c>
      <c r="G18" s="5" t="n"/>
      <c r="H18" s="5" t="n"/>
    </row>
    <row r="19" ht="15" customHeight="1" s="61">
      <c r="A19" s="12" t="inlineStr">
        <is>
          <t>Debt to Assets</t>
        </is>
      </c>
      <c r="B19" s="27" t="n">
        <v>0.04</v>
      </c>
      <c r="C19" s="27" t="n">
        <v>0.04</v>
      </c>
      <c r="D19" s="27" t="n">
        <v>0.04</v>
      </c>
      <c r="E19" s="27" t="n">
        <v>0.03</v>
      </c>
      <c r="F19" s="27" t="n">
        <v>0.03</v>
      </c>
      <c r="G19" s="12" t="n"/>
      <c r="H19" s="12" t="n"/>
    </row>
    <row r="20" ht="15" customHeight="1" s="61">
      <c r="A20" s="25" t="n"/>
      <c r="B20" s="25" t="n"/>
      <c r="C20" s="25" t="n"/>
      <c r="D20" s="25" t="n"/>
      <c r="E20" s="25" t="n"/>
      <c r="F20" s="25" t="n"/>
      <c r="G20" s="5" t="n"/>
      <c r="H20" s="5" t="n"/>
    </row>
    <row r="21" ht="15" customHeight="1" s="61">
      <c r="A21" s="16" t="inlineStr">
        <is>
          <t>EFFICIENCY METRICS</t>
        </is>
      </c>
      <c r="B21" s="26" t="n"/>
      <c r="C21" s="26" t="n"/>
      <c r="D21" s="26" t="n"/>
      <c r="E21" s="26" t="n"/>
      <c r="F21" s="26" t="n"/>
      <c r="G21" s="26" t="n"/>
      <c r="H21" s="26" t="n"/>
    </row>
    <row r="22" ht="15" customHeight="1" s="61">
      <c r="A22" s="12" t="inlineStr">
        <is>
          <t>Asset Turnover</t>
        </is>
      </c>
      <c r="B22" s="27" t="n">
        <v>0.57</v>
      </c>
      <c r="C22" s="27" t="n">
        <v>0.72</v>
      </c>
      <c r="D22" s="27" t="n">
        <v>0.8</v>
      </c>
      <c r="E22" s="27" t="n">
        <v>0.76</v>
      </c>
      <c r="F22" s="27" t="n">
        <v>0.78</v>
      </c>
      <c r="G22" s="5" t="n"/>
      <c r="H22" s="5" t="n"/>
    </row>
    <row r="23" ht="15" customHeight="1" s="61">
      <c r="A23" s="25" t="n"/>
      <c r="B23" s="25" t="n"/>
      <c r="C23" s="25" t="n"/>
      <c r="D23" s="25" t="n"/>
      <c r="E23" s="25" t="n"/>
      <c r="F23" s="25" t="n"/>
      <c r="G23" s="5" t="n"/>
      <c r="H23" s="5" t="n"/>
    </row>
    <row r="24" ht="15" customHeight="1" s="61">
      <c r="A24" s="16" t="inlineStr">
        <is>
          <t>CASH FLOW METRICS</t>
        </is>
      </c>
      <c r="B24" s="26" t="n"/>
      <c r="C24" s="26" t="n"/>
      <c r="D24" s="26" t="n"/>
      <c r="E24" s="26" t="n"/>
      <c r="F24" s="26" t="n"/>
      <c r="G24" s="26" t="n"/>
      <c r="H24" s="26" t="n"/>
    </row>
    <row r="25" ht="15" customHeight="1" s="61">
      <c r="A25" s="12" t="inlineStr">
        <is>
          <t>Operating Cash Flow</t>
        </is>
      </c>
      <c r="B25" s="28" t="n">
        <v>65124</v>
      </c>
      <c r="C25" s="28" t="n">
        <v>91652</v>
      </c>
      <c r="D25" s="28" t="n">
        <v>91495</v>
      </c>
      <c r="E25" s="28" t="n">
        <v>101746</v>
      </c>
      <c r="F25" s="28" t="n">
        <v>125299</v>
      </c>
      <c r="G25" s="5" t="n"/>
      <c r="H25" s="5" t="n"/>
    </row>
    <row r="26" ht="15" customHeight="1" s="61">
      <c r="A26" s="9" t="inlineStr">
        <is>
          <t>Free Cash Flow</t>
        </is>
      </c>
      <c r="B26" s="29" t="n">
        <v>40484</v>
      </c>
      <c r="C26" s="29" t="n">
        <v>60167</v>
      </c>
      <c r="D26" s="29" t="n">
        <v>60010</v>
      </c>
      <c r="E26" s="29" t="n">
        <v>69467</v>
      </c>
      <c r="F26" s="29" t="n">
        <v>80769</v>
      </c>
      <c r="G26" s="9" t="n"/>
      <c r="H26" s="9" t="n"/>
    </row>
    <row r="27" ht="15" customHeight="1" s="61">
      <c r="A27" s="12" t="inlineStr">
        <is>
          <t>FCF Margin %</t>
        </is>
      </c>
      <c r="B27" s="24" t="n">
        <v>0.222</v>
      </c>
      <c r="C27" s="24" t="n">
        <v>0.233</v>
      </c>
      <c r="D27" s="24" t="n">
        <v>0.212</v>
      </c>
      <c r="E27" s="24" t="n">
        <v>0.226</v>
      </c>
      <c r="F27" s="24" t="n">
        <v>0.231</v>
      </c>
      <c r="G27" s="5" t="n"/>
      <c r="H27" s="5" t="n"/>
    </row>
    <row r="28" ht="15" customHeight="1" s="61">
      <c r="A28" s="25" t="n"/>
      <c r="B28" s="25" t="n"/>
      <c r="C28" s="25" t="n"/>
      <c r="D28" s="25" t="n"/>
      <c r="E28" s="25" t="n"/>
      <c r="F28" s="25" t="n"/>
      <c r="G28" s="5" t="n"/>
      <c r="H28" s="5" t="n"/>
    </row>
    <row r="29" ht="15" customHeight="1" s="61">
      <c r="A29" s="16" t="inlineStr">
        <is>
          <t>VALUATION DATA (for reference)</t>
        </is>
      </c>
      <c r="B29" s="26" t="n"/>
      <c r="C29" s="26" t="n"/>
      <c r="D29" s="26" t="n"/>
      <c r="E29" s="26" t="n"/>
      <c r="F29" s="26" t="n"/>
      <c r="G29" s="26" t="n"/>
      <c r="H29" s="26" t="n"/>
    </row>
    <row r="30" ht="15" customHeight="1" s="61">
      <c r="A30" s="12" t="inlineStr">
        <is>
          <t>Diluted Shares Outstanding (M)</t>
        </is>
      </c>
      <c r="B30" s="28" t="n">
        <v>13700</v>
      </c>
      <c r="C30" s="28" t="n">
        <v>13472</v>
      </c>
      <c r="D30" s="28" t="n">
        <v>12843</v>
      </c>
      <c r="E30" s="28" t="n">
        <v>11972</v>
      </c>
      <c r="F30" s="28" t="n">
        <v>10826</v>
      </c>
      <c r="G30" s="5" t="n"/>
      <c r="H30" s="5" t="n"/>
    </row>
    <row r="31" ht="15.75" customHeight="1" s="61">
      <c r="A31" s="12" t="inlineStr">
        <is>
          <t>EPS (Diluted)</t>
        </is>
      </c>
      <c r="B31" s="27" t="n">
        <v>2.93</v>
      </c>
      <c r="C31" s="27" t="n">
        <v>5.61</v>
      </c>
      <c r="D31" s="27" t="n">
        <v>5.11</v>
      </c>
      <c r="E31" s="27" t="n">
        <v>6.57</v>
      </c>
      <c r="F31" s="27" t="n">
        <v>7.59</v>
      </c>
      <c r="G31" s="12" t="n"/>
      <c r="H31" s="12" t="n"/>
    </row>
  </sheetData>
  <mergeCells count="1">
    <mergeCell ref="I5:L5"/>
  </mergeCells>
  <printOptions horizontalCentered="1"/>
  <pageMargins left="0.25" right="0.25" top="0.3" bottom="0.3" header="0.511811023622047" footer="0.511811023622047"/>
  <pageSetup orientation="landscape" paperSize="9" fitToHeight="1" fitToWidth="1" horizontalDpi="300" verticalDpi="300"/>
</worksheet>
</file>

<file path=xl/worksheets/sheet5.xml><?xml version="1.0" encoding="utf-8"?>
<worksheet xmlns="http://schemas.openxmlformats.org/spreadsheetml/2006/main">
  <sheetPr>
    <tabColor rgb="FF174EA6"/>
    <outlinePr summaryBelow="1" summaryRight="1"/>
    <pageSetUpPr fitToPage="1"/>
  </sheetPr>
  <dimension ref="A1:G27"/>
  <sheetViews>
    <sheetView showGridLines="0" zoomScale="150" zoomScaleNormal="150" workbookViewId="0">
      <selection activeCell="A1" sqref="A1"/>
    </sheetView>
  </sheetViews>
  <sheetFormatPr baseColWidth="10" defaultColWidth="8.83203125" defaultRowHeight="15"/>
  <cols>
    <col width="37.33203125" customWidth="1" style="61" min="1" max="1"/>
    <col width="13" customWidth="1" style="61" min="2" max="6"/>
  </cols>
  <sheetData>
    <row r="1" ht="24" customHeight="1" s="61">
      <c r="A1" s="1" t="inlineStr">
        <is>
          <t>Alphabet Inc. - Revenue Breakdown by Segment</t>
        </is>
      </c>
      <c r="B1" s="2" t="n"/>
      <c r="C1" s="2" t="n"/>
      <c r="D1" s="2" t="n"/>
      <c r="E1" s="2" t="n"/>
      <c r="F1" s="2" t="n"/>
    </row>
    <row r="2" ht="18" customHeight="1" s="61">
      <c r="A2" s="3" t="inlineStr">
        <is>
          <t>Fiscal Year Ended December 31</t>
        </is>
      </c>
      <c r="B2" s="4" t="n">
        <v>2020</v>
      </c>
      <c r="C2" s="4" t="n">
        <v>2021</v>
      </c>
      <c r="D2" s="4" t="n">
        <v>2022</v>
      </c>
      <c r="E2" s="4" t="n">
        <v>2023</v>
      </c>
      <c r="F2" s="4" t="n">
        <v>2024</v>
      </c>
      <c r="G2" s="75" t="inlineStr">
        <is>
          <t>Q2 2026A</t>
        </is>
      </c>
    </row>
    <row r="3" ht="15" customHeight="1" s="61">
      <c r="A3" s="5" t="n"/>
      <c r="B3" s="5" t="n"/>
      <c r="C3" s="5" t="n"/>
      <c r="D3" s="5" t="n"/>
      <c r="E3" s="5" t="n"/>
      <c r="F3" s="5" t="n"/>
    </row>
    <row r="4" ht="15" customHeight="1" s="61">
      <c r="A4" s="7" t="inlineStr">
        <is>
          <t>GOOGLE SERVICES</t>
        </is>
      </c>
      <c r="B4" s="7" t="n"/>
      <c r="C4" s="7" t="n"/>
      <c r="D4" s="7" t="n"/>
      <c r="E4" s="7" t="n"/>
      <c r="F4" s="7" t="n"/>
    </row>
    <row r="5" ht="15" customHeight="1" s="61">
      <c r="A5" s="14" t="inlineStr">
        <is>
          <t>Google Search &amp; Other</t>
        </is>
      </c>
      <c r="B5" s="30" t="n">
        <v>104062</v>
      </c>
      <c r="C5" s="30" t="n">
        <v>148951</v>
      </c>
      <c r="D5" s="30" t="n">
        <v>162450</v>
      </c>
      <c r="E5" s="30" t="n">
        <v>175033</v>
      </c>
      <c r="F5" s="30" t="n">
        <v>197868</v>
      </c>
      <c r="G5" s="80" t="n">
        <v>63271</v>
      </c>
    </row>
    <row r="6" ht="15" customHeight="1" s="61">
      <c r="A6" s="12" t="inlineStr">
        <is>
          <t>YouTube Ads</t>
        </is>
      </c>
      <c r="B6" s="28" t="n">
        <v>19772</v>
      </c>
      <c r="C6" s="28" t="n">
        <v>28845</v>
      </c>
      <c r="D6" s="28" t="n">
        <v>29243</v>
      </c>
      <c r="E6" s="28" t="n">
        <v>31510</v>
      </c>
      <c r="F6" s="28" t="n">
        <v>35309</v>
      </c>
      <c r="G6" s="81" t="n">
        <v>11055</v>
      </c>
    </row>
    <row r="7" ht="15" customHeight="1" s="61">
      <c r="A7" s="14" t="inlineStr">
        <is>
          <t>Google Network</t>
        </is>
      </c>
      <c r="B7" s="30" t="n">
        <v>23057</v>
      </c>
      <c r="C7" s="30" t="n">
        <v>31701</v>
      </c>
      <c r="D7" s="30" t="n">
        <v>32780</v>
      </c>
      <c r="E7" s="30" t="n">
        <v>31316</v>
      </c>
      <c r="F7" s="30" t="n">
        <v>31010</v>
      </c>
      <c r="G7" s="80" t="n">
        <v>7303</v>
      </c>
    </row>
    <row r="8" ht="15" customHeight="1" s="61">
      <c r="A8" s="12" t="inlineStr">
        <is>
          <t>Subscriptions, Platforms &amp; Devices</t>
        </is>
      </c>
      <c r="B8" s="28" t="n">
        <v>21711</v>
      </c>
      <c r="C8" s="28" t="n">
        <v>28813</v>
      </c>
      <c r="D8" s="28" t="n">
        <v>29055</v>
      </c>
      <c r="E8" s="28" t="n">
        <v>34685</v>
      </c>
      <c r="F8" s="28" t="n">
        <v>40710</v>
      </c>
      <c r="G8" s="81" t="n">
        <v>12911</v>
      </c>
    </row>
    <row r="9" ht="15" customHeight="1" s="61">
      <c r="A9" s="9" t="inlineStr">
        <is>
          <t>Total Google Services Revenue</t>
        </is>
      </c>
      <c r="B9" s="31">
        <f>SUM(B5:B8)</f>
        <v/>
      </c>
      <c r="C9" s="31">
        <f>SUM(C5:C8)</f>
        <v/>
      </c>
      <c r="D9" s="31">
        <f>SUM(D5:D8)</f>
        <v/>
      </c>
      <c r="E9" s="31">
        <f>SUM(E5:E8)</f>
        <v/>
      </c>
      <c r="F9" s="31">
        <f>SUM(F5:F8)</f>
        <v/>
      </c>
      <c r="G9" s="31">
        <f>SUM(G5:G8)</f>
        <v/>
      </c>
    </row>
    <row r="10" ht="15" customHeight="1" s="61">
      <c r="A10" s="5" t="n"/>
      <c r="B10" s="32" t="n"/>
      <c r="C10" s="32" t="n"/>
      <c r="D10" s="32" t="n"/>
      <c r="E10" s="32" t="n"/>
      <c r="F10" s="32" t="n"/>
    </row>
    <row r="11" ht="15" customHeight="1" s="61">
      <c r="A11" s="16" t="inlineStr">
        <is>
          <t>GOOGLE CLOUD</t>
        </is>
      </c>
      <c r="B11" s="33" t="n"/>
      <c r="C11" s="33" t="n"/>
      <c r="D11" s="33" t="n"/>
      <c r="E11" s="33" t="n"/>
      <c r="F11" s="33" t="n"/>
    </row>
    <row r="12" ht="15" customHeight="1" s="61">
      <c r="A12" s="14" t="inlineStr">
        <is>
          <t>Google Cloud Revenue</t>
        </is>
      </c>
      <c r="B12" s="30" t="n">
        <v>13059</v>
      </c>
      <c r="C12" s="30" t="n">
        <v>19206</v>
      </c>
      <c r="D12" s="30" t="n">
        <v>26280</v>
      </c>
      <c r="E12" s="30" t="n">
        <v>33088</v>
      </c>
      <c r="F12" s="30" t="n">
        <v>41794</v>
      </c>
      <c r="G12" s="80" t="n">
        <v>24768</v>
      </c>
    </row>
    <row r="13" ht="15" customHeight="1" s="61">
      <c r="A13" s="5" t="n"/>
      <c r="B13" s="32" t="n"/>
      <c r="C13" s="32" t="n"/>
      <c r="D13" s="32" t="n"/>
      <c r="E13" s="32" t="n"/>
      <c r="F13" s="32" t="n"/>
    </row>
    <row r="14" ht="15" customHeight="1" s="61">
      <c r="A14" s="16" t="inlineStr">
        <is>
          <t>OTHER BETS</t>
        </is>
      </c>
      <c r="B14" s="33" t="n"/>
      <c r="C14" s="33" t="n"/>
      <c r="D14" s="33" t="n"/>
      <c r="E14" s="33" t="n"/>
      <c r="F14" s="33" t="n"/>
    </row>
    <row r="15" ht="15" customHeight="1" s="61">
      <c r="A15" s="14" t="inlineStr">
        <is>
          <t>Other Bets Revenue</t>
        </is>
      </c>
      <c r="B15" s="34" t="n">
        <v>657</v>
      </c>
      <c r="C15" s="34" t="n">
        <v>753</v>
      </c>
      <c r="D15" s="30" t="n">
        <v>1068</v>
      </c>
      <c r="E15" s="30" t="n">
        <v>1527</v>
      </c>
      <c r="F15" s="30" t="n">
        <v>1907</v>
      </c>
      <c r="G15" s="80" t="n">
        <v>382</v>
      </c>
    </row>
    <row r="16" ht="15" customHeight="1" s="61">
      <c r="A16" s="5" t="n"/>
      <c r="B16" s="32" t="n"/>
      <c r="C16" s="32" t="n"/>
      <c r="D16" s="32" t="n"/>
      <c r="E16" s="32" t="n"/>
      <c r="F16" s="32" t="n"/>
    </row>
    <row r="17" ht="15" customHeight="1" s="61">
      <c r="A17" s="16" t="inlineStr">
        <is>
          <t>HEDGING GAINS/LOSSES</t>
        </is>
      </c>
      <c r="B17" s="33" t="n"/>
      <c r="C17" s="33" t="n"/>
      <c r="D17" s="33" t="n"/>
      <c r="E17" s="33" t="n"/>
      <c r="F17" s="33" t="n"/>
    </row>
    <row r="18" ht="15" customHeight="1" s="61">
      <c r="A18" s="14" t="inlineStr">
        <is>
          <t>Other Revenues &amp; Hedging</t>
        </is>
      </c>
      <c r="B18" s="34" t="n">
        <v>209</v>
      </c>
      <c r="C18" s="34" t="n">
        <v>368</v>
      </c>
      <c r="D18" s="34" t="n">
        <v>-40</v>
      </c>
      <c r="E18" s="34" t="n">
        <v>235</v>
      </c>
      <c r="F18" s="34" t="n">
        <v>420</v>
      </c>
      <c r="G18" s="82" t="n">
        <v>106</v>
      </c>
    </row>
    <row r="19" ht="15" customHeight="1" s="61">
      <c r="A19" s="5" t="n"/>
      <c r="B19" s="32" t="n"/>
      <c r="C19" s="32" t="n"/>
      <c r="D19" s="32" t="n"/>
      <c r="E19" s="32" t="n"/>
      <c r="F19" s="32" t="n"/>
    </row>
    <row r="20" ht="15" customHeight="1" s="61">
      <c r="A20" s="9" t="inlineStr">
        <is>
          <t>TOTAL REVENUES</t>
        </is>
      </c>
      <c r="B20" s="31">
        <f>B9+B12+B15+B18</f>
        <v/>
      </c>
      <c r="C20" s="29" t="n">
        <v>257637</v>
      </c>
      <c r="D20" s="29" t="n">
        <v>282836</v>
      </c>
      <c r="E20" s="29" t="n">
        <v>307394</v>
      </c>
      <c r="F20" s="29" t="n">
        <v>350018</v>
      </c>
      <c r="G20" s="29">
        <f>G9+G12+G15+G18</f>
        <v/>
      </c>
    </row>
    <row r="21" ht="15" customHeight="1" s="61">
      <c r="A21" s="5" t="n"/>
      <c r="B21" s="32" t="n"/>
      <c r="C21" s="32" t="n"/>
      <c r="D21" s="32" t="n"/>
      <c r="E21" s="32" t="n"/>
      <c r="F21" s="32" t="n"/>
    </row>
    <row r="22" ht="15" customHeight="1" s="61">
      <c r="A22" s="9" t="inlineStr">
        <is>
          <t>OPERATING INCOME BY SEGMENT</t>
        </is>
      </c>
      <c r="B22" s="31" t="n"/>
      <c r="C22" s="31" t="n"/>
      <c r="D22" s="31" t="n"/>
      <c r="E22" s="31" t="n"/>
      <c r="F22" s="31" t="n"/>
    </row>
    <row r="23" ht="15" customHeight="1" s="61">
      <c r="A23" s="9" t="inlineStr">
        <is>
          <t>Google Services Operating Income</t>
        </is>
      </c>
      <c r="B23" s="29" t="n">
        <v>60913</v>
      </c>
      <c r="C23" s="29" t="n">
        <v>98703</v>
      </c>
      <c r="D23" s="29" t="n">
        <v>88132</v>
      </c>
      <c r="E23" s="29" t="n">
        <v>100456</v>
      </c>
      <c r="F23" s="29" t="n">
        <v>117372</v>
      </c>
      <c r="G23" s="29" t="n">
        <v>39544</v>
      </c>
    </row>
    <row r="24" ht="15" customHeight="1" s="61">
      <c r="A24" s="9" t="inlineStr">
        <is>
          <t>Google Cloud Operating Income</t>
        </is>
      </c>
      <c r="B24" s="29" t="n">
        <v>-5607</v>
      </c>
      <c r="C24" s="29" t="n">
        <v>-3099</v>
      </c>
      <c r="D24" s="29" t="n">
        <v>1753</v>
      </c>
      <c r="E24" s="29" t="n">
        <v>6448</v>
      </c>
      <c r="F24" s="29" t="n">
        <v>10447</v>
      </c>
      <c r="G24" s="29" t="n">
        <v>8814</v>
      </c>
    </row>
    <row r="25" ht="15" customHeight="1" s="61">
      <c r="A25" s="9" t="inlineStr">
        <is>
          <t>Other Bets Operating Income</t>
        </is>
      </c>
      <c r="B25" s="29" t="n">
        <v>-4540</v>
      </c>
      <c r="C25" s="29" t="n">
        <v>-5281</v>
      </c>
      <c r="D25" s="29" t="n">
        <v>-6085</v>
      </c>
      <c r="E25" s="29" t="n">
        <v>-6532</v>
      </c>
      <c r="F25" s="29" t="n">
        <v>-7070</v>
      </c>
      <c r="G25" s="29" t="n">
        <v>-1799</v>
      </c>
    </row>
    <row r="26" ht="15" customHeight="1" s="61">
      <c r="A26" s="12" t="inlineStr">
        <is>
          <t>Corporate Costs (unallocated)</t>
        </is>
      </c>
      <c r="B26" s="28" t="n">
        <v>-9542</v>
      </c>
      <c r="C26" s="28" t="n">
        <v>-11609</v>
      </c>
      <c r="D26" s="28" t="n">
        <v>-9958</v>
      </c>
      <c r="E26" s="28" t="n">
        <v>-12254</v>
      </c>
      <c r="F26" s="28" t="n">
        <v>-32211</v>
      </c>
      <c r="G26" s="81" t="n">
        <v>-5789</v>
      </c>
    </row>
    <row r="27" ht="15" customHeight="1" s="61">
      <c r="A27" s="9" t="inlineStr">
        <is>
          <t>Total Operating Income</t>
        </is>
      </c>
      <c r="B27" s="29" t="n">
        <v>41224</v>
      </c>
      <c r="C27" s="29" t="n">
        <v>78714</v>
      </c>
      <c r="D27" s="29" t="n">
        <v>74842</v>
      </c>
      <c r="E27" s="29" t="n">
        <v>88118</v>
      </c>
      <c r="F27" s="29" t="n">
        <v>88538</v>
      </c>
      <c r="G27" s="29">
        <f>G23+G24+G25+G26</f>
        <v/>
      </c>
    </row>
  </sheetData>
  <printOptions horizontalCentered="1"/>
  <pageMargins left="0.25" right="0.25" top="0.3" bottom="0.3" header="0.511811023622047" footer="0.511811023622047"/>
  <pageSetup orientation="landscape" paperSize="9" fitToHeight="1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selection activeCell="A1" sqref="A1"/>
    </sheetView>
  </sheetViews>
  <sheetFormatPr baseColWidth="8" defaultRowHeight="15"/>
  <cols>
    <col width="46" customWidth="1" style="61" min="1" max="1"/>
    <col width="26" customWidth="1" style="61" min="2" max="2"/>
    <col width="13" customWidth="1" style="61" min="3" max="3"/>
    <col width="10" customWidth="1" style="61" min="4" max="4"/>
    <col width="16" customWidth="1" style="61" min="5" max="5"/>
    <col width="62" customWidth="1" style="61" min="6" max="6"/>
  </cols>
  <sheetData>
    <row r="1">
      <c r="A1" s="70" t="inlineStr">
        <is>
          <t>Alphabet Inc. — Sum-of-the-Parts (SOTP) Valuation</t>
        </is>
      </c>
    </row>
    <row r="2" ht="30" customHeight="1" s="61">
      <c r="A2" s="84" t="inlineStr">
        <is>
          <t>USD millions except per share. Basis: Q2 2026A annualised run-rate. 12,360M fully diluted shares (incl. mandatory convertible preferred). Live $363.20 (5 Aug 2026, intraday).</t>
        </is>
      </c>
    </row>
    <row r="4">
      <c r="A4" s="71" t="inlineStr">
        <is>
          <t>SEGMENT VALUATION</t>
        </is>
      </c>
    </row>
    <row r="6">
      <c r="A6" s="72" t="inlineStr">
        <is>
          <t>Segment</t>
        </is>
      </c>
      <c r="B6" s="72" t="inlineStr">
        <is>
          <t>Metric (Q2 2026A, $M)</t>
        </is>
      </c>
      <c r="C6" s="72" t="inlineStr">
        <is>
          <t>Value</t>
        </is>
      </c>
      <c r="D6" s="72" t="inlineStr">
        <is>
          <t>Multiple</t>
        </is>
      </c>
      <c r="E6" s="72" t="inlineStr">
        <is>
          <t>EV / Value ($M)</t>
        </is>
      </c>
      <c r="F6" s="85" t="inlineStr">
        <is>
          <t>Basis</t>
        </is>
      </c>
    </row>
    <row r="7">
      <c r="A7" t="inlineStr">
        <is>
          <t>Google Services</t>
        </is>
      </c>
      <c r="B7" t="inlineStr">
        <is>
          <t>Net income (after 16% tax)</t>
        </is>
      </c>
      <c r="C7" t="n">
        <v>113400</v>
      </c>
      <c r="D7" t="n">
        <v>25</v>
      </c>
      <c r="E7" s="73">
        <f>C7*D7</f>
        <v/>
      </c>
      <c r="F7" s="84" t="inlineStr">
        <is>
          <t>Services op income $39.5bn/qtr less $5.8bn/qtr Alphabet-level AI R&amp;D, annualised, taxed at 16% → 25x</t>
        </is>
      </c>
    </row>
    <row r="8">
      <c r="A8" t="inlineStr">
        <is>
          <t>Google Cloud</t>
        </is>
      </c>
      <c r="B8" t="inlineStr">
        <is>
          <t>Revenue run-rate</t>
        </is>
      </c>
      <c r="C8" t="n">
        <v>99000</v>
      </c>
      <c r="D8" t="n">
        <v>21</v>
      </c>
      <c r="E8" s="73">
        <f>C8*D8</f>
        <v/>
      </c>
      <c r="F8" s="84" t="inlineStr">
        <is>
          <t>Cloud Q2 revenue $24.8bn annualised (+82% YoY); $514bn backlog @ 21x revenue</t>
        </is>
      </c>
    </row>
    <row r="9">
      <c r="A9" t="inlineStr">
        <is>
          <t>Other Bets (Waymo etc.)</t>
        </is>
      </c>
      <c r="B9" t="inlineStr">
        <is>
          <t>Optionality value</t>
        </is>
      </c>
      <c r="C9" t="n">
        <v>150000</v>
      </c>
      <c r="D9" t="n">
        <v>1</v>
      </c>
      <c r="E9" s="73">
        <f>C9*D9</f>
        <v/>
      </c>
      <c r="F9" s="84" t="inlineStr">
        <is>
          <t>Waymo robotaxi lead (Dallas now open-access) + moonshots</t>
        </is>
      </c>
    </row>
    <row r="10">
      <c r="A10" t="inlineStr">
        <is>
          <t>Net cash &amp; investments</t>
        </is>
      </c>
      <c r="B10" t="inlineStr">
        <is>
          <t>Cash+securities − debt + stakes</t>
        </is>
      </c>
      <c r="C10" t="n">
        <v>246700</v>
      </c>
      <c r="D10" t="n">
        <v>1</v>
      </c>
      <c r="E10" s="73">
        <f>C10*D10</f>
        <v/>
      </c>
      <c r="F10" s="84" t="inlineStr">
        <is>
          <t>$242.5bn cash/securities − $98.2bn debt + $131.5bn non-marketable stakes net of 22% deferred tax</t>
        </is>
      </c>
    </row>
    <row r="12">
      <c r="A12" s="71" t="inlineStr">
        <is>
          <t>SOTP SUMMARY</t>
        </is>
      </c>
    </row>
    <row r="13">
      <c r="A13" t="inlineStr">
        <is>
          <t>Sum of segment values ($M)</t>
        </is>
      </c>
      <c r="B13" s="73">
        <f>SUM(E7:E10)</f>
        <v/>
      </c>
    </row>
    <row r="14">
      <c r="A14" t="inlineStr">
        <is>
          <t>Diluted shares (M)</t>
        </is>
      </c>
      <c r="B14" t="n">
        <v>12360</v>
      </c>
    </row>
    <row r="15">
      <c r="A15" t="inlineStr">
        <is>
          <t>SOTP value per share ($)</t>
        </is>
      </c>
      <c r="B15" s="73">
        <f>B13/B14</f>
        <v/>
      </c>
    </row>
    <row r="16">
      <c r="A16" t="inlineStr">
        <is>
          <t>Current price ($)</t>
        </is>
      </c>
      <c r="B16" s="73" t="n">
        <v>363.2</v>
      </c>
    </row>
    <row r="17">
      <c r="A17" t="inlineStr">
        <is>
          <t>SOTP upside / (downside)</t>
        </is>
      </c>
      <c r="B17" s="74">
        <f>B15/B16-1</f>
        <v/>
      </c>
    </row>
    <row r="19" ht="45" customHeight="1" s="61">
      <c r="A19" s="84" t="inlineStr">
        <is>
          <t>Note: SOTP is the primary lens for a conglomerate — it surfaces Cloud value the blended-company P/E masks. Cross-checked against forward P/E on RECURRING earnings (30x FY26E EPS $11.90, which excludes the $135.7bn of H1-2026 unrealised equity gains) and Street consensus ($427.59). Blended fair value ~$384.</t>
        </is>
      </c>
    </row>
    <row r="21">
      <c r="A21" s="72" t="inlineStr">
        <is>
          <t>BLENDED TARGET (SOTP-primary)</t>
        </is>
      </c>
    </row>
    <row r="22">
      <c r="A22" t="inlineStr">
        <is>
          <t>SOTP (primary, 45%)</t>
        </is>
      </c>
      <c r="B22" s="73">
        <f>B15</f>
        <v/>
      </c>
    </row>
    <row r="23">
      <c r="A23" t="inlineStr">
        <is>
          <t>Forward P/E (35%): 30x × FY26E recurring EPS</t>
        </is>
      </c>
      <c r="B23" s="73" t="n">
        <v>357</v>
      </c>
    </row>
    <row r="24">
      <c r="A24" t="inlineStr">
        <is>
          <t>DCF floor (20%) — cut for higher capex</t>
        </is>
      </c>
      <c r="B24" s="73" t="n">
        <v>330</v>
      </c>
    </row>
    <row r="25">
      <c r="A25" t="inlineStr">
        <is>
          <t>Blended fair value ($)</t>
        </is>
      </c>
      <c r="B25" s="73">
        <f>0.45*B22+0.35*B23+0.20*B24</f>
        <v/>
      </c>
    </row>
    <row r="26">
      <c r="A26" t="inlineStr">
        <is>
          <t>Upside vs live price</t>
        </is>
      </c>
      <c r="B26" s="74">
        <f>B25/B16-1</f>
        <v/>
      </c>
    </row>
    <row r="27">
      <c r="A27" t="inlineStr">
        <is>
          <t>Rating</t>
        </is>
      </c>
      <c r="B27">
        <f>IF(B29&gt;B30,"BUY",IF(B29&gt;B31,"ACCUMULATE",IF(B29&gt;0,"HOLD","REDUCE")))</f>
        <v/>
      </c>
    </row>
    <row r="28">
      <c r="A28" t="inlineStr">
        <is>
          <t>Dividend yield (FY26E DPS $0.88)</t>
        </is>
      </c>
      <c r="B28" s="74">
        <f>0.88/B16</f>
        <v/>
      </c>
    </row>
    <row r="29">
      <c r="A29" t="inlineStr">
        <is>
          <t>TOTAL RETURN (upside + dividend yield)</t>
        </is>
      </c>
      <c r="B29" s="74">
        <f>B26+B28</f>
        <v/>
      </c>
    </row>
    <row r="30">
      <c r="A30" t="inlineStr">
        <is>
          <t>BUY threshold — cost of equity (RF + 5.5% ERP)</t>
        </is>
      </c>
      <c r="B30" s="74" t="n">
        <v>0.1012</v>
      </c>
    </row>
    <row r="31">
      <c r="A31" t="inlineStr">
        <is>
          <t>ACCUMULATE threshold — RF + 2pp</t>
        </is>
      </c>
      <c r="B31" s="74" t="n">
        <v>0.06619999999999999</v>
      </c>
    </row>
    <row r="33" ht="45" customHeight="1" s="61">
      <c r="A33" s="84" t="inlineStr">
        <is>
          <t>Rating bands are anchored to the US 10-year Treasury (4.62%, 5 Aug 2026), not a fixed percentage: BUY if total return beats the ~10.1% cost of equity; ACCUMULATE above RF+2pp (6.6%); HOLD 0–6.6%; REDUCE below zero.</t>
        </is>
      </c>
    </row>
  </sheetData>
  <mergeCells count="6">
    <mergeCell ref="A2:F2"/>
    <mergeCell ref="A33:F33"/>
    <mergeCell ref="A19:F19"/>
    <mergeCell ref="A1:F1"/>
    <mergeCell ref="A12:F12"/>
    <mergeCell ref="A4:F4"/>
  </mergeCells>
  <printOptions horizontalCentered="1"/>
  <pageMargins left="0.75" right="0.75" top="1" bottom="1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tabColor rgb="FF174EA6"/>
    <outlinePr summaryBelow="1" summaryRight="1"/>
    <pageSetUpPr fitToPage="1"/>
  </sheetPr>
  <dimension ref="A1:E43"/>
  <sheetViews>
    <sheetView showGridLines="0" zoomScale="135" zoomScaleNormal="135" workbookViewId="0">
      <selection activeCell="A1" sqref="A1"/>
    </sheetView>
  </sheetViews>
  <sheetFormatPr baseColWidth="10" defaultColWidth="8.83203125" defaultRowHeight="15"/>
  <cols>
    <col width="42" customWidth="1" style="61" min="1" max="1"/>
    <col width="20" customWidth="1" style="61" min="2" max="2"/>
    <col width="52" customWidth="1" style="61" min="3" max="3"/>
    <col width="12" customWidth="1" style="61" min="4" max="4"/>
    <col width="13" customWidth="1" style="61" min="5" max="5"/>
  </cols>
  <sheetData>
    <row r="1" ht="24" customHeight="1" s="61">
      <c r="A1" s="1" t="inlineStr">
        <is>
          <t>DCF &amp; VALUATION MODEL INPUTS</t>
        </is>
      </c>
      <c r="B1" s="35" t="n"/>
      <c r="C1" s="86" t="n"/>
      <c r="D1" s="36" t="n"/>
      <c r="E1" s="37" t="n"/>
    </row>
    <row r="2" ht="15" customHeight="1" s="61">
      <c r="A2" s="5" t="n"/>
      <c r="B2" s="5" t="n"/>
      <c r="C2" s="87" t="n"/>
      <c r="D2" s="38" t="n"/>
      <c r="E2" s="38" t="n"/>
    </row>
    <row r="3" ht="18.75" customFormat="1" customHeight="1" s="40">
      <c r="A3" s="68" t="inlineStr">
        <is>
          <t>SECTION 1: COMPANY DATA</t>
        </is>
      </c>
      <c r="B3" s="65" t="n"/>
      <c r="C3" s="66" t="n"/>
      <c r="D3" s="39" t="n"/>
      <c r="E3" s="39" t="n"/>
    </row>
    <row r="4" ht="15" customHeight="1" s="61">
      <c r="A4" s="14" t="inlineStr">
        <is>
          <t>Company Name</t>
        </is>
      </c>
      <c r="B4" s="14" t="inlineStr">
        <is>
          <t>Alphabet Inc. (Google)</t>
        </is>
      </c>
      <c r="C4" s="87" t="n"/>
    </row>
    <row r="5" ht="15" customHeight="1" s="61">
      <c r="A5" s="12" t="inlineStr">
        <is>
          <t>Ticker</t>
        </is>
      </c>
      <c r="B5" s="12" t="inlineStr">
        <is>
          <t>GOOGL / GOOG</t>
        </is>
      </c>
      <c r="C5" s="89" t="n"/>
    </row>
    <row r="6" ht="15" customHeight="1" s="61">
      <c r="A6" s="14" t="inlineStr">
        <is>
          <t>Fiscal Year End</t>
        </is>
      </c>
      <c r="B6" s="14" t="inlineStr">
        <is>
          <t>December 31, 2025 (latest actual: Q2 2026)</t>
        </is>
      </c>
      <c r="C6" s="87" t="n"/>
    </row>
    <row r="7" ht="15" customHeight="1" s="61">
      <c r="A7" s="5" t="n"/>
      <c r="B7" s="5" t="n"/>
      <c r="C7" s="87" t="n"/>
    </row>
    <row r="8" ht="18.75" customHeight="1" s="61">
      <c r="A8" s="69" t="inlineStr">
        <is>
          <t>SECTION 2: LATEST FINANCIAL DATA (FY2025A; balance sheet &amp; shares at 30-Jun-2026)</t>
        </is>
      </c>
      <c r="B8" s="65" t="n"/>
      <c r="C8" s="66" t="n"/>
    </row>
    <row r="9" ht="15" customHeight="1" s="61">
      <c r="A9" s="14" t="inlineStr">
        <is>
          <t>Revenue (in millions)</t>
        </is>
      </c>
      <c r="B9" s="30" t="n">
        <v>402836</v>
      </c>
      <c r="C9" s="87" t="n"/>
    </row>
    <row r="10" ht="15" customHeight="1" s="61">
      <c r="A10" s="9" t="inlineStr">
        <is>
          <t>Operating Income (EBIT)</t>
        </is>
      </c>
      <c r="B10" s="29" t="n">
        <v>129039</v>
      </c>
      <c r="C10" s="90" t="n"/>
    </row>
    <row r="11" ht="15" customHeight="1" s="61">
      <c r="A11" s="9" t="inlineStr">
        <is>
          <t>Net Income</t>
        </is>
      </c>
      <c r="B11" s="29" t="n">
        <v>132170</v>
      </c>
      <c r="C11" s="87" t="n"/>
    </row>
    <row r="12" ht="15" customHeight="1" s="61">
      <c r="A12" s="9" t="inlineStr">
        <is>
          <t>Free Cash Flow</t>
        </is>
      </c>
      <c r="B12" s="29" t="n">
        <v>73266</v>
      </c>
      <c r="C12" s="90" t="n"/>
    </row>
    <row r="13" ht="15" customHeight="1" s="61">
      <c r="A13" s="9" t="inlineStr">
        <is>
          <t>Total Debt</t>
        </is>
      </c>
      <c r="B13" s="29" t="n">
        <v>98165</v>
      </c>
      <c r="C13" s="91" t="inlineStr">
        <is>
          <t>← LT debt at 30-Jun-26</t>
        </is>
      </c>
    </row>
    <row r="14" ht="15" customHeight="1" s="61">
      <c r="A14" s="12" t="inlineStr">
        <is>
          <t>Cash &amp; Equivalents</t>
        </is>
      </c>
      <c r="B14" s="28" t="n">
        <v>242474</v>
      </c>
      <c r="C14" s="91" t="inlineStr">
        <is>
          <t>← cash + marketable securities, 30-Jun-26</t>
        </is>
      </c>
    </row>
    <row r="15" ht="15" customHeight="1" s="61">
      <c r="A15" s="14" t="inlineStr">
        <is>
          <t>Shares Outstanding (millions)</t>
        </is>
      </c>
      <c r="B15" s="30" t="n">
        <v>12309</v>
      </c>
      <c r="C15" s="91" t="inlineStr">
        <is>
          <t>← Q2 2026 diluted</t>
        </is>
      </c>
    </row>
    <row r="16" ht="15" customHeight="1" s="61">
      <c r="A16" s="5" t="n"/>
      <c r="B16" s="5" t="n"/>
      <c r="C16" s="87" t="n"/>
    </row>
    <row r="17" ht="18.75" customHeight="1" s="61">
      <c r="A17" s="69" t="inlineStr">
        <is>
          <t>SECTION 3: DCF MODEL ASSUMPTIONS</t>
        </is>
      </c>
      <c r="B17" s="65" t="n"/>
      <c r="C17" s="66" t="n"/>
    </row>
    <row r="18" ht="15" customHeight="1" s="61">
      <c r="A18" s="14" t="inlineStr">
        <is>
          <t>Revenue Growth Rate (Next 5Y)</t>
        </is>
      </c>
      <c r="B18" s="41" t="n">
        <v>0.18</v>
      </c>
      <c r="C18" s="92" t="inlineStr">
        <is>
          <t>← FY26E consensus revenue growth +23.5%, tapering</t>
        </is>
      </c>
    </row>
    <row r="19" ht="15" customHeight="1" s="61">
      <c r="A19" s="12" t="inlineStr">
        <is>
          <t>Terminal Growth Rate</t>
        </is>
      </c>
      <c r="B19" s="24" t="n">
        <v>0.03</v>
      </c>
      <c r="C19" s="89" t="inlineStr">
        <is>
          <t>← Adjust as needed</t>
        </is>
      </c>
    </row>
    <row r="20" ht="15" customHeight="1" s="61">
      <c r="A20" s="14" t="inlineStr">
        <is>
          <t>Operating Margin (Target)</t>
        </is>
      </c>
      <c r="B20" s="41" t="n">
        <v>0.25</v>
      </c>
      <c r="C20" s="92" t="inlineStr">
        <is>
          <t>← Adjust as needed</t>
        </is>
      </c>
    </row>
    <row r="21" ht="15" customHeight="1" s="61">
      <c r="A21" s="12" t="inlineStr">
        <is>
          <t>Tax Rate</t>
        </is>
      </c>
      <c r="B21" s="24" t="n">
        <v>0.21</v>
      </c>
      <c r="C21" s="89" t="inlineStr">
        <is>
          <t>← Based on recent effective rate</t>
        </is>
      </c>
    </row>
    <row r="22" ht="15" customHeight="1" s="61">
      <c r="A22" s="14" t="inlineStr">
        <is>
          <t>Discount Rate (WACC)</t>
        </is>
      </c>
      <c r="B22" s="41" t="n">
        <v>0.09</v>
      </c>
      <c r="C22" s="92" t="inlineStr">
        <is>
          <t>← RF 4.62% + ERP 5.5% cost of equity, levered for $98bn debt</t>
        </is>
      </c>
    </row>
    <row r="23" ht="15" customHeight="1" s="61">
      <c r="A23" s="5" t="n"/>
      <c r="B23" s="5" t="n"/>
      <c r="C23" s="87" t="n"/>
    </row>
    <row r="24" ht="18.75" customHeight="1" s="61">
      <c r="A24" s="69" t="inlineStr">
        <is>
          <t>SECTION 4: PE RATIO INPUTS</t>
        </is>
      </c>
      <c r="B24" s="65" t="n"/>
      <c r="C24" s="66" t="n"/>
    </row>
    <row r="25" ht="15" customHeight="1" s="61">
      <c r="A25" s="14" t="inlineStr">
        <is>
          <t>Current Stock Price</t>
        </is>
      </c>
      <c r="B25" s="14" t="n">
        <v>363.2</v>
      </c>
      <c r="C25" s="92" t="inlineStr">
        <is>
          <t>← live 5 Aug 2026 (intraday)</t>
        </is>
      </c>
    </row>
    <row r="26" ht="15" customHeight="1" s="61">
      <c r="A26" s="12" t="inlineStr">
        <is>
          <t>Diluted EPS (FY2025A)</t>
        </is>
      </c>
      <c r="B26" s="42" t="n">
        <v>10.81</v>
      </c>
      <c r="C26" s="89" t="n"/>
    </row>
    <row r="27" ht="32" customHeight="1" s="61">
      <c r="A27" s="14" t="inlineStr">
        <is>
          <t>Forward EPS (FY2026E, recurring)</t>
        </is>
      </c>
      <c r="B27" s="14" t="n">
        <v>11.9</v>
      </c>
      <c r="C27" s="92" t="inlineStr">
        <is>
          <t>← ex unrealised equity gains (GAAP consensus $20.58 is inflated by them)</t>
        </is>
      </c>
    </row>
    <row r="28" ht="15" customHeight="1" s="61">
      <c r="A28" s="5" t="n"/>
      <c r="B28" s="5" t="n"/>
      <c r="C28" s="87" t="n"/>
    </row>
    <row r="29" ht="15" customHeight="1" s="61">
      <c r="A29" s="16" t="inlineStr">
        <is>
          <t>SECTION 5: COMPARABLE COMPANIES (live 5 Aug 2026)</t>
        </is>
      </c>
      <c r="B29" s="26" t="n"/>
      <c r="C29" s="93" t="n"/>
    </row>
    <row r="30" ht="15" customHeight="1" s="61">
      <c r="A30" s="14" t="inlineStr">
        <is>
          <t>Company</t>
        </is>
      </c>
      <c r="B30" s="14" t="inlineStr">
        <is>
          <t>PE Ratio</t>
        </is>
      </c>
      <c r="C30" s="92" t="inlineStr">
        <is>
          <t>Market Cap</t>
        </is>
      </c>
    </row>
    <row r="31" ht="15" customHeight="1" s="61">
      <c r="A31" s="12" t="inlineStr">
        <is>
          <t>Microsoft</t>
        </is>
      </c>
      <c r="B31" s="12" t="n">
        <v>27.45</v>
      </c>
      <c r="C31" s="89" t="n">
        <v>3640000</v>
      </c>
    </row>
    <row r="32" ht="15" customHeight="1" s="61">
      <c r="A32" s="14" t="inlineStr">
        <is>
          <t>Apple</t>
        </is>
      </c>
      <c r="B32" s="14" t="n">
        <v>35.49</v>
      </c>
      <c r="C32" s="92" t="n">
        <v>4500000</v>
      </c>
    </row>
    <row r="33" ht="15" customHeight="1" s="61">
      <c r="A33" s="12" t="inlineStr">
        <is>
          <t>Meta Platforms</t>
        </is>
      </c>
      <c r="B33" s="12" t="n">
        <v>22.15</v>
      </c>
      <c r="C33" s="89" t="n">
        <v>1490000</v>
      </c>
    </row>
    <row r="34" ht="15" customHeight="1" s="61">
      <c r="A34" s="14" t="inlineStr">
        <is>
          <t>Amazon</t>
        </is>
      </c>
      <c r="B34" s="14" t="n">
        <v>22.31</v>
      </c>
      <c r="C34" s="92" t="n">
        <v>2930000</v>
      </c>
    </row>
    <row r="35" ht="15" customHeight="1" s="61">
      <c r="A35" s="12" t="inlineStr">
        <is>
          <t>Industry Average PE</t>
        </is>
      </c>
      <c r="B35" s="12">
        <f>MEDIAN(B31:B34)</f>
        <v/>
      </c>
      <c r="C35" s="89" t="n"/>
    </row>
    <row r="36" ht="15" customHeight="1" s="61">
      <c r="A36" s="5" t="n"/>
      <c r="B36" s="5" t="n"/>
      <c r="C36" s="87" t="n"/>
    </row>
    <row r="37" ht="18.75" customHeight="1" s="61">
      <c r="A37" s="69" t="inlineStr">
        <is>
          <t>SECTION 6: NOTES &amp; INSTRUCTIONS</t>
        </is>
      </c>
      <c r="B37" s="65" t="n"/>
      <c r="C37" s="66" t="n"/>
    </row>
    <row r="38" ht="15" customHeight="1" s="61">
      <c r="A38" s="16" t="inlineStr">
        <is>
          <t>Next Steps:</t>
        </is>
      </c>
      <c r="B38" s="26" t="n"/>
      <c r="C38" s="93" t="n"/>
    </row>
    <row r="39" ht="15" customHeight="1" s="61">
      <c r="A39" s="16" t="inlineStr">
        <is>
          <t>1. Update stock price and forward EPS with current data</t>
        </is>
      </c>
      <c r="B39" s="26" t="n"/>
      <c r="C39" s="93" t="n"/>
    </row>
    <row r="40" ht="15" customHeight="1" s="61">
      <c r="A40" s="16" t="inlineStr">
        <is>
          <t>2. Adjust DCF assumptions based on your analysis</t>
        </is>
      </c>
      <c r="B40" s="26" t="n"/>
      <c r="C40" s="93" t="n"/>
    </row>
    <row r="41" ht="15" customHeight="1" s="61">
      <c r="A41" s="16" t="inlineStr">
        <is>
          <t>3. Build DCF projection model in next sheet</t>
        </is>
      </c>
      <c r="B41" s="26" t="n"/>
      <c r="C41" s="93" t="n"/>
    </row>
    <row r="42" ht="15" customHeight="1" s="61">
      <c r="A42" s="16" t="inlineStr">
        <is>
          <t>4. Calculate PE ratios and compare to peers</t>
        </is>
      </c>
      <c r="B42" s="26" t="n"/>
      <c r="C42" s="93" t="n"/>
    </row>
    <row r="43" ht="15" customHeight="1" s="61">
      <c r="A43" s="16" t="inlineStr">
        <is>
          <t>5. Perform sensitivity analysis on key assumptions</t>
        </is>
      </c>
      <c r="B43" s="26" t="n"/>
      <c r="C43" s="93" t="n"/>
    </row>
  </sheetData>
  <mergeCells count="5">
    <mergeCell ref="A37:C37"/>
    <mergeCell ref="A8:C8"/>
    <mergeCell ref="A17:C17"/>
    <mergeCell ref="A3:C3"/>
    <mergeCell ref="A24:C24"/>
  </mergeCells>
  <printOptions horizontalCentered="1"/>
  <pageMargins left="0.25" right="0.25" top="0.3" bottom="0.3" header="0.511811023622047" footer="0.511811023622047"/>
  <pageSetup orientation="landscape" paperSize="9" fitToHeight="1" fitToWidth="1" horizontalDpi="300" verticalDpi="300"/>
</worksheet>
</file>

<file path=xl/worksheets/sheet8.xml><?xml version="1.0" encoding="utf-8"?>
<worksheet xmlns="http://schemas.openxmlformats.org/spreadsheetml/2006/main">
  <sheetPr>
    <tabColor rgb="FF1A73E8"/>
    <outlinePr summaryBelow="1" summaryRight="1"/>
    <pageSetUpPr fitToPage="1"/>
  </sheetPr>
  <dimension ref="A1:D19"/>
  <sheetViews>
    <sheetView showGridLines="0" workbookViewId="0">
      <selection activeCell="A1" sqref="A1"/>
    </sheetView>
  </sheetViews>
  <sheetFormatPr baseColWidth="10" defaultColWidth="8.83203125" defaultRowHeight="15"/>
  <cols>
    <col width="42" customWidth="1" style="61" min="1" max="1"/>
    <col width="14" customWidth="1" style="61" min="2" max="4"/>
    <col width="14" customWidth="1" style="61" min="3" max="3"/>
    <col width="14" customWidth="1" style="61" min="4" max="4"/>
  </cols>
  <sheetData>
    <row r="1" ht="24" customHeight="1" s="61">
      <c r="A1" s="60" t="inlineStr">
        <is>
          <t>Alphabet — Peer Comparison (Comparable Company Analysis)</t>
        </is>
      </c>
    </row>
    <row r="2">
      <c r="A2" s="63" t="inlineStr">
        <is>
          <t>Researched Aug 2026 · live prices as of 5 Aug 2026</t>
        </is>
      </c>
    </row>
    <row r="4">
      <c r="A4" s="43" t="inlineStr">
        <is>
          <t>Company</t>
        </is>
      </c>
      <c r="B4" s="44" t="inlineStr">
        <is>
          <t>Price ($)</t>
        </is>
      </c>
      <c r="C4" s="44" t="inlineStr">
        <is>
          <t>EPS ($)</t>
        </is>
      </c>
      <c r="D4" s="44" t="inlineStr">
        <is>
          <t>P/E (x)</t>
        </is>
      </c>
    </row>
    <row r="5">
      <c r="A5" s="45" t="inlineStr">
        <is>
          <t>Alphabet ★</t>
        </is>
      </c>
      <c r="B5" s="46" t="n">
        <v>363.2</v>
      </c>
      <c r="C5" s="46" t="n">
        <v>11.9</v>
      </c>
      <c r="D5" s="47">
        <f>B5/C5</f>
        <v/>
      </c>
    </row>
    <row r="6">
      <c r="A6" s="48" t="inlineStr">
        <is>
          <t>Apple</t>
        </is>
      </c>
      <c r="B6" s="49" t="n">
        <v>308.57</v>
      </c>
      <c r="C6" s="49" t="n">
        <v>8.69</v>
      </c>
      <c r="D6" s="50">
        <f>B6/C6</f>
        <v/>
      </c>
    </row>
    <row r="7">
      <c r="A7" s="51" t="inlineStr">
        <is>
          <t>Microsoft</t>
        </is>
      </c>
      <c r="B7" s="52" t="n">
        <v>490</v>
      </c>
      <c r="C7" s="52" t="n">
        <v>17.85</v>
      </c>
      <c r="D7" s="53">
        <f>B7/C7</f>
        <v/>
      </c>
    </row>
    <row r="8">
      <c r="A8" s="48" t="inlineStr">
        <is>
          <t>Amazon</t>
        </is>
      </c>
      <c r="B8" s="49" t="n">
        <v>271.77</v>
      </c>
      <c r="C8" s="49" t="n">
        <v>12.18</v>
      </c>
      <c r="D8" s="50">
        <f>B8/C8</f>
        <v/>
      </c>
    </row>
    <row r="9">
      <c r="A9" s="51" t="inlineStr">
        <is>
          <t>Meta Platforms</t>
        </is>
      </c>
      <c r="B9" s="52" t="n">
        <v>583.48</v>
      </c>
      <c r="C9" s="52" t="n">
        <v>26.34</v>
      </c>
      <c r="D9" s="53">
        <f>B9/C9</f>
        <v/>
      </c>
    </row>
    <row r="11">
      <c r="A11" s="64" t="inlineStr">
        <is>
          <t>COMPARABLE-COMPANY SUMMARY</t>
        </is>
      </c>
      <c r="B11" s="65" t="n"/>
      <c r="C11" s="65" t="n"/>
      <c r="D11" s="66" t="n"/>
    </row>
    <row r="12">
      <c r="A12" s="45" t="inlineStr">
        <is>
          <t>Peer median P/E (x)</t>
        </is>
      </c>
      <c r="D12" s="53">
        <f>MEDIAN(D6:D9)</f>
        <v/>
      </c>
    </row>
    <row r="13">
      <c r="A13" s="45" t="inlineStr">
        <is>
          <t>Alphabet P/E premium / (discount) to peers</t>
        </is>
      </c>
      <c r="D13" s="54">
        <f>D5/D12-1</f>
        <v/>
      </c>
    </row>
    <row r="14">
      <c r="A14" s="45" t="inlineStr">
        <is>
          <t>Comps-implied value — peer median P/E × EPS ($)</t>
        </is>
      </c>
      <c r="D14" s="52">
        <f>D12*C5</f>
        <v/>
      </c>
    </row>
    <row r="15">
      <c r="A15" s="45" t="inlineStr">
        <is>
          <t>Comps-implied vs current price</t>
        </is>
      </c>
      <c r="D15" s="54">
        <f>D14/B5-1</f>
        <v/>
      </c>
    </row>
    <row r="17" ht="72" customHeight="1" s="61">
      <c r="A17" s="62" t="inlineStr">
        <is>
          <t>Note: Alphabet is shown on FY2026E RECURRING EPS ($11.90, ex the $135.7bn of H1-2026 unrealised equity gains); peers are on trailing EPS. The headline 18.9x trailing P/E screens cheap only because those gains inflate GAAP earnings — on recurring earnings Alphabet trades at a premium to the mega-cap median, which is why the comps cross-check now sits below the current price rather than above it.</t>
        </is>
      </c>
    </row>
    <row r="18"/>
    <row r="19"/>
  </sheetData>
  <mergeCells count="4">
    <mergeCell ref="A1:D1"/>
    <mergeCell ref="A17:D19"/>
    <mergeCell ref="A2:D2"/>
    <mergeCell ref="A11:D11"/>
  </mergeCells>
  <printOptions horizontalCentered="1"/>
  <pageMargins left="0.25" right="0.25" top="0.3" bottom="0.3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2026-02-23T16:26:19Z</dcterms:created>
  <dcterms:modified xmlns:dcterms="http://purl.org/dc/terms/" xmlns:xsi="http://www.w3.org/2001/XMLSchema-instance" xsi:type="dcterms:W3CDTF">2026-08-05T18:28:55Z</dcterms:modified>
  <cp:lastModifiedBy>Debjit Mukherjee</cp:lastModifiedBy>
  <cp:revision>0</cp:revision>
  <cp:lastPrinted>2026-04-01T13:58:27Z</cp:lastPrinted>
</cp:coreProperties>
</file>