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Historical" sheetId="3" state="visible" r:id="rId3"/>
    <sheet xmlns:r="http://schemas.openxmlformats.org/officeDocument/2006/relationships" name="Forecast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Ratios" sheetId="6" state="visible" r:id="rId6"/>
    <sheet xmlns:r="http://schemas.openxmlformats.org/officeDocument/2006/relationships" name="Peer Comp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0.0%;\(0.0%\);\-"/>
    <numFmt numFmtId="166" formatCode="0.000"/>
    <numFmt numFmtId="167" formatCode="0.00\x"/>
    <numFmt numFmtId="168" formatCode="0.0\x"/>
    <numFmt numFmtId="169" formatCode="0.0"/>
    <numFmt numFmtId="170" formatCode="0.0%"/>
    <numFmt numFmtId="171" formatCode="#,##0;(#,##0)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4"/>
    </font>
    <font>
      <name val="Arial"/>
      <charset val="1"/>
      <family val="0"/>
      <color rgb="FFD9E2F2"/>
      <sz val="11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0800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FF"/>
      <sz val="10"/>
    </font>
    <font>
      <name val="Calibri"/>
      <b val="1"/>
      <color rgb="00FFFFFF"/>
      <sz val="14"/>
    </font>
    <font>
      <name val="Calibri"/>
      <b val="1"/>
      <color rgb="00FFFFFF"/>
      <sz val="10.5"/>
    </font>
    <font>
      <name val="Calibri"/>
      <b val="1"/>
      <color rgb="00000000"/>
      <sz val="10.5"/>
    </font>
    <font>
      <name val="Calibri"/>
      <color rgb="00000000"/>
      <sz val="10.5"/>
    </font>
    <font>
      <name val="Calibri"/>
      <i val="1"/>
      <color rgb="00000000"/>
      <sz val="9.5"/>
    </font>
    <font>
      <name val="Arial"/>
      <b val="1"/>
      <color rgb="FFFFFFFF"/>
      <sz val="12"/>
    </font>
    <font>
      <name val="Arial"/>
      <b val="1"/>
      <color rgb="FFFFFFFF"/>
      <sz val="24"/>
    </font>
    <font>
      <name val="Arial"/>
      <b val="1"/>
      <color rgb="FFFFFFFF"/>
      <sz val="10"/>
    </font>
    <font>
      <name val="Arial"/>
      <color rgb="FFFFFFFF"/>
      <sz val="10"/>
    </font>
    <font>
      <name val="Arial"/>
      <color rgb="FF1F1F1F"/>
      <sz val="10"/>
    </font>
    <font>
      <name val="Arial"/>
      <i val="1"/>
      <color rgb="FF595959"/>
      <sz val="10"/>
    </font>
    <font>
      <name val="Arial"/>
      <b val="1"/>
      <color rgb="FF008000"/>
      <sz val="10"/>
    </font>
    <font>
      <name val="Arial"/>
      <b val="1"/>
      <color rgb="FF007CC3"/>
      <sz val="10"/>
    </font>
    <font>
      <name val="Arial"/>
      <b val="1"/>
      <color rgb="FFFFFFFF"/>
      <sz val="14"/>
    </font>
    <font>
      <name val="Arial"/>
      <b val="1"/>
      <color rgb="FF1F1F1F"/>
      <sz val="10"/>
    </font>
    <font>
      <name val="Arial"/>
      <color rgb="FF0000FF"/>
      <sz val="10"/>
    </font>
    <font>
      <name val="Arial"/>
      <color rgb="FF008000"/>
      <sz val="10"/>
    </font>
    <font>
      <name val="Arial"/>
      <b val="1"/>
      <color rgb="FF0000FF"/>
      <sz val="10"/>
    </font>
    <font>
      <name val="Arial"/>
      <i val="1"/>
      <color rgb="FF1F1F1F"/>
      <sz val="10"/>
    </font>
  </fonts>
  <fills count="1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9A227"/>
        <bgColor rgb="FF99CC00"/>
      </patternFill>
    </fill>
    <fill>
      <patternFill patternType="solid">
        <fgColor rgb="FFD9E2F2"/>
        <bgColor rgb="FFF2F6FB"/>
      </patternFill>
    </fill>
    <fill>
      <patternFill patternType="solid">
        <fgColor rgb="FFFFF2CC"/>
        <bgColor rgb="FFF2F6FB"/>
      </patternFill>
    </fill>
    <fill>
      <patternFill patternType="solid">
        <fgColor rgb="FFFFFF00"/>
        <bgColor rgb="FFFFFF00"/>
      </patternFill>
    </fill>
    <fill>
      <patternFill patternType="solid">
        <fgColor rgb="FFF2F6FB"/>
        <bgColor rgb="FFFFFFFF"/>
      </patternFill>
    </fill>
    <fill>
      <patternFill patternType="solid">
        <fgColor rgb="00007CC3"/>
      </patternFill>
    </fill>
    <fill>
      <patternFill patternType="solid">
        <fgColor rgb="004AA3D6"/>
      </patternFill>
    </fill>
    <fill>
      <patternFill patternType="solid">
        <fgColor rgb="00E4F1FA"/>
      </patternFill>
    </fill>
    <fill>
      <patternFill patternType="solid">
        <fgColor rgb="FF007CC3"/>
        <bgColor rgb="FF007CC3"/>
      </patternFill>
    </fill>
    <fill>
      <patternFill patternType="solid">
        <fgColor rgb="FF3AA2DA"/>
        <bgColor rgb="FF3AA2DA"/>
      </patternFill>
    </fill>
    <fill>
      <patternFill patternType="solid">
        <fgColor rgb="FFE5F3FB"/>
        <bgColor rgb="FFE5F3FB"/>
      </patternFill>
    </fill>
    <fill>
      <patternFill patternType="solid">
        <fgColor rgb="FFCFE9F7"/>
        <bgColor rgb="FFCFE9F7"/>
      </patternFill>
    </fill>
  </fills>
  <borders count="11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F3864"/>
      </top>
      <bottom/>
      <diagonal/>
    </border>
    <border>
      <left/>
      <right/>
      <top style="thin"/>
      <bottom style="double"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  <border>
      <left/>
      <right/>
      <top style="thin">
        <color rgb="FF044F67"/>
      </top>
      <bottom style="thin">
        <color rgb="FF044F67"/>
      </bottom>
    </border>
    <border>
      <left style="thin">
        <color rgb="00DDDDDD"/>
      </left>
      <right style="thin">
        <color rgb="00DDDDDD"/>
      </right>
      <top style="thin">
        <color rgb="FF044F67"/>
      </top>
      <bottom style="thin">
        <color rgb="FF044F6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5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4" fontId="9" fillId="3" borderId="1" applyAlignment="1" pivotButton="0" quotePrefix="0" xfId="0">
      <alignment horizontal="general" vertical="bottom"/>
    </xf>
    <xf numFmtId="165" fontId="9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4" fontId="11" fillId="5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11" fillId="5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1" fillId="5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5" fontId="11" fillId="6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7" fillId="2" borderId="0" applyAlignment="1" pivotButton="0" quotePrefix="0" xfId="0">
      <alignment horizontal="right" vertical="bottom"/>
    </xf>
    <xf numFmtId="164" fontId="11" fillId="0" borderId="0" applyAlignment="1" pivotButton="0" quotePrefix="0" xfId="0">
      <alignment horizontal="general" vertical="bottom"/>
    </xf>
    <xf numFmtId="0" fontId="8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8" fillId="7" borderId="0" applyAlignment="1" pivotButton="0" quotePrefix="0" xfId="0">
      <alignment horizontal="general" vertical="bottom"/>
    </xf>
    <xf numFmtId="0" fontId="12" fillId="7" borderId="0" applyAlignment="1" pivotButton="0" quotePrefix="0" xfId="0">
      <alignment horizontal="general" vertical="bottom"/>
    </xf>
    <xf numFmtId="164" fontId="12" fillId="7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11" fillId="7" borderId="0" applyAlignment="1" pivotButton="0" quotePrefix="0" xfId="0">
      <alignment horizontal="general" vertical="bottom"/>
    </xf>
    <xf numFmtId="0" fontId="12" fillId="7" borderId="2" applyAlignment="1" pivotButton="0" quotePrefix="0" xfId="0">
      <alignment horizontal="general" vertical="bottom"/>
    </xf>
    <xf numFmtId="164" fontId="14" fillId="7" borderId="2" applyAlignment="1" pivotButton="0" quotePrefix="0" xfId="0">
      <alignment horizontal="general" vertical="bottom"/>
    </xf>
    <xf numFmtId="0" fontId="0" fillId="7" borderId="2" applyAlignment="1" pivotButton="0" quotePrefix="0" xfId="0">
      <alignment horizontal="general" vertical="bottom"/>
    </xf>
    <xf numFmtId="4" fontId="11" fillId="7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64" fontId="12" fillId="7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4" fontId="12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8" fillId="7" borderId="0" applyAlignment="1" pivotButton="0" quotePrefix="0" xfId="0">
      <alignment horizontal="general" vertical="bottom"/>
    </xf>
    <xf numFmtId="164" fontId="14" fillId="0" borderId="2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164" fontId="12" fillId="7" borderId="3" applyAlignment="1" pivotButton="0" quotePrefix="0" xfId="0">
      <alignment horizontal="general" vertical="bottom"/>
    </xf>
    <xf numFmtId="3" fontId="8" fillId="7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4" fontId="13" fillId="0" borderId="0" applyAlignment="1" pivotButton="0" quotePrefix="0" xfId="0">
      <alignment horizontal="general" vertical="bottom"/>
    </xf>
    <xf numFmtId="4" fontId="12" fillId="3" borderId="0" applyAlignment="1" pivotButton="0" quotePrefix="0" xfId="0">
      <alignment horizontal="general" vertical="bottom"/>
    </xf>
    <xf numFmtId="165" fontId="12" fillId="3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general" vertical="bottom"/>
    </xf>
    <xf numFmtId="165" fontId="14" fillId="4" borderId="0" applyAlignment="1" pivotButton="0" quotePrefix="0" xfId="0">
      <alignment horizontal="general" vertical="bottom"/>
    </xf>
    <xf numFmtId="3" fontId="8" fillId="0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general" vertical="bottom"/>
    </xf>
    <xf numFmtId="165" fontId="13" fillId="7" borderId="0" applyAlignment="1" pivotButton="0" quotePrefix="0" xfId="0">
      <alignment horizontal="general" vertical="bottom"/>
    </xf>
    <xf numFmtId="167" fontId="13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168" fontId="8" fillId="0" borderId="0" applyAlignment="1" pivotButton="0" quotePrefix="0" xfId="0">
      <alignment horizontal="general" vertical="bottom"/>
    </xf>
    <xf numFmtId="168" fontId="8" fillId="7" borderId="0" applyAlignment="1" pivotButton="0" quotePrefix="0" xfId="0">
      <alignment horizontal="general" vertical="bottom"/>
    </xf>
    <xf numFmtId="4" fontId="11" fillId="6" borderId="0" applyAlignment="1" pivotButton="0" quotePrefix="0" xfId="0">
      <alignment horizontal="general" vertical="bottom"/>
    </xf>
    <xf numFmtId="164" fontId="11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4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4" fontId="9" fillId="3" borderId="1" applyAlignment="1" pivotButton="0" quotePrefix="0" xfId="0">
      <alignment horizontal="general" vertical="bottom"/>
    </xf>
    <xf numFmtId="165" fontId="9" fillId="3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5" fillId="8" borderId="4" applyAlignment="1" pivotButton="0" quotePrefix="0" xfId="0">
      <alignment horizontal="left" vertical="center" indent="1"/>
    </xf>
    <xf numFmtId="0" fontId="0" fillId="8" borderId="4" applyAlignment="1" pivotButton="0" quotePrefix="0" xfId="0">
      <alignment horizontal="general" vertical="bottom"/>
    </xf>
    <xf numFmtId="0" fontId="0" fillId="3" borderId="4" applyAlignment="1" pivotButton="0" quotePrefix="0" xfId="0">
      <alignment horizontal="general" vertical="bottom"/>
    </xf>
    <xf numFmtId="0" fontId="16" fillId="9" borderId="4" applyAlignment="1" pivotButton="0" quotePrefix="0" xfId="0">
      <alignment horizontal="general" vertical="bottom"/>
    </xf>
    <xf numFmtId="0" fontId="0" fillId="9" borderId="4" pivotButton="0" quotePrefix="0" xfId="0"/>
    <xf numFmtId="0" fontId="0" fillId="9" borderId="4" applyAlignment="1" pivotButton="0" quotePrefix="0" xfId="0">
      <alignment horizontal="general" vertical="bottom"/>
    </xf>
    <xf numFmtId="0" fontId="8" fillId="0" borderId="4" applyAlignment="1" pivotButton="0" quotePrefix="0" xfId="0">
      <alignment horizontal="general" vertical="bottom"/>
    </xf>
    <xf numFmtId="4" fontId="11" fillId="5" borderId="4" applyAlignment="1" pivotButton="0" quotePrefix="0" xfId="0">
      <alignment horizontal="general" vertical="bottom"/>
    </xf>
    <xf numFmtId="0" fontId="0" fillId="0" borderId="4" pivotButton="0" quotePrefix="0" xfId="0"/>
    <xf numFmtId="0" fontId="8" fillId="10" borderId="4" applyAlignment="1" pivotButton="0" quotePrefix="0" xfId="0">
      <alignment horizontal="general" vertical="bottom"/>
    </xf>
    <xf numFmtId="0" fontId="0" fillId="10" borderId="4" pivotButton="0" quotePrefix="0" xfId="0"/>
    <xf numFmtId="164" fontId="8" fillId="0" borderId="4" applyAlignment="1" pivotButton="0" quotePrefix="0" xfId="0">
      <alignment horizontal="general" vertical="bottom"/>
    </xf>
    <xf numFmtId="164" fontId="11" fillId="5" borderId="4" applyAlignment="1" pivotButton="0" quotePrefix="0" xfId="0">
      <alignment horizontal="general" vertical="bottom"/>
    </xf>
    <xf numFmtId="0" fontId="12" fillId="0" borderId="4" applyAlignment="1" pivotButton="0" quotePrefix="0" xfId="0">
      <alignment horizontal="general" vertical="bottom"/>
    </xf>
    <xf numFmtId="165" fontId="11" fillId="5" borderId="4" applyAlignment="1" pivotButton="0" quotePrefix="0" xfId="0">
      <alignment horizontal="general" vertical="bottom"/>
    </xf>
    <xf numFmtId="0" fontId="12" fillId="10" borderId="4" applyAlignment="1" pivotButton="0" quotePrefix="0" xfId="0">
      <alignment horizontal="general" vertical="bottom"/>
    </xf>
    <xf numFmtId="165" fontId="12" fillId="10" borderId="4" applyAlignment="1" pivotButton="0" quotePrefix="0" xfId="0">
      <alignment horizontal="general" vertical="bottom"/>
    </xf>
    <xf numFmtId="165" fontId="12" fillId="0" borderId="4" applyAlignment="1" pivotButton="0" quotePrefix="0" xfId="0">
      <alignment horizontal="general" vertical="bottom"/>
    </xf>
    <xf numFmtId="165" fontId="11" fillId="6" borderId="4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11" fillId="5" borderId="4" applyAlignment="1" pivotButton="0" quotePrefix="0" xfId="0">
      <alignment horizontal="center" vertical="bottom"/>
    </xf>
    <xf numFmtId="0" fontId="8" fillId="0" borderId="4" applyAlignment="1" pivotButton="0" quotePrefix="0" xfId="0">
      <alignment horizontal="center" vertical="bottom"/>
    </xf>
    <xf numFmtId="0" fontId="13" fillId="0" borderId="4" applyAlignment="1" pivotButton="0" quotePrefix="0" xfId="0">
      <alignment horizontal="center" vertical="bottom"/>
    </xf>
    <xf numFmtId="0" fontId="16" fillId="8" borderId="4" applyAlignment="1" pivotButton="0" quotePrefix="0" xfId="0">
      <alignment horizontal="left" vertical="center"/>
    </xf>
    <xf numFmtId="0" fontId="16" fillId="8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7" borderId="4" applyAlignment="1" pivotButton="0" quotePrefix="0" xfId="0">
      <alignment horizontal="general" vertical="bottom"/>
    </xf>
    <xf numFmtId="165" fontId="8" fillId="7" borderId="4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7" borderId="4" applyAlignment="1" pivotButton="0" quotePrefix="0" xfId="0">
      <alignment horizontal="general" vertical="bottom"/>
    </xf>
    <xf numFmtId="164" fontId="12" fillId="7" borderId="4" applyAlignment="1" pivotButton="0" quotePrefix="0" xfId="0">
      <alignment horizontal="general" vertical="bottom"/>
    </xf>
    <xf numFmtId="165" fontId="8" fillId="0" borderId="4" applyAlignment="1" pivotButton="0" quotePrefix="0" xfId="0">
      <alignment horizontal="general" vertical="bottom"/>
    </xf>
    <xf numFmtId="164" fontId="11" fillId="7" borderId="4" applyAlignment="1" pivotButton="0" quotePrefix="0" xfId="0">
      <alignment horizontal="general" vertical="bottom"/>
    </xf>
    <xf numFmtId="164" fontId="14" fillId="7" borderId="4" applyAlignment="1" pivotButton="0" quotePrefix="0" xfId="0">
      <alignment horizontal="general" vertical="bottom"/>
    </xf>
    <xf numFmtId="0" fontId="0" fillId="7" borderId="2" applyAlignment="1" pivotButton="0" quotePrefix="0" xfId="0">
      <alignment horizontal="general" vertical="bottom"/>
    </xf>
    <xf numFmtId="4" fontId="11" fillId="7" borderId="4" applyAlignment="1" pivotButton="0" quotePrefix="0" xfId="0">
      <alignment horizontal="general" vertical="bottom"/>
    </xf>
    <xf numFmtId="165" fontId="11" fillId="0" borderId="4" applyAlignment="1" pivotButton="0" quotePrefix="0" xfId="0">
      <alignment horizontal="general" vertical="bottom"/>
    </xf>
    <xf numFmtId="164" fontId="12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8" fillId="7" borderId="4" applyAlignment="1" pivotButton="0" quotePrefix="0" xfId="0">
      <alignment horizontal="general" vertical="bottom"/>
    </xf>
    <xf numFmtId="164" fontId="14" fillId="0" borderId="4" applyAlignment="1" pivotButton="0" quotePrefix="0" xfId="0">
      <alignment horizontal="general" vertical="bottom"/>
    </xf>
    <xf numFmtId="0" fontId="7" fillId="2" borderId="4" applyAlignment="1" pivotButton="0" quotePrefix="0" xfId="0">
      <alignment horizontal="general" vertical="bottom"/>
    </xf>
    <xf numFmtId="0" fontId="7" fillId="2" borderId="4" applyAlignment="1" pivotButton="0" quotePrefix="0" xfId="0">
      <alignment horizontal="right" vertical="bottom"/>
    </xf>
    <xf numFmtId="164" fontId="9" fillId="10" borderId="4" applyAlignment="1" pivotButton="0" quotePrefix="0" xfId="0">
      <alignment horizontal="general" vertical="bottom"/>
    </xf>
    <xf numFmtId="164" fontId="12" fillId="10" borderId="4" applyAlignment="1" pivotButton="0" quotePrefix="0" xfId="0">
      <alignment horizontal="general" vertical="bottom"/>
    </xf>
    <xf numFmtId="164" fontId="13" fillId="10" borderId="4" applyAlignment="1" pivotButton="0" quotePrefix="0" xfId="0">
      <alignment horizontal="general" vertical="bottom"/>
    </xf>
    <xf numFmtId="164" fontId="8" fillId="10" borderId="4" applyAlignment="1" pivotButton="0" quotePrefix="0" xfId="0">
      <alignment horizontal="general" vertical="bottom"/>
    </xf>
    <xf numFmtId="3" fontId="8" fillId="7" borderId="4" applyAlignment="1" pivotButton="0" quotePrefix="0" xfId="0">
      <alignment horizontal="general" vertical="bottom"/>
    </xf>
    <xf numFmtId="166" fontId="8" fillId="10" borderId="4" applyAlignment="1" pivotButton="0" quotePrefix="0" xfId="0">
      <alignment horizontal="general" vertical="bottom"/>
    </xf>
    <xf numFmtId="0" fontId="0" fillId="10" borderId="4" applyAlignment="1" pivotButton="0" quotePrefix="0" xfId="0">
      <alignment horizontal="general" vertical="bottom"/>
    </xf>
    <xf numFmtId="4" fontId="13" fillId="0" borderId="4" applyAlignment="1" pivotButton="0" quotePrefix="0" xfId="0">
      <alignment horizontal="general" vertical="bottom"/>
    </xf>
    <xf numFmtId="4" fontId="12" fillId="3" borderId="4" applyAlignment="1" pivotButton="0" quotePrefix="0" xfId="0">
      <alignment horizontal="general" vertical="bottom"/>
    </xf>
    <xf numFmtId="165" fontId="12" fillId="3" borderId="4" applyAlignment="1" pivotButton="0" quotePrefix="0" xfId="0">
      <alignment horizontal="general" vertical="bottom"/>
    </xf>
    <xf numFmtId="0" fontId="12" fillId="4" borderId="4" applyAlignment="1" pivotButton="0" quotePrefix="0" xfId="0">
      <alignment horizontal="general" vertical="bottom"/>
    </xf>
    <xf numFmtId="165" fontId="8" fillId="10" borderId="4" applyAlignment="1" pivotButton="0" quotePrefix="0" xfId="0">
      <alignment horizontal="general" vertical="bottom"/>
    </xf>
    <xf numFmtId="165" fontId="14" fillId="4" borderId="4" applyAlignment="1" pivotButton="0" quotePrefix="0" xfId="0">
      <alignment horizontal="general" vertical="bottom"/>
    </xf>
    <xf numFmtId="3" fontId="8" fillId="10" borderId="4" applyAlignment="1" pivotButton="0" quotePrefix="0" xfId="0">
      <alignment horizontal="general" vertical="bottom"/>
    </xf>
    <xf numFmtId="3" fontId="8" fillId="0" borderId="4" applyAlignment="1" pivotButton="0" quotePrefix="0" xfId="0">
      <alignment horizontal="general" vertical="bottom"/>
    </xf>
    <xf numFmtId="3" fontId="8" fillId="3" borderId="4" applyAlignment="1" pivotButton="0" quotePrefix="0" xfId="0">
      <alignment horizontal="general" vertical="bottom"/>
    </xf>
    <xf numFmtId="165" fontId="13" fillId="0" borderId="4" applyAlignment="1" pivotButton="0" quotePrefix="0" xfId="0">
      <alignment horizontal="general" vertical="bottom"/>
    </xf>
    <xf numFmtId="165" fontId="13" fillId="7" borderId="4" applyAlignment="1" pivotButton="0" quotePrefix="0" xfId="0">
      <alignment horizontal="general" vertical="bottom"/>
    </xf>
    <xf numFmtId="167" fontId="13" fillId="0" borderId="4" applyAlignment="1" pivotButton="0" quotePrefix="0" xfId="0">
      <alignment horizontal="general" vertical="bottom"/>
    </xf>
    <xf numFmtId="4" fontId="11" fillId="10" borderId="4" applyAlignment="1" pivotButton="0" quotePrefix="0" xfId="0">
      <alignment horizontal="general" vertical="bottom"/>
    </xf>
    <xf numFmtId="164" fontId="11" fillId="10" borderId="4" applyAlignment="1" pivotButton="0" quotePrefix="0" xfId="0">
      <alignment horizontal="general" vertical="bottom"/>
    </xf>
    <xf numFmtId="168" fontId="8" fillId="10" borderId="4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4" fontId="11" fillId="6" borderId="4" applyAlignment="1" pivotButton="0" quotePrefix="0" xfId="0">
      <alignment horizontal="general" vertical="bottom"/>
    </xf>
    <xf numFmtId="164" fontId="11" fillId="6" borderId="4" applyAlignment="1" pivotButton="0" quotePrefix="0" xfId="0">
      <alignment horizontal="general" vertical="bottom"/>
    </xf>
    <xf numFmtId="0" fontId="16" fillId="8" borderId="4" applyAlignment="1" pivotButton="0" quotePrefix="0" xfId="0">
      <alignment horizontal="left" vertical="center" indent="1"/>
    </xf>
    <xf numFmtId="0" fontId="16" fillId="8" borderId="4" pivotButton="0" quotePrefix="0" xfId="0"/>
    <xf numFmtId="0" fontId="17" fillId="0" borderId="4" pivotButton="0" quotePrefix="0" xfId="0"/>
    <xf numFmtId="169" fontId="18" fillId="0" borderId="4" pivotButton="0" quotePrefix="0" xfId="0"/>
    <xf numFmtId="2" fontId="18" fillId="0" borderId="4" pivotButton="0" quotePrefix="0" xfId="0"/>
    <xf numFmtId="3" fontId="18" fillId="0" borderId="4" pivotButton="0" quotePrefix="0" xfId="0"/>
    <xf numFmtId="0" fontId="16" fillId="9" borderId="4" pivotButton="0" quotePrefix="0" xfId="0"/>
    <xf numFmtId="0" fontId="18" fillId="0" borderId="4" pivotButton="0" quotePrefix="0" xfId="0"/>
    <xf numFmtId="3" fontId="17" fillId="0" borderId="4" pivotButton="0" quotePrefix="0" xfId="0"/>
    <xf numFmtId="170" fontId="17" fillId="0" borderId="4" pivotButton="0" quotePrefix="0" xfId="0"/>
    <xf numFmtId="0" fontId="19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20" fillId="11" borderId="0" applyAlignment="1" pivotButton="0" quotePrefix="0" xfId="0">
      <alignment horizontal="general" vertical="bottom"/>
    </xf>
    <xf numFmtId="0" fontId="21" fillId="11" borderId="0" applyAlignment="1" pivotButton="0" quotePrefix="0" xfId="0">
      <alignment horizontal="general" vertical="bottom"/>
    </xf>
    <xf numFmtId="0" fontId="22" fillId="11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0" fontId="24" fillId="13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2" fillId="12" borderId="0" applyAlignment="1" pivotButton="0" quotePrefix="0" xfId="0">
      <alignment horizontal="general" vertical="bottom"/>
    </xf>
    <xf numFmtId="0" fontId="24" fillId="13" borderId="1" applyAlignment="1" pivotButton="0" quotePrefix="0" xfId="0">
      <alignment horizontal="general" vertical="bottom"/>
    </xf>
    <xf numFmtId="4" fontId="26" fillId="0" borderId="1" applyAlignment="1" pivotButton="0" quotePrefix="0" xfId="0">
      <alignment horizontal="general" vertical="bottom"/>
    </xf>
    <xf numFmtId="164" fontId="26" fillId="0" borderId="1" applyAlignment="1" pivotButton="0" quotePrefix="0" xfId="0">
      <alignment horizontal="general" vertical="bottom"/>
    </xf>
    <xf numFmtId="0" fontId="27" fillId="14" borderId="9" applyAlignment="1" pivotButton="0" quotePrefix="0" xfId="0">
      <alignment horizontal="general" vertical="bottom"/>
    </xf>
    <xf numFmtId="164" fontId="26" fillId="14" borderId="9" applyAlignment="1" pivotButton="0" quotePrefix="0" xfId="0">
      <alignment horizontal="general" vertical="bottom"/>
    </xf>
    <xf numFmtId="4" fontId="26" fillId="13" borderId="1" applyAlignment="1" pivotButton="0" quotePrefix="0" xfId="0">
      <alignment horizontal="general" vertical="bottom"/>
    </xf>
    <xf numFmtId="165" fontId="26" fillId="13" borderId="1" applyAlignment="1" pivotButton="0" quotePrefix="0" xfId="0">
      <alignment horizontal="general" vertical="bottom"/>
    </xf>
    <xf numFmtId="171" fontId="26" fillId="14" borderId="9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8" fillId="11" borderId="4" applyAlignment="1" pivotButton="0" quotePrefix="0" xfId="0">
      <alignment horizontal="left" vertical="center" indent="1"/>
    </xf>
    <xf numFmtId="0" fontId="20" fillId="11" borderId="4" applyAlignment="1" pivotButton="0" quotePrefix="0" xfId="0">
      <alignment horizontal="general" vertical="bottom"/>
    </xf>
    <xf numFmtId="0" fontId="24" fillId="13" borderId="4" applyAlignment="1" pivotButton="0" quotePrefix="0" xfId="0">
      <alignment horizontal="general" vertical="bottom"/>
    </xf>
    <xf numFmtId="0" fontId="29" fillId="13" borderId="4" applyAlignment="1" pivotButton="0" quotePrefix="0" xfId="0">
      <alignment horizontal="general" vertical="bottom"/>
    </xf>
    <xf numFmtId="0" fontId="24" fillId="13" borderId="4" pivotButton="0" quotePrefix="0" xfId="0"/>
    <xf numFmtId="0" fontId="24" fillId="0" borderId="4" applyAlignment="1" pivotButton="0" quotePrefix="0" xfId="0">
      <alignment horizontal="general" vertical="bottom"/>
    </xf>
    <xf numFmtId="4" fontId="30" fillId="13" borderId="4" applyAlignment="1" pivotButton="0" quotePrefix="0" xfId="0">
      <alignment horizontal="general" vertical="bottom"/>
    </xf>
    <xf numFmtId="164" fontId="24" fillId="0" borderId="4" applyAlignment="1" pivotButton="0" quotePrefix="0" xfId="0">
      <alignment horizontal="general" vertical="bottom"/>
    </xf>
    <xf numFmtId="164" fontId="30" fillId="13" borderId="4" applyAlignment="1" pivotButton="0" quotePrefix="0" xfId="0">
      <alignment horizontal="general" vertical="bottom"/>
    </xf>
    <xf numFmtId="0" fontId="29" fillId="0" borderId="4" applyAlignment="1" pivotButton="0" quotePrefix="0" xfId="0">
      <alignment horizontal="general" vertical="bottom"/>
    </xf>
    <xf numFmtId="165" fontId="30" fillId="13" borderId="4" applyAlignment="1" pivotButton="0" quotePrefix="0" xfId="0">
      <alignment horizontal="general" vertical="bottom"/>
    </xf>
    <xf numFmtId="165" fontId="29" fillId="13" borderId="4" applyAlignment="1" pivotButton="0" quotePrefix="0" xfId="0">
      <alignment horizontal="general" vertical="bottom"/>
    </xf>
    <xf numFmtId="165" fontId="29" fillId="0" borderId="4" applyAlignment="1" pivotButton="0" quotePrefix="0" xfId="0">
      <alignment horizontal="general" vertical="bottom"/>
    </xf>
    <xf numFmtId="0" fontId="25" fillId="0" borderId="4" applyAlignment="1" pivotButton="0" quotePrefix="0" xfId="0">
      <alignment horizontal="general" vertical="bottom"/>
    </xf>
    <xf numFmtId="0" fontId="30" fillId="13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22" fillId="11" borderId="4" applyAlignment="1" pivotButton="0" quotePrefix="0" xfId="0">
      <alignment horizontal="left" vertical="center"/>
    </xf>
    <xf numFmtId="0" fontId="22" fillId="11" borderId="4" applyAlignment="1" pivotButton="0" quotePrefix="0" xfId="0">
      <alignment horizontal="center" vertical="center"/>
    </xf>
    <xf numFmtId="164" fontId="30" fillId="0" borderId="4" applyAlignment="1" pivotButton="0" quotePrefix="0" xfId="0">
      <alignment horizontal="general" vertical="bottom"/>
    </xf>
    <xf numFmtId="165" fontId="24" fillId="13" borderId="4" applyAlignment="1" pivotButton="0" quotePrefix="0" xfId="0">
      <alignment horizontal="general" vertical="bottom"/>
    </xf>
    <xf numFmtId="0" fontId="27" fillId="14" borderId="10" applyAlignment="1" pivotButton="0" quotePrefix="0" xfId="0">
      <alignment horizontal="general" vertical="bottom"/>
    </xf>
    <xf numFmtId="164" fontId="27" fillId="14" borderId="10" applyAlignment="1" pivotButton="0" quotePrefix="0" xfId="0">
      <alignment horizontal="general" vertical="bottom"/>
    </xf>
    <xf numFmtId="165" fontId="24" fillId="0" borderId="4" applyAlignment="1" pivotButton="0" quotePrefix="0" xfId="0">
      <alignment horizontal="general" vertical="bottom"/>
    </xf>
    <xf numFmtId="164" fontId="32" fillId="14" borderId="10" applyAlignment="1" pivotButton="0" quotePrefix="0" xfId="0">
      <alignment horizontal="general" vertical="bottom"/>
    </xf>
    <xf numFmtId="165" fontId="30" fillId="0" borderId="4" applyAlignment="1" pivotButton="0" quotePrefix="0" xfId="0">
      <alignment horizontal="general" vertical="bottom"/>
    </xf>
    <xf numFmtId="164" fontId="29" fillId="0" borderId="4" applyAlignment="1" pivotButton="0" quotePrefix="0" xfId="0">
      <alignment horizontal="general" vertical="bottom"/>
    </xf>
    <xf numFmtId="164" fontId="24" fillId="13" borderId="4" applyAlignment="1" pivotButton="0" quotePrefix="0" xfId="0">
      <alignment horizontal="general" vertical="bottom"/>
    </xf>
    <xf numFmtId="0" fontId="22" fillId="11" borderId="4" applyAlignment="1" pivotButton="0" quotePrefix="0" xfId="0">
      <alignment horizontal="general" vertical="bottom"/>
    </xf>
    <xf numFmtId="0" fontId="22" fillId="11" borderId="4" applyAlignment="1" pivotButton="0" quotePrefix="0" xfId="0">
      <alignment horizontal="right" vertical="bottom"/>
    </xf>
    <xf numFmtId="164" fontId="26" fillId="13" borderId="4" applyAlignment="1" pivotButton="0" quotePrefix="0" xfId="0">
      <alignment horizontal="general" vertical="bottom"/>
    </xf>
    <xf numFmtId="164" fontId="29" fillId="13" borderId="4" applyAlignment="1" pivotButton="0" quotePrefix="0" xfId="0">
      <alignment horizontal="general" vertical="bottom"/>
    </xf>
    <xf numFmtId="164" fontId="31" fillId="14" borderId="10" applyAlignment="1" pivotButton="0" quotePrefix="0" xfId="0">
      <alignment horizontal="general" vertical="bottom"/>
    </xf>
    <xf numFmtId="0" fontId="27" fillId="14" borderId="10" pivotButton="0" quotePrefix="0" xfId="0"/>
    <xf numFmtId="3" fontId="24" fillId="13" borderId="4" applyAlignment="1" pivotButton="0" quotePrefix="0" xfId="0">
      <alignment horizontal="general" vertical="bottom"/>
    </xf>
    <xf numFmtId="166" fontId="24" fillId="13" borderId="4" applyAlignment="1" pivotButton="0" quotePrefix="0" xfId="0">
      <alignment horizontal="general" vertical="bottom"/>
    </xf>
    <xf numFmtId="4" fontId="31" fillId="0" borderId="4" applyAlignment="1" pivotButton="0" quotePrefix="0" xfId="0">
      <alignment horizontal="general" vertical="bottom"/>
    </xf>
    <xf numFmtId="4" fontId="29" fillId="13" borderId="4" applyAlignment="1" pivotButton="0" quotePrefix="0" xfId="0">
      <alignment horizontal="general" vertical="bottom"/>
    </xf>
    <xf numFmtId="171" fontId="27" fillId="14" borderId="10" applyAlignment="1" pivotButton="0" quotePrefix="0" xfId="0">
      <alignment horizontal="general" vertical="bottom"/>
    </xf>
    <xf numFmtId="165" fontId="32" fillId="13" borderId="4" applyAlignment="1" pivotButton="0" quotePrefix="0" xfId="0">
      <alignment horizontal="general" vertical="bottom"/>
    </xf>
    <xf numFmtId="3" fontId="24" fillId="0" borderId="4" applyAlignment="1" pivotButton="0" quotePrefix="0" xfId="0">
      <alignment horizontal="general" vertical="bottom"/>
    </xf>
    <xf numFmtId="165" fontId="31" fillId="0" borderId="4" applyAlignment="1" pivotButton="0" quotePrefix="0" xfId="0">
      <alignment horizontal="general" vertical="bottom"/>
    </xf>
    <xf numFmtId="165" fontId="31" fillId="13" borderId="4" applyAlignment="1" pivotButton="0" quotePrefix="0" xfId="0">
      <alignment horizontal="general" vertical="bottom"/>
    </xf>
    <xf numFmtId="167" fontId="31" fillId="0" borderId="4" applyAlignment="1" pivotButton="0" quotePrefix="0" xfId="0">
      <alignment horizontal="general" vertical="bottom"/>
    </xf>
    <xf numFmtId="168" fontId="24" fillId="13" borderId="4" applyAlignment="1" pivotButton="0" quotePrefix="0" xfId="0">
      <alignment horizontal="general" vertical="bottom"/>
    </xf>
    <xf numFmtId="0" fontId="22" fillId="12" borderId="4" applyAlignment="1" pivotButton="0" quotePrefix="0" xfId="0">
      <alignment horizontal="left" vertical="center" indent="1"/>
    </xf>
    <xf numFmtId="0" fontId="29" fillId="0" borderId="4" pivotButton="0" quotePrefix="0" xfId="0"/>
    <xf numFmtId="169" fontId="24" fillId="0" borderId="4" pivotButton="0" quotePrefix="0" xfId="0"/>
    <xf numFmtId="2" fontId="24" fillId="0" borderId="4" pivotButton="0" quotePrefix="0" xfId="0"/>
    <xf numFmtId="3" fontId="24" fillId="0" borderId="4" pivotButton="0" quotePrefix="0" xfId="0"/>
    <xf numFmtId="0" fontId="29" fillId="13" borderId="4" pivotButton="0" quotePrefix="0" xfId="0"/>
    <xf numFmtId="3" fontId="27" fillId="14" borderId="10" pivotButton="0" quotePrefix="0" xfId="0"/>
    <xf numFmtId="0" fontId="24" fillId="0" borderId="4" pivotButton="0" quotePrefix="0" xfId="0"/>
    <xf numFmtId="3" fontId="29" fillId="0" borderId="4" pivotButton="0" quotePrefix="0" xfId="0"/>
    <xf numFmtId="170" fontId="29" fillId="0" borderId="4" pivotButton="0" quotePrefix="0" xfId="0"/>
    <xf numFmtId="0" fontId="33" fillId="0" borderId="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FF2CC"/>
      <rgbColor rgb="FFF2F6FB"/>
      <rgbColor rgb="FF660066"/>
      <rgbColor rgb="FFFF8080"/>
      <rgbColor rgb="FF2E75B6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2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C9A227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E9E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007CC3"/>
    <outlinePr summaryBelow="1" summaryRight="1"/>
    <pageSetUpPr fitToPage="0"/>
  </sheetPr>
  <dimension ref="A1:F2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" customWidth="1" style="66" min="1" max="1"/>
    <col width="42" customWidth="1" style="66" min="2" max="5"/>
    <col width="13" customWidth="1" style="67" min="3" max="3"/>
    <col width="13" customWidth="1" style="67" min="4" max="4"/>
    <col width="13" customWidth="1" style="67" min="5" max="5"/>
    <col width="13" customWidth="1" style="67" min="6" max="6"/>
  </cols>
  <sheetData>
    <row r="1" ht="15" customHeight="1" s="67">
      <c r="A1" s="163" t="n"/>
      <c r="B1" s="163" t="n"/>
      <c r="C1" s="163" t="n"/>
      <c r="D1" s="163" t="n"/>
      <c r="E1" s="163" t="n"/>
      <c r="F1" s="163" t="n"/>
    </row>
    <row r="2" ht="29.15" customHeight="1" s="67">
      <c r="A2" s="163" t="n"/>
      <c r="B2" s="164" t="inlineStr">
        <is>
          <t>Infosys Ltd</t>
        </is>
      </c>
      <c r="C2" s="163" t="n"/>
      <c r="D2" s="163" t="n"/>
      <c r="E2" s="163" t="n"/>
      <c r="F2" s="163" t="n"/>
    </row>
    <row r="3" ht="15" customHeight="1" s="67">
      <c r="A3" s="165" t="n"/>
      <c r="B3" s="165" t="n"/>
      <c r="C3" s="165" t="n"/>
      <c r="D3" s="165" t="n"/>
      <c r="E3" s="165" t="n"/>
      <c r="F3" s="165" t="n"/>
    </row>
    <row r="4" ht="15" customHeight="1" s="67">
      <c r="A4" s="165" t="n"/>
      <c r="B4" s="165" t="inlineStr">
        <is>
          <t>Equity Valuation Model  |  NSE: INFY | BSE: 500209  |  Sector: IT Services</t>
        </is>
      </c>
      <c r="C4" s="165" t="n"/>
      <c r="D4" s="165" t="n"/>
      <c r="E4" s="165" t="n"/>
      <c r="F4" s="165" t="n"/>
    </row>
    <row r="5" ht="15" customHeight="1" s="67">
      <c r="A5" s="166" t="n"/>
      <c r="B5" s="166" t="n"/>
      <c r="C5" s="166" t="n"/>
      <c r="D5" s="166" t="n"/>
      <c r="E5" s="166" t="n"/>
      <c r="F5" s="166" t="n"/>
    </row>
    <row r="6" ht="3.75" customHeight="1" s="67">
      <c r="A6" s="167" t="n"/>
      <c r="B6" s="167" t="n"/>
      <c r="C6" s="167" t="n"/>
      <c r="D6" s="167" t="n"/>
      <c r="E6" s="167" t="n"/>
      <c r="F6" s="167" t="n"/>
    </row>
    <row r="7"/>
    <row r="8" ht="15" customHeight="1" s="67">
      <c r="B8" s="168" t="inlineStr">
        <is>
          <t>Prepared for: Debjit  |  Date: 11 June 2026  |  Currency: ₹ Crore</t>
        </is>
      </c>
    </row>
    <row r="9"/>
    <row r="10" ht="15" customHeight="1" s="67">
      <c r="A10" s="169" t="inlineStr">
        <is>
          <t>Snapshot</t>
        </is>
      </c>
      <c r="B10" s="166" t="n"/>
      <c r="C10" s="166" t="n"/>
      <c r="D10" s="166" t="n"/>
      <c r="E10" s="166" t="n"/>
      <c r="F10" s="166" t="n"/>
    </row>
    <row r="11" ht="15" customHeight="1" s="67">
      <c r="B11" s="170" t="inlineStr">
        <is>
          <t>Current price (₹)</t>
        </is>
      </c>
      <c r="C11" s="171">
        <f>Assumptions!B5</f>
        <v/>
      </c>
    </row>
    <row r="12" ht="15" customHeight="1" s="67">
      <c r="B12" s="170" t="inlineStr">
        <is>
          <t>Market cap (₹ Cr)</t>
        </is>
      </c>
      <c r="C12" s="172">
        <f>Assumptions!B7</f>
        <v/>
      </c>
    </row>
    <row r="13" ht="15" customHeight="1" s="67">
      <c r="B13" s="170" t="inlineStr">
        <is>
          <t>FY26 revenue (₹ Cr)</t>
        </is>
      </c>
      <c r="C13" s="172">
        <f>Historical!I6</f>
        <v/>
      </c>
    </row>
    <row r="14" ht="15" customHeight="1" s="67">
      <c r="B14" s="173" t="inlineStr">
        <is>
          <t>FY26 PAT (₹ Cr)</t>
        </is>
      </c>
      <c r="C14" s="174">
        <f>Historical!I17</f>
        <v/>
      </c>
    </row>
    <row r="15" ht="15" customHeight="1" s="67">
      <c r="B15" s="170" t="inlineStr">
        <is>
          <t>Intrinsic value (₹/share)</t>
        </is>
      </c>
      <c r="C15" s="175">
        <f>DCF!B18</f>
        <v/>
      </c>
    </row>
    <row r="16" ht="15" customHeight="1" s="67">
      <c r="B16" s="170" t="inlineStr">
        <is>
          <t>Upside / (downside)</t>
        </is>
      </c>
      <c r="C16" s="176">
        <f>DCF!B20</f>
        <v/>
      </c>
    </row>
    <row r="17" ht="15" customHeight="1" s="67">
      <c r="B17" s="173" t="inlineStr">
        <is>
          <t>Implied rating</t>
        </is>
      </c>
      <c r="C17" s="177">
        <f>DCF!B21</f>
        <v/>
      </c>
    </row>
    <row r="18"/>
    <row r="19"/>
    <row r="20" ht="15" customHeight="1" s="67">
      <c r="A20" s="169" t="inlineStr">
        <is>
          <t>Contents</t>
        </is>
      </c>
      <c r="B20" s="166" t="n"/>
      <c r="C20" s="166" t="n"/>
      <c r="D20" s="166" t="n"/>
      <c r="E20" s="166" t="n"/>
      <c r="F20" s="166" t="n"/>
    </row>
    <row r="21" ht="15" customHeight="1" s="67">
      <c r="B21" s="178" t="inlineStr">
        <is>
          <t>1. Assumptions — all editable drivers (highlighted blue cells)</t>
        </is>
      </c>
    </row>
    <row r="22" ht="15" customHeight="1" s="67">
      <c r="B22" s="178" t="inlineStr">
        <is>
          <t>2. Historical — FY2019–FY2026 income statement, balance sheet, cash flow</t>
        </is>
      </c>
    </row>
    <row r="23" ht="15" customHeight="1" s="67">
      <c r="B23" s="178" t="inlineStr">
        <is>
          <t>3. Forecast — FY2027E–FY2031E operating model &amp; FCFF build</t>
        </is>
      </c>
    </row>
    <row r="24" ht="15" customHeight="1" s="67">
      <c r="B24" s="178" t="inlineStr">
        <is>
          <t>4. DCF — valuation bridge &amp; WACC/growth sensitivity</t>
        </is>
      </c>
    </row>
    <row r="25" ht="15" customHeight="1" s="67">
      <c r="B25" s="178" t="inlineStr">
        <is>
          <t>5. Ratios — margins, returns, conversion, leverage</t>
        </is>
      </c>
    </row>
    <row r="26" ht="15" customHeight="1" s="67">
      <c r="B26" s="178" t="inlineStr">
        <is>
          <t>6. Peer Comps — relative valuation</t>
        </is>
      </c>
    </row>
    <row r="27"/>
    <row r="28"/>
    <row r="29" ht="15" customHeight="1" s="67">
      <c r="B29" s="168" t="inlineStr">
        <is>
          <t>Disclaimer: For educational/analytical use only. Not investment advice. Figures from public filings; forecasts are illustrative assumptions.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007CC3"/>
    <outlinePr summaryBelow="1" summaryRight="1"/>
    <pageSetUpPr fitToPage="0"/>
  </sheetPr>
  <dimension ref="A1:J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6" min="1" max="1"/>
    <col width="13" customWidth="1" style="66" min="2" max="13"/>
    <col width="13" customWidth="1" style="67" min="3" max="3"/>
    <col width="13" customWidth="1" style="67" min="4" max="4"/>
    <col width="13" customWidth="1" style="67" min="5" max="5"/>
    <col width="13" customWidth="1" style="67" min="6" max="6"/>
    <col width="13" customWidth="1" style="67" min="7" max="7"/>
    <col width="13" customWidth="1" style="67" min="8" max="8"/>
    <col width="13" customWidth="1" style="67" min="9" max="9"/>
    <col width="13" customWidth="1" style="67" min="10" max="10"/>
  </cols>
  <sheetData>
    <row r="1" ht="24" customHeight="1" s="67">
      <c r="A1" s="179" t="inlineStr">
        <is>
          <t>Infosys Ltd — Key Assumptions &amp; Drivers</t>
        </is>
      </c>
      <c r="B1" s="180" t="n"/>
      <c r="C1" s="180" t="n"/>
      <c r="D1" s="180" t="n"/>
      <c r="E1" s="180" t="n"/>
      <c r="F1" s="180" t="n"/>
      <c r="G1" s="163" t="n"/>
      <c r="H1" s="163" t="n"/>
      <c r="I1" s="163" t="n"/>
      <c r="J1" s="163" t="n"/>
    </row>
    <row r="2" ht="3" customHeight="1" s="67">
      <c r="A2" s="181" t="n"/>
      <c r="B2" s="181" t="n"/>
      <c r="C2" s="181" t="n"/>
      <c r="D2" s="181" t="n"/>
      <c r="E2" s="181" t="n"/>
      <c r="F2" s="181" t="n"/>
      <c r="G2" s="167" t="n"/>
      <c r="H2" s="167" t="n"/>
      <c r="I2" s="167" t="n"/>
      <c r="J2" s="167" t="n"/>
    </row>
    <row r="3" ht="15" customHeight="1" s="67">
      <c r="A3" s="182" t="inlineStr">
        <is>
          <t>All highlighted blue cells are user inputs. ₹ Crore unless stated.</t>
        </is>
      </c>
      <c r="B3" s="183" t="n"/>
      <c r="C3" s="183" t="n"/>
      <c r="D3" s="183" t="n"/>
      <c r="E3" s="183" t="n"/>
      <c r="F3" s="183" t="n"/>
    </row>
    <row r="4" ht="15" customHeight="1" s="67">
      <c r="A4" s="182" t="inlineStr">
        <is>
          <t>Market Data</t>
        </is>
      </c>
      <c r="B4" s="181" t="n"/>
      <c r="C4" s="181" t="n"/>
      <c r="D4" s="181" t="n"/>
      <c r="E4" s="181" t="n"/>
      <c r="F4" s="181" t="n"/>
      <c r="G4" s="165" t="n"/>
      <c r="H4" s="165" t="n"/>
      <c r="I4" s="165" t="n"/>
      <c r="J4" s="165" t="n"/>
    </row>
    <row r="5" ht="15" customHeight="1" s="67">
      <c r="A5" s="184" t="inlineStr">
        <is>
          <t>Current share price (₹, 03-Jul-2026)</t>
        </is>
      </c>
      <c r="B5" s="185" t="n">
        <v>1040.9</v>
      </c>
      <c r="C5" s="89" t="n"/>
      <c r="D5" s="89" t="n"/>
      <c r="E5" s="89" t="n"/>
      <c r="F5" s="89" t="n"/>
    </row>
    <row r="6" ht="15" customHeight="1" s="67">
      <c r="A6" s="181" t="inlineStr">
        <is>
          <t>Shares outstanding (Crore)</t>
        </is>
      </c>
      <c r="B6" s="185" t="n">
        <v>404.8</v>
      </c>
      <c r="C6" s="183" t="n"/>
      <c r="D6" s="183" t="n"/>
      <c r="E6" s="183" t="n"/>
      <c r="F6" s="183" t="n"/>
    </row>
    <row r="7" ht="15" customHeight="1" s="67">
      <c r="A7" s="184" t="inlineStr">
        <is>
          <t>Market capitalisation (₹ Cr)</t>
        </is>
      </c>
      <c r="B7" s="186">
        <f>B5*B6</f>
        <v/>
      </c>
      <c r="C7" s="89" t="n"/>
      <c r="D7" s="89" t="n"/>
      <c r="E7" s="89" t="n"/>
      <c r="F7" s="89" t="n"/>
    </row>
    <row r="8" ht="15" customHeight="1" s="67">
      <c r="A8" s="181" t="inlineStr">
        <is>
          <t>Net debt / (net cash) (₹ Cr)</t>
        </is>
      </c>
      <c r="B8" s="187" t="n">
        <v>-12704</v>
      </c>
      <c r="C8" s="183" t="n"/>
      <c r="D8" s="183" t="n"/>
      <c r="E8" s="183" t="n"/>
      <c r="F8" s="183" t="n"/>
    </row>
    <row r="9" ht="15" customHeight="1" s="67">
      <c r="A9" s="182" t="inlineStr">
        <is>
          <t>Note: net debt = borrowings less investments (proxy for cash &amp; equivalents)</t>
        </is>
      </c>
      <c r="B9" s="183" t="n"/>
      <c r="C9" s="183" t="n"/>
      <c r="D9" s="183" t="n"/>
      <c r="E9" s="183" t="n"/>
      <c r="F9" s="183" t="n"/>
    </row>
    <row r="10">
      <c r="A10" s="89" t="n"/>
      <c r="B10" s="89" t="n"/>
      <c r="C10" s="89" t="n"/>
      <c r="D10" s="89" t="n"/>
      <c r="E10" s="89" t="n"/>
      <c r="F10" s="89" t="n"/>
    </row>
    <row r="11" ht="15" customHeight="1" s="67">
      <c r="A11" s="182" t="inlineStr">
        <is>
          <t>Operating Forecast Drivers (FY2027E–FY2031E)</t>
        </is>
      </c>
      <c r="B11" s="181" t="n"/>
      <c r="C11" s="181" t="n"/>
      <c r="D11" s="181" t="n"/>
      <c r="E11" s="181" t="n"/>
      <c r="F11" s="181" t="n"/>
      <c r="G11" s="166" t="n"/>
      <c r="H11" s="166" t="n"/>
      <c r="I11" s="166" t="n"/>
      <c r="J11" s="166" t="n"/>
    </row>
    <row r="12" ht="15" customHeight="1" s="67">
      <c r="A12" s="89" t="n"/>
      <c r="B12" s="188" t="inlineStr">
        <is>
          <t>FY2027E</t>
        </is>
      </c>
      <c r="C12" s="188" t="inlineStr">
        <is>
          <t>FY2028E</t>
        </is>
      </c>
      <c r="D12" s="188" t="inlineStr">
        <is>
          <t>FY2029E</t>
        </is>
      </c>
      <c r="E12" s="188" t="inlineStr">
        <is>
          <t>FY2030E</t>
        </is>
      </c>
      <c r="F12" s="188" t="inlineStr">
        <is>
          <t>FY2031E</t>
        </is>
      </c>
    </row>
    <row r="13" ht="15" customHeight="1" s="67">
      <c r="A13" s="181" t="inlineStr">
        <is>
          <t>Revenue growth (%)</t>
        </is>
      </c>
      <c r="B13" s="189" t="n">
        <v>0.03</v>
      </c>
      <c r="C13" s="189" t="n">
        <v>0.05</v>
      </c>
      <c r="D13" s="189" t="n">
        <v>0.06</v>
      </c>
      <c r="E13" s="189" t="n">
        <v>0.065</v>
      </c>
      <c r="F13" s="189" t="n">
        <v>0.07000000000000001</v>
      </c>
    </row>
    <row r="14" ht="15" customHeight="1" s="67">
      <c r="A14" s="184" t="inlineStr">
        <is>
          <t>EBITDA margin (%)</t>
        </is>
      </c>
      <c r="B14" s="189" t="n">
        <v>0.238</v>
      </c>
      <c r="C14" s="189" t="n">
        <v>0.24</v>
      </c>
      <c r="D14" s="189" t="n">
        <v>0.24</v>
      </c>
      <c r="E14" s="189" t="n">
        <v>0.242</v>
      </c>
      <c r="F14" s="189" t="n">
        <v>0.243</v>
      </c>
    </row>
    <row r="15" ht="15" customHeight="1" s="67">
      <c r="A15" s="181" t="inlineStr">
        <is>
          <t>Depreciation &amp; amortisation (% of revenue)</t>
        </is>
      </c>
      <c r="B15" s="189" t="n">
        <v>0.027</v>
      </c>
      <c r="C15" s="183" t="n"/>
      <c r="D15" s="183" t="n"/>
      <c r="E15" s="183" t="n"/>
      <c r="F15" s="183" t="n"/>
    </row>
    <row r="16" ht="15" customHeight="1" s="67">
      <c r="A16" s="184" t="inlineStr">
        <is>
          <t>Capex (% of revenue)</t>
        </is>
      </c>
      <c r="B16" s="189" t="n">
        <v>0.015</v>
      </c>
      <c r="C16" s="89" t="n"/>
      <c r="D16" s="89" t="n"/>
      <c r="E16" s="89" t="n"/>
      <c r="F16" s="89" t="n"/>
    </row>
    <row r="17" ht="15" customHeight="1" s="67">
      <c r="A17" s="181" t="inlineStr">
        <is>
          <t>Effective tax rate (%)</t>
        </is>
      </c>
      <c r="B17" s="189" t="n">
        <v>0.27</v>
      </c>
      <c r="C17" s="183" t="n"/>
      <c r="D17" s="183" t="n"/>
      <c r="E17" s="183" t="n"/>
      <c r="F17" s="183" t="n"/>
    </row>
    <row r="18" ht="15" customHeight="1" s="67">
      <c r="A18" s="184" t="inlineStr">
        <is>
          <t>Incr. working capital (% of incremental revenue)</t>
        </is>
      </c>
      <c r="B18" s="189" t="n">
        <v>0.1</v>
      </c>
      <c r="C18" s="89" t="n"/>
      <c r="D18" s="89" t="n"/>
      <c r="E18" s="89" t="n"/>
      <c r="F18" s="89" t="n"/>
    </row>
    <row r="19">
      <c r="A19" s="89" t="n"/>
      <c r="B19" s="89" t="n"/>
      <c r="C19" s="89" t="n"/>
      <c r="D19" s="89" t="n"/>
      <c r="E19" s="89" t="n"/>
      <c r="F19" s="89" t="n"/>
    </row>
    <row r="20" ht="15" customHeight="1" s="67">
      <c r="A20" s="182" t="inlineStr">
        <is>
          <t>Cost of Capital (CAPM)</t>
        </is>
      </c>
      <c r="B20" s="181" t="n"/>
      <c r="C20" s="181" t="n"/>
      <c r="D20" s="181" t="n"/>
      <c r="E20" s="181" t="n"/>
      <c r="F20" s="181" t="n"/>
      <c r="G20" s="166" t="n"/>
      <c r="H20" s="166" t="n"/>
      <c r="I20" s="166" t="n"/>
      <c r="J20" s="166" t="n"/>
    </row>
    <row r="21" ht="15" customHeight="1" s="67">
      <c r="A21" s="184" t="inlineStr">
        <is>
          <t>Risk-free rate (10Y G-Sec)</t>
        </is>
      </c>
      <c r="B21" s="189" t="n">
        <v>0.067</v>
      </c>
      <c r="C21" s="89" t="n"/>
      <c r="D21" s="89" t="n"/>
      <c r="E21" s="89" t="n"/>
      <c r="F21" s="89" t="n"/>
    </row>
    <row r="22" ht="15" customHeight="1" s="67">
      <c r="A22" s="181" t="inlineStr">
        <is>
          <t>Equity beta</t>
        </is>
      </c>
      <c r="B22" s="185" t="n">
        <v>0.9</v>
      </c>
      <c r="C22" s="183" t="n"/>
      <c r="D22" s="183" t="n"/>
      <c r="E22" s="183" t="n"/>
      <c r="F22" s="183" t="n"/>
    </row>
    <row r="23" ht="15" customHeight="1" s="67">
      <c r="A23" s="184" t="inlineStr">
        <is>
          <t>Equity risk premium</t>
        </is>
      </c>
      <c r="B23" s="189" t="n">
        <v>0.055</v>
      </c>
      <c r="C23" s="89" t="n"/>
      <c r="D23" s="89" t="n"/>
      <c r="E23" s="89" t="n"/>
      <c r="F23" s="89" t="n"/>
    </row>
    <row r="24" ht="15" customHeight="1" s="67">
      <c r="A24" s="182" t="inlineStr">
        <is>
          <t>Cost of equity = Rf + β × ERP</t>
        </is>
      </c>
      <c r="B24" s="190">
        <f>B21+B22*B23</f>
        <v/>
      </c>
      <c r="C24" s="183" t="n"/>
      <c r="D24" s="183" t="n"/>
      <c r="E24" s="183" t="n"/>
      <c r="F24" s="183" t="n"/>
    </row>
    <row r="25" ht="15" customHeight="1" s="67">
      <c r="A25" s="188" t="inlineStr">
        <is>
          <t>WACC (≈ cost of equity; negligible debt)</t>
        </is>
      </c>
      <c r="B25" s="191">
        <f>B24</f>
        <v/>
      </c>
      <c r="C25" s="89" t="n"/>
      <c r="D25" s="89" t="n"/>
      <c r="E25" s="89" t="n"/>
      <c r="F25" s="89" t="n"/>
    </row>
    <row r="26" ht="15" customHeight="1" s="67">
      <c r="A26" s="181" t="inlineStr">
        <is>
          <t>Terminal growth rate (g)</t>
        </is>
      </c>
      <c r="B26" s="189" t="n">
        <v>0.05</v>
      </c>
      <c r="C26" s="183" t="n"/>
      <c r="D26" s="183" t="n"/>
      <c r="E26" s="183" t="n"/>
      <c r="F26" s="183" t="n"/>
    </row>
    <row r="27">
      <c r="A27" s="89" t="n"/>
      <c r="B27" s="89" t="n"/>
      <c r="C27" s="89" t="n"/>
      <c r="D27" s="89" t="n"/>
      <c r="E27" s="89" t="n"/>
      <c r="F27" s="89" t="n"/>
    </row>
    <row r="28" ht="15" customHeight="1" s="67">
      <c r="A28" s="192" t="inlineStr">
        <is>
          <t>Legend:</t>
        </is>
      </c>
      <c r="B28" s="193" t="inlineStr">
        <is>
          <t>Input</t>
        </is>
      </c>
      <c r="C28" s="194" t="inlineStr">
        <is>
          <t>Formula</t>
        </is>
      </c>
      <c r="D28" s="195" t="inlineStr">
        <is>
          <t>Link</t>
        </is>
      </c>
      <c r="E28" s="89" t="n"/>
      <c r="F28" s="8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007CC3"/>
    <outlinePr summaryBelow="1" summaryRight="1"/>
    <pageSetUpPr fitToPage="0"/>
  </sheetPr>
  <dimension ref="A1:J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2" customWidth="1" style="66" min="1" max="1"/>
    <col width="13" customWidth="1" style="66" min="2" max="13"/>
    <col width="13" customWidth="1" style="67" min="3" max="3"/>
    <col width="13" customWidth="1" style="67" min="4" max="4"/>
    <col width="13" customWidth="1" style="67" min="5" max="5"/>
    <col width="13" customWidth="1" style="67" min="6" max="6"/>
    <col width="13" customWidth="1" style="67" min="7" max="7"/>
    <col width="13" customWidth="1" style="67" min="8" max="8"/>
    <col width="13" customWidth="1" style="67" min="9" max="9"/>
    <col width="13" customWidth="1" style="67" min="10" max="10"/>
  </cols>
  <sheetData>
    <row r="1" ht="24" customHeight="1" s="67">
      <c r="A1" s="179" t="inlineStr">
        <is>
          <t>Infosys Ltd — Historical Financials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63" t="n"/>
    </row>
    <row r="2" ht="3" customHeight="1" s="67">
      <c r="A2" s="181" t="n"/>
      <c r="B2" s="181" t="n"/>
      <c r="C2" s="181" t="n"/>
      <c r="D2" s="181" t="n"/>
      <c r="E2" s="181" t="n"/>
      <c r="F2" s="181" t="n"/>
      <c r="G2" s="181" t="n"/>
      <c r="H2" s="181" t="n"/>
      <c r="I2" s="181" t="n"/>
      <c r="J2" s="167" t="n"/>
    </row>
    <row r="3" ht="15" customHeight="1" s="67">
      <c r="A3" s="182" t="inlineStr">
        <is>
          <t>₹ Crore, consolidated. Blue = source data. Source: Company filings (consolidated) via Screener.in; FY2026 results announced Apr 2026. Retrieved 11-Jun-2026.</t>
        </is>
      </c>
      <c r="B3" s="183" t="n"/>
      <c r="C3" s="183" t="n"/>
      <c r="D3" s="183" t="n"/>
      <c r="E3" s="183" t="n"/>
      <c r="F3" s="183" t="n"/>
      <c r="G3" s="183" t="n"/>
      <c r="H3" s="183" t="n"/>
      <c r="I3" s="183" t="n"/>
    </row>
    <row r="4" ht="18" customHeight="1" s="67">
      <c r="A4" s="196" t="inlineStr">
        <is>
          <t>Fiscal Year (ends March)</t>
        </is>
      </c>
      <c r="B4" s="197" t="inlineStr">
        <is>
          <t>FY2019</t>
        </is>
      </c>
      <c r="C4" s="197" t="inlineStr">
        <is>
          <t>FY2020</t>
        </is>
      </c>
      <c r="D4" s="197" t="inlineStr">
        <is>
          <t>FY2021</t>
        </is>
      </c>
      <c r="E4" s="197" t="inlineStr">
        <is>
          <t>FY2022</t>
        </is>
      </c>
      <c r="F4" s="197" t="inlineStr">
        <is>
          <t>FY2023</t>
        </is>
      </c>
      <c r="G4" s="197" t="inlineStr">
        <is>
          <t>FY2024</t>
        </is>
      </c>
      <c r="H4" s="197" t="inlineStr">
        <is>
          <t>FY2025</t>
        </is>
      </c>
      <c r="I4" s="197" t="inlineStr">
        <is>
          <t>FY2026</t>
        </is>
      </c>
      <c r="J4" s="165" t="n"/>
    </row>
    <row r="5" ht="15" customHeight="1" s="67">
      <c r="A5" s="182" t="inlineStr">
        <is>
          <t>Income Statement</t>
        </is>
      </c>
      <c r="B5" s="181" t="n"/>
      <c r="C5" s="181" t="n"/>
      <c r="D5" s="181" t="n"/>
      <c r="E5" s="181" t="n"/>
      <c r="F5" s="181" t="n"/>
      <c r="G5" s="181" t="n"/>
      <c r="H5" s="181" t="n"/>
      <c r="I5" s="181" t="n"/>
      <c r="J5" s="166" t="n"/>
    </row>
    <row r="6" ht="15" customHeight="1" s="67">
      <c r="A6" s="184" t="inlineStr">
        <is>
          <t>Revenue</t>
        </is>
      </c>
      <c r="B6" s="198" t="n">
        <v>82675</v>
      </c>
      <c r="C6" s="198" t="n">
        <v>90791</v>
      </c>
      <c r="D6" s="198" t="n">
        <v>100472</v>
      </c>
      <c r="E6" s="198" t="n">
        <v>121641</v>
      </c>
      <c r="F6" s="198" t="n">
        <v>146767</v>
      </c>
      <c r="G6" s="198" t="n">
        <v>153670</v>
      </c>
      <c r="H6" s="198" t="n">
        <v>162990</v>
      </c>
      <c r="I6" s="198" t="n">
        <v>178650</v>
      </c>
    </row>
    <row r="7" ht="15" customHeight="1" s="67">
      <c r="A7" s="181" t="inlineStr">
        <is>
          <t xml:space="preserve">  Revenue growth (%)</t>
        </is>
      </c>
      <c r="B7" s="181" t="n"/>
      <c r="C7" s="199">
        <f>D6/C6-1</f>
        <v/>
      </c>
      <c r="D7" s="199">
        <f>E6/D6-1</f>
        <v/>
      </c>
      <c r="E7" s="199">
        <f>F6/E6-1</f>
        <v/>
      </c>
      <c r="F7" s="199">
        <f>G6/F6-1</f>
        <v/>
      </c>
      <c r="G7" s="199">
        <f>H6/G6-1</f>
        <v/>
      </c>
      <c r="H7" s="199">
        <f>I6/H6-1</f>
        <v/>
      </c>
      <c r="I7" s="199">
        <f>J6/I6-1</f>
        <v/>
      </c>
      <c r="J7" s="167" t="n"/>
    </row>
    <row r="8" ht="15" customHeight="1" s="67">
      <c r="A8" s="184" t="inlineStr">
        <is>
          <t>Operating expenses</t>
        </is>
      </c>
      <c r="B8" s="198" t="n">
        <v>62505</v>
      </c>
      <c r="C8" s="198" t="n">
        <v>68524</v>
      </c>
      <c r="D8" s="198" t="n">
        <v>72583</v>
      </c>
      <c r="E8" s="198" t="n">
        <v>90150</v>
      </c>
      <c r="F8" s="198" t="n">
        <v>111637</v>
      </c>
      <c r="G8" s="198" t="n">
        <v>117245</v>
      </c>
      <c r="H8" s="198" t="n">
        <v>123754</v>
      </c>
      <c r="I8" s="198" t="n">
        <v>136370</v>
      </c>
    </row>
    <row r="9" ht="15" customHeight="1" s="67">
      <c r="A9" s="200" t="inlineStr">
        <is>
          <t>EBITDA</t>
        </is>
      </c>
      <c r="B9" s="201">
        <f>B6-B8</f>
        <v/>
      </c>
      <c r="C9" s="201">
        <f>C6-C8</f>
        <v/>
      </c>
      <c r="D9" s="201">
        <f>D6-D8</f>
        <v/>
      </c>
      <c r="E9" s="201">
        <f>E6-E8</f>
        <v/>
      </c>
      <c r="F9" s="201">
        <f>F6-F8</f>
        <v/>
      </c>
      <c r="G9" s="201">
        <f>G6-G8</f>
        <v/>
      </c>
      <c r="H9" s="201">
        <f>H6-H8</f>
        <v/>
      </c>
      <c r="I9" s="201">
        <f>I6-I8</f>
        <v/>
      </c>
      <c r="J9" s="173" t="n"/>
    </row>
    <row r="10" ht="15" customHeight="1" s="67">
      <c r="A10" s="184" t="inlineStr">
        <is>
          <t xml:space="preserve">  EBITDA margin (%)</t>
        </is>
      </c>
      <c r="B10" s="202">
        <f>B9/B6</f>
        <v/>
      </c>
      <c r="C10" s="202">
        <f>C9/C6</f>
        <v/>
      </c>
      <c r="D10" s="202">
        <f>D9/D6</f>
        <v/>
      </c>
      <c r="E10" s="202">
        <f>E9/E6</f>
        <v/>
      </c>
      <c r="F10" s="202">
        <f>F9/F6</f>
        <v/>
      </c>
      <c r="G10" s="202">
        <f>G9/G6</f>
        <v/>
      </c>
      <c r="H10" s="202">
        <f>H9/H6</f>
        <v/>
      </c>
      <c r="I10" s="202">
        <f>I9/I6</f>
        <v/>
      </c>
    </row>
    <row r="11" ht="15" customHeight="1" s="67">
      <c r="A11" s="181" t="inlineStr">
        <is>
          <t>Depreciation &amp; amortisation</t>
        </is>
      </c>
      <c r="B11" s="187" t="n">
        <v>2011</v>
      </c>
      <c r="C11" s="187" t="n">
        <v>2893</v>
      </c>
      <c r="D11" s="187" t="n">
        <v>3267</v>
      </c>
      <c r="E11" s="187" t="n">
        <v>3476</v>
      </c>
      <c r="F11" s="187" t="n">
        <v>4225</v>
      </c>
      <c r="G11" s="187" t="n">
        <v>4678</v>
      </c>
      <c r="H11" s="187" t="n">
        <v>4812</v>
      </c>
      <c r="I11" s="187" t="n">
        <v>4902</v>
      </c>
      <c r="J11" s="167" t="n"/>
    </row>
    <row r="12" ht="15" customHeight="1" s="67">
      <c r="A12" s="200" t="inlineStr">
        <is>
          <t>EBIT</t>
        </is>
      </c>
      <c r="B12" s="201">
        <f>B9-B11</f>
        <v/>
      </c>
      <c r="C12" s="201">
        <f>C9-C11</f>
        <v/>
      </c>
      <c r="D12" s="201">
        <f>D9-D11</f>
        <v/>
      </c>
      <c r="E12" s="201">
        <f>E9-E11</f>
        <v/>
      </c>
      <c r="F12" s="201">
        <f>F9-F11</f>
        <v/>
      </c>
      <c r="G12" s="201">
        <f>G9-G11</f>
        <v/>
      </c>
      <c r="H12" s="201">
        <f>H9-H11</f>
        <v/>
      </c>
      <c r="I12" s="201">
        <f>I9-I11</f>
        <v/>
      </c>
    </row>
    <row r="13" ht="15" customHeight="1" s="67">
      <c r="A13" s="181" t="inlineStr">
        <is>
          <t>Other income</t>
        </is>
      </c>
      <c r="B13" s="187" t="n">
        <v>2882</v>
      </c>
      <c r="C13" s="187" t="n">
        <v>2803</v>
      </c>
      <c r="D13" s="187" t="n">
        <v>2201</v>
      </c>
      <c r="E13" s="187" t="n">
        <v>2295</v>
      </c>
      <c r="F13" s="187" t="n">
        <v>2701</v>
      </c>
      <c r="G13" s="187" t="n">
        <v>4711</v>
      </c>
      <c r="H13" s="187" t="n">
        <v>3600</v>
      </c>
      <c r="I13" s="187" t="n">
        <v>3033</v>
      </c>
      <c r="J13" s="167" t="n"/>
    </row>
    <row r="14" ht="15" customHeight="1" s="67">
      <c r="A14" s="184" t="inlineStr">
        <is>
          <t>Finance costs</t>
        </is>
      </c>
      <c r="B14" s="198" t="n">
        <v>0</v>
      </c>
      <c r="C14" s="198" t="n">
        <v>170</v>
      </c>
      <c r="D14" s="198" t="n">
        <v>195</v>
      </c>
      <c r="E14" s="198" t="n">
        <v>200</v>
      </c>
      <c r="F14" s="198" t="n">
        <v>284</v>
      </c>
      <c r="G14" s="198" t="n">
        <v>470</v>
      </c>
      <c r="H14" s="198" t="n">
        <v>416</v>
      </c>
      <c r="I14" s="198" t="n">
        <v>416</v>
      </c>
    </row>
    <row r="15" ht="15" customHeight="1" s="67">
      <c r="A15" s="200" t="inlineStr">
        <is>
          <t>Profit before tax</t>
        </is>
      </c>
      <c r="B15" s="201">
        <f>B12+B13-B14</f>
        <v/>
      </c>
      <c r="C15" s="201">
        <f>C12+C13-C14</f>
        <v/>
      </c>
      <c r="D15" s="201">
        <f>D12+D13-D14</f>
        <v/>
      </c>
      <c r="E15" s="201">
        <f>E12+E13-E14</f>
        <v/>
      </c>
      <c r="F15" s="201">
        <f>F12+F13-F14</f>
        <v/>
      </c>
      <c r="G15" s="201">
        <f>G12+G13-G14</f>
        <v/>
      </c>
      <c r="H15" s="201">
        <f>H12+H13-H14</f>
        <v/>
      </c>
      <c r="I15" s="201">
        <f>I12+I13-I14</f>
        <v/>
      </c>
      <c r="J15" s="173" t="n"/>
    </row>
    <row r="16" ht="15" customHeight="1" s="67">
      <c r="A16" s="184" t="inlineStr">
        <is>
          <t>Tax</t>
        </is>
      </c>
      <c r="B16" s="186">
        <f>B15-B17</f>
        <v/>
      </c>
      <c r="C16" s="186">
        <f>C15-C17</f>
        <v/>
      </c>
      <c r="D16" s="186">
        <f>D15-D17</f>
        <v/>
      </c>
      <c r="E16" s="186">
        <f>E15-E17</f>
        <v/>
      </c>
      <c r="F16" s="186">
        <f>F15-F17</f>
        <v/>
      </c>
      <c r="G16" s="186">
        <f>G15-G17</f>
        <v/>
      </c>
      <c r="H16" s="186">
        <f>H15-H17</f>
        <v/>
      </c>
      <c r="I16" s="186">
        <f>I15-I17</f>
        <v/>
      </c>
    </row>
    <row r="17" ht="15" customHeight="1" s="67">
      <c r="A17" s="200" t="inlineStr">
        <is>
          <t>Profit after tax</t>
        </is>
      </c>
      <c r="B17" s="203" t="n">
        <v>15410</v>
      </c>
      <c r="C17" s="203" t="n">
        <v>16639</v>
      </c>
      <c r="D17" s="203" t="n">
        <v>19423</v>
      </c>
      <c r="E17" s="203" t="n">
        <v>22146</v>
      </c>
      <c r="F17" s="203" t="n">
        <v>24108</v>
      </c>
      <c r="G17" s="203" t="n">
        <v>26248</v>
      </c>
      <c r="H17" s="203" t="n">
        <v>26750</v>
      </c>
      <c r="I17" s="203" t="n">
        <v>29474</v>
      </c>
      <c r="J17" s="173" t="n"/>
    </row>
    <row r="18" ht="15" customHeight="1" s="67">
      <c r="A18" s="184" t="inlineStr">
        <is>
          <t xml:space="preserve">  PAT margin (%)</t>
        </is>
      </c>
      <c r="B18" s="202">
        <f>B17/B6</f>
        <v/>
      </c>
      <c r="C18" s="202">
        <f>C17/C6</f>
        <v/>
      </c>
      <c r="D18" s="202">
        <f>D17/D6</f>
        <v/>
      </c>
      <c r="E18" s="202">
        <f>E17/E6</f>
        <v/>
      </c>
      <c r="F18" s="202">
        <f>F17/F6</f>
        <v/>
      </c>
      <c r="G18" s="202">
        <f>G17/G6</f>
        <v/>
      </c>
      <c r="H18" s="202">
        <f>H17/H6</f>
        <v/>
      </c>
      <c r="I18" s="202">
        <f>I17/I6</f>
        <v/>
      </c>
    </row>
    <row r="19" ht="15" customHeight="1" s="67">
      <c r="A19" s="181" t="inlineStr">
        <is>
          <t>EPS (₹)</t>
        </is>
      </c>
      <c r="B19" s="185" t="n">
        <v>35.26</v>
      </c>
      <c r="C19" s="185" t="n">
        <v>38.96</v>
      </c>
      <c r="D19" s="185" t="n">
        <v>45.42</v>
      </c>
      <c r="E19" s="185" t="n">
        <v>52.56</v>
      </c>
      <c r="F19" s="185" t="n">
        <v>58.08</v>
      </c>
      <c r="G19" s="185" t="n">
        <v>63.2</v>
      </c>
      <c r="H19" s="185" t="n">
        <v>64.31999999999999</v>
      </c>
      <c r="I19" s="185" t="n">
        <v>72.59</v>
      </c>
      <c r="J19" s="167" t="n"/>
    </row>
    <row r="20" ht="15" customHeight="1" s="67">
      <c r="A20" s="184" t="inlineStr">
        <is>
          <t>Dividend payout (%)</t>
        </is>
      </c>
      <c r="B20" s="204" t="n">
        <v>0.6</v>
      </c>
      <c r="C20" s="204" t="n">
        <v>0.45</v>
      </c>
      <c r="D20" s="204" t="n">
        <v>0.59</v>
      </c>
      <c r="E20" s="204" t="n">
        <v>0.59</v>
      </c>
      <c r="F20" s="204" t="n">
        <v>0.58</v>
      </c>
      <c r="G20" s="204" t="n">
        <v>0.73</v>
      </c>
      <c r="H20" s="204" t="n">
        <v>0.67</v>
      </c>
      <c r="I20" s="204" t="n">
        <v>0.66</v>
      </c>
    </row>
    <row r="21">
      <c r="A21" s="89" t="n"/>
      <c r="B21" s="89" t="n"/>
      <c r="C21" s="89" t="n"/>
      <c r="D21" s="89" t="n"/>
      <c r="E21" s="89" t="n"/>
      <c r="F21" s="89" t="n"/>
      <c r="G21" s="89" t="n"/>
      <c r="H21" s="89" t="n"/>
      <c r="I21" s="89" t="n"/>
    </row>
    <row r="22" ht="15" customHeight="1" s="67">
      <c r="A22" s="182" t="inlineStr">
        <is>
          <t>Balance Sheet</t>
        </is>
      </c>
      <c r="B22" s="181" t="n"/>
      <c r="C22" s="181" t="n"/>
      <c r="D22" s="181" t="n"/>
      <c r="E22" s="181" t="n"/>
      <c r="F22" s="181" t="n"/>
      <c r="G22" s="181" t="n"/>
      <c r="H22" s="181" t="n"/>
      <c r="I22" s="181" t="n"/>
      <c r="J22" s="166" t="n"/>
    </row>
    <row r="23" ht="15" customHeight="1" s="67">
      <c r="A23" s="184" t="inlineStr">
        <is>
          <t>Equity share capital</t>
        </is>
      </c>
      <c r="B23" s="198" t="n">
        <v>2170</v>
      </c>
      <c r="C23" s="198" t="n">
        <v>2122</v>
      </c>
      <c r="D23" s="198" t="n">
        <v>2124</v>
      </c>
      <c r="E23" s="198" t="n">
        <v>2098</v>
      </c>
      <c r="F23" s="198" t="n">
        <v>2069</v>
      </c>
      <c r="G23" s="198" t="n">
        <v>2071</v>
      </c>
      <c r="H23" s="198" t="n">
        <v>2073</v>
      </c>
      <c r="I23" s="198" t="n">
        <v>2024</v>
      </c>
    </row>
    <row r="24" ht="15" customHeight="1" s="67">
      <c r="A24" s="181" t="inlineStr">
        <is>
          <t>Reserves &amp; surplus</t>
        </is>
      </c>
      <c r="B24" s="187" t="n">
        <v>62778</v>
      </c>
      <c r="C24" s="187" t="n">
        <v>63328</v>
      </c>
      <c r="D24" s="187" t="n">
        <v>74227</v>
      </c>
      <c r="E24" s="187" t="n">
        <v>73252</v>
      </c>
      <c r="F24" s="187" t="n">
        <v>73338</v>
      </c>
      <c r="G24" s="187" t="n">
        <v>86045</v>
      </c>
      <c r="H24" s="187" t="n">
        <v>93745</v>
      </c>
      <c r="I24" s="187" t="n">
        <v>90828</v>
      </c>
      <c r="J24" s="167" t="n"/>
    </row>
    <row r="25" ht="15" customHeight="1" s="67">
      <c r="A25" s="188" t="inlineStr">
        <is>
          <t>Net worth</t>
        </is>
      </c>
      <c r="B25" s="205">
        <f>B23+B24</f>
        <v/>
      </c>
      <c r="C25" s="205">
        <f>C23+C24</f>
        <v/>
      </c>
      <c r="D25" s="205">
        <f>D23+D24</f>
        <v/>
      </c>
      <c r="E25" s="205">
        <f>E23+E24</f>
        <v/>
      </c>
      <c r="F25" s="205">
        <f>F23+F24</f>
        <v/>
      </c>
      <c r="G25" s="205">
        <f>G23+G24</f>
        <v/>
      </c>
      <c r="H25" s="205">
        <f>H23+H24</f>
        <v/>
      </c>
      <c r="I25" s="205">
        <f>I23+I24</f>
        <v/>
      </c>
    </row>
    <row r="26" ht="15" customHeight="1" s="67">
      <c r="A26" s="181" t="inlineStr">
        <is>
          <t>Borrowings (incl. lease liabilities)</t>
        </is>
      </c>
      <c r="B26" s="187" t="n">
        <v>0</v>
      </c>
      <c r="C26" s="187" t="n">
        <v>4633</v>
      </c>
      <c r="D26" s="187" t="n">
        <v>5325</v>
      </c>
      <c r="E26" s="187" t="n">
        <v>5474</v>
      </c>
      <c r="F26" s="187" t="n">
        <v>8299</v>
      </c>
      <c r="G26" s="187" t="n">
        <v>8359</v>
      </c>
      <c r="H26" s="187" t="n">
        <v>8227</v>
      </c>
      <c r="I26" s="187" t="n">
        <v>9176</v>
      </c>
      <c r="J26" s="167" t="n"/>
    </row>
    <row r="27" ht="15" customHeight="1" s="67">
      <c r="A27" s="184" t="inlineStr">
        <is>
          <t>Other liabilities &amp; provisions</t>
        </is>
      </c>
      <c r="B27" s="198" t="n">
        <v>19118</v>
      </c>
      <c r="C27" s="198" t="n">
        <v>21717</v>
      </c>
      <c r="D27" s="198" t="n">
        <v>25835</v>
      </c>
      <c r="E27" s="198" t="n">
        <v>35905</v>
      </c>
      <c r="F27" s="198" t="n">
        <v>40890</v>
      </c>
      <c r="G27" s="198" t="n">
        <v>40885</v>
      </c>
      <c r="H27" s="198" t="n">
        <v>43750</v>
      </c>
      <c r="I27" s="198" t="n">
        <v>53939</v>
      </c>
    </row>
    <row r="28" ht="15" customHeight="1" s="67">
      <c r="A28" s="200" t="inlineStr">
        <is>
          <t>Total equity &amp; liabilities</t>
        </is>
      </c>
      <c r="B28" s="201">
        <f>B25+B26+B27</f>
        <v/>
      </c>
      <c r="C28" s="201">
        <f>C25+C26+C27</f>
        <v/>
      </c>
      <c r="D28" s="201">
        <f>D25+D26+D27</f>
        <v/>
      </c>
      <c r="E28" s="201">
        <f>E25+E26+E27</f>
        <v/>
      </c>
      <c r="F28" s="201">
        <f>F25+F26+F27</f>
        <v/>
      </c>
      <c r="G28" s="201">
        <f>G25+G26+G27</f>
        <v/>
      </c>
      <c r="H28" s="201">
        <f>H25+H26+H27</f>
        <v/>
      </c>
      <c r="I28" s="201">
        <f>I25+I26+I27</f>
        <v/>
      </c>
      <c r="J28" s="173" t="n"/>
    </row>
    <row r="29" ht="15" customHeight="1" s="67">
      <c r="A29" s="184" t="inlineStr">
        <is>
          <t>Fixed assets (net)</t>
        </is>
      </c>
      <c r="B29" s="198" t="n">
        <v>15710</v>
      </c>
      <c r="C29" s="198" t="n">
        <v>23789</v>
      </c>
      <c r="D29" s="198" t="n">
        <v>25505</v>
      </c>
      <c r="E29" s="198" t="n">
        <v>25800</v>
      </c>
      <c r="F29" s="198" t="n">
        <v>29225</v>
      </c>
      <c r="G29" s="198" t="n">
        <v>27622</v>
      </c>
      <c r="H29" s="198" t="n">
        <v>30961</v>
      </c>
      <c r="I29" s="198" t="n">
        <v>33770</v>
      </c>
    </row>
    <row r="30" ht="15" customHeight="1" s="67">
      <c r="A30" s="181" t="inlineStr">
        <is>
          <t>Capital work-in-progress</t>
        </is>
      </c>
      <c r="B30" s="187" t="n">
        <v>1388</v>
      </c>
      <c r="C30" s="187" t="n">
        <v>954</v>
      </c>
      <c r="D30" s="187" t="n">
        <v>922</v>
      </c>
      <c r="E30" s="187" t="n">
        <v>416</v>
      </c>
      <c r="F30" s="187" t="n">
        <v>288</v>
      </c>
      <c r="G30" s="187" t="n">
        <v>293</v>
      </c>
      <c r="H30" s="187" t="n">
        <v>814</v>
      </c>
      <c r="I30" s="187" t="n">
        <v>526</v>
      </c>
      <c r="J30" s="167" t="n"/>
    </row>
    <row r="31" ht="15" customHeight="1" s="67">
      <c r="A31" s="184" t="inlineStr">
        <is>
          <t>Investments</t>
        </is>
      </c>
      <c r="B31" s="198" t="n">
        <v>11261</v>
      </c>
      <c r="C31" s="198" t="n">
        <v>8792</v>
      </c>
      <c r="D31" s="198" t="n">
        <v>14205</v>
      </c>
      <c r="E31" s="198" t="n">
        <v>20324</v>
      </c>
      <c r="F31" s="198" t="n">
        <v>19478</v>
      </c>
      <c r="G31" s="198" t="n">
        <v>24623</v>
      </c>
      <c r="H31" s="198" t="n">
        <v>23541</v>
      </c>
      <c r="I31" s="198" t="n">
        <v>21880</v>
      </c>
    </row>
    <row r="32" ht="15" customHeight="1" s="67">
      <c r="A32" s="181" t="inlineStr">
        <is>
          <t>Other assets (incl. cash, receivables)</t>
        </is>
      </c>
      <c r="B32" s="187" t="n">
        <v>55707</v>
      </c>
      <c r="C32" s="187" t="n">
        <v>58265</v>
      </c>
      <c r="D32" s="187" t="n">
        <v>66879</v>
      </c>
      <c r="E32" s="187" t="n">
        <v>70189</v>
      </c>
      <c r="F32" s="187" t="n">
        <v>75605</v>
      </c>
      <c r="G32" s="187" t="n">
        <v>84822</v>
      </c>
      <c r="H32" s="187" t="n">
        <v>92479</v>
      </c>
      <c r="I32" s="187" t="n">
        <v>99791</v>
      </c>
      <c r="J32" s="167" t="n"/>
    </row>
    <row r="33" ht="15" customHeight="1" s="67">
      <c r="A33" s="200" t="inlineStr">
        <is>
          <t>Total assets</t>
        </is>
      </c>
      <c r="B33" s="201">
        <f>SUM(B29:B32)</f>
        <v/>
      </c>
      <c r="C33" s="201">
        <f>SUM(C29:C32)</f>
        <v/>
      </c>
      <c r="D33" s="201">
        <f>SUM(D29:D32)</f>
        <v/>
      </c>
      <c r="E33" s="201">
        <f>SUM(E29:E32)</f>
        <v/>
      </c>
      <c r="F33" s="201">
        <f>SUM(F29:F32)</f>
        <v/>
      </c>
      <c r="G33" s="201">
        <f>SUM(G29:G32)</f>
        <v/>
      </c>
      <c r="H33" s="201">
        <f>SUM(H29:H32)</f>
        <v/>
      </c>
      <c r="I33" s="201">
        <f>SUM(I29:I32)</f>
        <v/>
      </c>
      <c r="J33" s="120" t="n"/>
    </row>
    <row r="34" ht="15" customHeight="1" s="67">
      <c r="A34" s="181" t="inlineStr">
        <is>
          <t>Balance check (must be ~0)</t>
        </is>
      </c>
      <c r="B34" s="206">
        <f>B28-B33</f>
        <v/>
      </c>
      <c r="C34" s="206">
        <f>C28-C33</f>
        <v/>
      </c>
      <c r="D34" s="206">
        <f>D28-D33</f>
        <v/>
      </c>
      <c r="E34" s="206">
        <f>E28-E33</f>
        <v/>
      </c>
      <c r="F34" s="206">
        <f>F28-F33</f>
        <v/>
      </c>
      <c r="G34" s="206">
        <f>G28-G33</f>
        <v/>
      </c>
      <c r="H34" s="206">
        <f>H28-H33</f>
        <v/>
      </c>
      <c r="I34" s="206">
        <f>I28-I33</f>
        <v/>
      </c>
      <c r="J34" s="167" t="n"/>
    </row>
    <row r="35">
      <c r="A35" s="89" t="n"/>
      <c r="B35" s="89" t="n"/>
      <c r="C35" s="89" t="n"/>
      <c r="D35" s="89" t="n"/>
      <c r="E35" s="89" t="n"/>
      <c r="F35" s="89" t="n"/>
      <c r="G35" s="89" t="n"/>
      <c r="H35" s="89" t="n"/>
      <c r="I35" s="89" t="n"/>
    </row>
    <row r="36" ht="15" customHeight="1" s="67">
      <c r="A36" s="182" t="inlineStr">
        <is>
          <t>Cash Flow Statement</t>
        </is>
      </c>
      <c r="B36" s="181" t="n"/>
      <c r="C36" s="181" t="n"/>
      <c r="D36" s="181" t="n"/>
      <c r="E36" s="181" t="n"/>
      <c r="F36" s="181" t="n"/>
      <c r="G36" s="181" t="n"/>
      <c r="H36" s="181" t="n"/>
      <c r="I36" s="181" t="n"/>
      <c r="J36" s="166" t="n"/>
    </row>
    <row r="37" ht="15" customHeight="1" s="67">
      <c r="A37" s="184" t="inlineStr">
        <is>
          <t>Cash flow from operations</t>
        </is>
      </c>
      <c r="B37" s="198" t="n">
        <v>14841</v>
      </c>
      <c r="C37" s="198" t="n">
        <v>17003</v>
      </c>
      <c r="D37" s="198" t="n">
        <v>23224</v>
      </c>
      <c r="E37" s="198" t="n">
        <v>23885</v>
      </c>
      <c r="F37" s="198" t="n">
        <v>22467</v>
      </c>
      <c r="G37" s="198" t="n">
        <v>25210</v>
      </c>
      <c r="H37" s="198" t="n">
        <v>35694</v>
      </c>
      <c r="I37" s="198" t="n">
        <v>33986</v>
      </c>
    </row>
    <row r="38" ht="15" customHeight="1" s="67">
      <c r="A38" s="181" t="inlineStr">
        <is>
          <t>Cash flow from investing</t>
        </is>
      </c>
      <c r="B38" s="187" t="n">
        <v>-632</v>
      </c>
      <c r="C38" s="187" t="n">
        <v>-331</v>
      </c>
      <c r="D38" s="187" t="n">
        <v>-7373</v>
      </c>
      <c r="E38" s="187" t="n">
        <v>-6485</v>
      </c>
      <c r="F38" s="187" t="n">
        <v>-1071</v>
      </c>
      <c r="G38" s="187" t="n">
        <v>-5093</v>
      </c>
      <c r="H38" s="187" t="n">
        <v>-1864</v>
      </c>
      <c r="I38" s="187" t="n">
        <v>1946</v>
      </c>
      <c r="J38" s="167" t="n"/>
    </row>
    <row r="39" ht="15" customHeight="1" s="67">
      <c r="A39" s="184" t="inlineStr">
        <is>
          <t>Cash flow from financing</t>
        </is>
      </c>
      <c r="B39" s="198" t="n">
        <v>-14512</v>
      </c>
      <c r="C39" s="198" t="n">
        <v>-17591</v>
      </c>
      <c r="D39" s="198" t="n">
        <v>-9786</v>
      </c>
      <c r="E39" s="198" t="n">
        <v>-24642</v>
      </c>
      <c r="F39" s="198" t="n">
        <v>-26695</v>
      </c>
      <c r="G39" s="198" t="n">
        <v>-17504</v>
      </c>
      <c r="H39" s="198" t="n">
        <v>-24161</v>
      </c>
      <c r="I39" s="198" t="n">
        <v>-39786</v>
      </c>
    </row>
    <row r="40" ht="15" customHeight="1" s="67">
      <c r="A40" s="200" t="inlineStr">
        <is>
          <t>Net change in cash</t>
        </is>
      </c>
      <c r="B40" s="201">
        <f>SUM(B37:B39)</f>
        <v/>
      </c>
      <c r="C40" s="201">
        <f>SUM(C37:C39)</f>
        <v/>
      </c>
      <c r="D40" s="201">
        <f>SUM(D37:D39)</f>
        <v/>
      </c>
      <c r="E40" s="201">
        <f>SUM(E37:E39)</f>
        <v/>
      </c>
      <c r="F40" s="201">
        <f>SUM(F37:F39)</f>
        <v/>
      </c>
      <c r="G40" s="201">
        <f>SUM(G37:G39)</f>
        <v/>
      </c>
      <c r="H40" s="201">
        <f>SUM(H37:H39)</f>
        <v/>
      </c>
      <c r="I40" s="201">
        <f>SUM(I37:I39)</f>
        <v/>
      </c>
      <c r="J40" s="173" t="n"/>
    </row>
    <row r="41" ht="15" customHeight="1" s="67">
      <c r="A41" s="200" t="inlineStr">
        <is>
          <t>Free cash flow (CFO − capex)</t>
        </is>
      </c>
      <c r="B41" s="203" t="n">
        <v>12396</v>
      </c>
      <c r="C41" s="203" t="n">
        <v>13696</v>
      </c>
      <c r="D41" s="203" t="n">
        <v>21117</v>
      </c>
      <c r="E41" s="203" t="n">
        <v>21724</v>
      </c>
      <c r="F41" s="203" t="n">
        <v>19888</v>
      </c>
      <c r="G41" s="203" t="n">
        <v>23009</v>
      </c>
      <c r="H41" s="203" t="n">
        <v>33457</v>
      </c>
      <c r="I41" s="203" t="n">
        <v>31259</v>
      </c>
      <c r="J41" s="120" t="n"/>
    </row>
    <row r="42" ht="15" customHeight="1" s="67">
      <c r="A42" s="181" t="inlineStr">
        <is>
          <t xml:space="preserve">  FCF conversion (% of PAT)</t>
        </is>
      </c>
      <c r="B42" s="199">
        <f>B41/B17</f>
        <v/>
      </c>
      <c r="C42" s="199">
        <f>C41/C17</f>
        <v/>
      </c>
      <c r="D42" s="199">
        <f>D41/D17</f>
        <v/>
      </c>
      <c r="E42" s="199">
        <f>E41/E17</f>
        <v/>
      </c>
      <c r="F42" s="199">
        <f>F41/F17</f>
        <v/>
      </c>
      <c r="G42" s="199">
        <f>G41/G17</f>
        <v/>
      </c>
      <c r="H42" s="199">
        <f>H41/H17</f>
        <v/>
      </c>
      <c r="I42" s="199">
        <f>I41/I17</f>
        <v/>
      </c>
      <c r="J42" s="16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7CC3"/>
    <outlinePr summaryBelow="1" summaryRight="1"/>
    <pageSetUpPr fitToPage="0"/>
  </sheetPr>
  <dimension ref="A1: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2" customWidth="1" style="66" min="1" max="1"/>
    <col width="13" customWidth="1" style="66" min="2" max="13"/>
    <col width="13" customWidth="1" style="67" min="3" max="3"/>
    <col width="13" customWidth="1" style="67" min="4" max="4"/>
    <col width="13" customWidth="1" style="67" min="5" max="5"/>
    <col width="13" customWidth="1" style="67" min="6" max="6"/>
    <col width="13" customWidth="1" style="67" min="7" max="7"/>
    <col width="13" customWidth="1" style="67" min="8" max="8"/>
  </cols>
  <sheetData>
    <row r="1" ht="24" customHeight="1" s="67">
      <c r="A1" s="179" t="inlineStr">
        <is>
          <t>Infosys Ltd — 5-Year Operating Forecast &amp; FCFF Build</t>
        </is>
      </c>
      <c r="B1" s="180" t="n"/>
      <c r="C1" s="180" t="n"/>
      <c r="D1" s="180" t="n"/>
      <c r="E1" s="180" t="n"/>
      <c r="F1" s="180" t="n"/>
      <c r="G1" s="180" t="n"/>
      <c r="H1" s="163" t="n"/>
    </row>
    <row r="2" ht="3" customHeight="1" s="67">
      <c r="A2" s="181" t="n"/>
      <c r="B2" s="181" t="n"/>
      <c r="C2" s="181" t="n"/>
      <c r="D2" s="181" t="n"/>
      <c r="E2" s="181" t="n"/>
      <c r="F2" s="181" t="n"/>
      <c r="G2" s="181" t="n"/>
      <c r="H2" s="167" t="n"/>
    </row>
    <row r="3" ht="15" customHeight="1" s="67">
      <c r="A3" s="182" t="inlineStr">
        <is>
          <t>₹ Crore. Drivers feed from Assumptions sheet.</t>
        </is>
      </c>
      <c r="B3" s="183" t="n"/>
      <c r="C3" s="183" t="n"/>
      <c r="D3" s="183" t="n"/>
      <c r="E3" s="183" t="n"/>
      <c r="F3" s="183" t="n"/>
      <c r="G3" s="183" t="n"/>
    </row>
    <row r="4" ht="15" customHeight="1" s="67">
      <c r="A4" s="207" t="inlineStr">
        <is>
          <t>Fiscal Year (ends March)</t>
        </is>
      </c>
      <c r="B4" s="208" t="inlineStr">
        <is>
          <t>FY2026A</t>
        </is>
      </c>
      <c r="C4" s="208" t="inlineStr">
        <is>
          <t>FY2027E</t>
        </is>
      </c>
      <c r="D4" s="208" t="inlineStr">
        <is>
          <t>FY2028E</t>
        </is>
      </c>
      <c r="E4" s="208" t="inlineStr">
        <is>
          <t>FY2029E</t>
        </is>
      </c>
      <c r="F4" s="208" t="inlineStr">
        <is>
          <t>FY2030E</t>
        </is>
      </c>
      <c r="G4" s="208" t="inlineStr">
        <is>
          <t>FY2031E</t>
        </is>
      </c>
      <c r="H4" s="165" t="n"/>
    </row>
    <row r="5" ht="15" customHeight="1" s="67">
      <c r="A5" s="182" t="inlineStr">
        <is>
          <t>Revenue</t>
        </is>
      </c>
      <c r="B5" s="209">
        <f>Historical!I6</f>
        <v/>
      </c>
      <c r="C5" s="210">
        <f>B5*(1+Assumptions!B13)</f>
        <v/>
      </c>
      <c r="D5" s="210">
        <f>C5*(1+Assumptions!C13)</f>
        <v/>
      </c>
      <c r="E5" s="210">
        <f>D5*(1+Assumptions!D13)</f>
        <v/>
      </c>
      <c r="F5" s="210">
        <f>E5*(1+Assumptions!E13)</f>
        <v/>
      </c>
      <c r="G5" s="210">
        <f>F5*(1+Assumptions!F13)</f>
        <v/>
      </c>
    </row>
    <row r="6" ht="15" customHeight="1" s="67">
      <c r="A6" s="181" t="inlineStr">
        <is>
          <t xml:space="preserve">  Revenue growth (%)</t>
        </is>
      </c>
      <c r="B6" s="181" t="n"/>
      <c r="C6" s="199">
        <f>C5/B5-1</f>
        <v/>
      </c>
      <c r="D6" s="199">
        <f>D5/C5-1</f>
        <v/>
      </c>
      <c r="E6" s="199">
        <f>E5/D5-1</f>
        <v/>
      </c>
      <c r="F6" s="199">
        <f>F5/E5-1</f>
        <v/>
      </c>
      <c r="G6" s="199">
        <f>G5/F5-1</f>
        <v/>
      </c>
      <c r="H6" s="167" t="n"/>
    </row>
    <row r="7" ht="15" customHeight="1" s="67">
      <c r="A7" s="200" t="inlineStr">
        <is>
          <t>EBITDA</t>
        </is>
      </c>
      <c r="B7" s="211">
        <f>Historical!I9</f>
        <v/>
      </c>
      <c r="C7" s="201">
        <f>C5*Assumptions!B14</f>
        <v/>
      </c>
      <c r="D7" s="201">
        <f>D5*Assumptions!C14</f>
        <v/>
      </c>
      <c r="E7" s="201">
        <f>E5*Assumptions!D14</f>
        <v/>
      </c>
      <c r="F7" s="201">
        <f>F5*Assumptions!E14</f>
        <v/>
      </c>
      <c r="G7" s="201">
        <f>G5*Assumptions!F14</f>
        <v/>
      </c>
    </row>
    <row r="8" ht="15" customHeight="1" s="67">
      <c r="A8" s="181" t="inlineStr">
        <is>
          <t xml:space="preserve">  EBITDA margin (%)</t>
        </is>
      </c>
      <c r="B8" s="199">
        <f>B7/B5</f>
        <v/>
      </c>
      <c r="C8" s="199">
        <f>C7/C5</f>
        <v/>
      </c>
      <c r="D8" s="199">
        <f>D7/D5</f>
        <v/>
      </c>
      <c r="E8" s="199">
        <f>E7/E5</f>
        <v/>
      </c>
      <c r="F8" s="199">
        <f>F7/F5</f>
        <v/>
      </c>
      <c r="G8" s="199">
        <f>G7/G5</f>
        <v/>
      </c>
      <c r="H8" s="167" t="n"/>
    </row>
    <row r="9" ht="15" customHeight="1" s="67">
      <c r="A9" s="181" t="inlineStr">
        <is>
          <t>Less: Depreciation &amp; amortisation</t>
        </is>
      </c>
      <c r="B9" s="183" t="n"/>
      <c r="C9" s="206">
        <f>C5*Assumptions!$B$15</f>
        <v/>
      </c>
      <c r="D9" s="206">
        <f>D5*Assumptions!$B$15</f>
        <v/>
      </c>
      <c r="E9" s="206">
        <f>E5*Assumptions!$B$15</f>
        <v/>
      </c>
      <c r="F9" s="206">
        <f>F5*Assumptions!$B$15</f>
        <v/>
      </c>
      <c r="G9" s="206">
        <f>G5*Assumptions!$B$15</f>
        <v/>
      </c>
    </row>
    <row r="10" ht="15" customHeight="1" s="67">
      <c r="A10" s="200" t="inlineStr">
        <is>
          <t>EBIT</t>
        </is>
      </c>
      <c r="B10" s="200" t="n"/>
      <c r="C10" s="201">
        <f>C7-C9</f>
        <v/>
      </c>
      <c r="D10" s="201">
        <f>D7-D9</f>
        <v/>
      </c>
      <c r="E10" s="201">
        <f>E7-E9</f>
        <v/>
      </c>
      <c r="F10" s="201">
        <f>F7-F9</f>
        <v/>
      </c>
      <c r="G10" s="201">
        <f>G7-G9</f>
        <v/>
      </c>
      <c r="H10" s="173" t="n"/>
    </row>
    <row r="11" ht="15" customHeight="1" s="67">
      <c r="A11" s="200" t="inlineStr">
        <is>
          <t>Less: Tax on EBIT</t>
        </is>
      </c>
      <c r="B11" s="212" t="n"/>
      <c r="C11" s="201">
        <f>C10*Assumptions!$B$17</f>
        <v/>
      </c>
      <c r="D11" s="201">
        <f>D10*Assumptions!$B$17</f>
        <v/>
      </c>
      <c r="E11" s="201">
        <f>E10*Assumptions!$B$17</f>
        <v/>
      </c>
      <c r="F11" s="201">
        <f>F10*Assumptions!$B$17</f>
        <v/>
      </c>
      <c r="G11" s="201">
        <f>G10*Assumptions!$B$17</f>
        <v/>
      </c>
    </row>
    <row r="12" ht="15" customHeight="1" s="67">
      <c r="A12" s="181" t="inlineStr">
        <is>
          <t>NOPAT</t>
        </is>
      </c>
      <c r="B12" s="181" t="n"/>
      <c r="C12" s="206">
        <f>C10-C11</f>
        <v/>
      </c>
      <c r="D12" s="206">
        <f>D10-D11</f>
        <v/>
      </c>
      <c r="E12" s="206">
        <f>E10-E11</f>
        <v/>
      </c>
      <c r="F12" s="206">
        <f>F10-F11</f>
        <v/>
      </c>
      <c r="G12" s="206">
        <f>G10-G11</f>
        <v/>
      </c>
      <c r="H12" s="167" t="n"/>
    </row>
    <row r="13" ht="15" customHeight="1" s="67">
      <c r="A13" s="181" t="inlineStr">
        <is>
          <t>Add: Depreciation &amp; amortisation</t>
        </is>
      </c>
      <c r="B13" s="183" t="n"/>
      <c r="C13" s="206">
        <f>C9</f>
        <v/>
      </c>
      <c r="D13" s="206">
        <f>D9</f>
        <v/>
      </c>
      <c r="E13" s="206">
        <f>E9</f>
        <v/>
      </c>
      <c r="F13" s="206">
        <f>F9</f>
        <v/>
      </c>
      <c r="G13" s="206">
        <f>G9</f>
        <v/>
      </c>
    </row>
    <row r="14" ht="15" customHeight="1" s="67">
      <c r="A14" s="181" t="inlineStr">
        <is>
          <t>Less: Capex</t>
        </is>
      </c>
      <c r="B14" s="181" t="n"/>
      <c r="C14" s="206">
        <f>C5*Assumptions!$B$16</f>
        <v/>
      </c>
      <c r="D14" s="206">
        <f>D5*Assumptions!$B$16</f>
        <v/>
      </c>
      <c r="E14" s="206">
        <f>E5*Assumptions!$B$16</f>
        <v/>
      </c>
      <c r="F14" s="206">
        <f>F5*Assumptions!$B$16</f>
        <v/>
      </c>
      <c r="G14" s="206">
        <f>G5*Assumptions!$B$16</f>
        <v/>
      </c>
      <c r="H14" s="167" t="n"/>
    </row>
    <row r="15" ht="15" customHeight="1" s="67">
      <c r="A15" s="181" t="inlineStr">
        <is>
          <t>Less: Increase in working capital</t>
        </is>
      </c>
      <c r="B15" s="183" t="n"/>
      <c r="C15" s="206">
        <f>(C5-B5)*Assumptions!$B$18</f>
        <v/>
      </c>
      <c r="D15" s="206">
        <f>(D5-C5)*Assumptions!$B$18</f>
        <v/>
      </c>
      <c r="E15" s="206">
        <f>(E5-D5)*Assumptions!$B$18</f>
        <v/>
      </c>
      <c r="F15" s="206">
        <f>(F5-E5)*Assumptions!$B$18</f>
        <v/>
      </c>
      <c r="G15" s="206">
        <f>(G5-F5)*Assumptions!$B$18</f>
        <v/>
      </c>
    </row>
    <row r="16" ht="15" customHeight="1" s="67">
      <c r="A16" s="200" t="inlineStr">
        <is>
          <t>Free cash flow to firm (FCFF)</t>
        </is>
      </c>
      <c r="B16" s="200" t="n"/>
      <c r="C16" s="201">
        <f>C12+C13-C14-C15</f>
        <v/>
      </c>
      <c r="D16" s="201">
        <f>D12+D13-D14-D15</f>
        <v/>
      </c>
      <c r="E16" s="201">
        <f>E12+E13-E14-E15</f>
        <v/>
      </c>
      <c r="F16" s="201">
        <f>F12+F13-F14-F15</f>
        <v/>
      </c>
      <c r="G16" s="201">
        <f>G12+G13-G14-G15</f>
        <v/>
      </c>
      <c r="H16" s="17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007CC3"/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6" min="1" max="1"/>
    <col width="13" customWidth="1" style="66" min="2" max="13"/>
    <col width="13" customWidth="1" style="67" min="3" max="3"/>
    <col width="13" customWidth="1" style="67" min="4" max="4"/>
    <col width="13" customWidth="1" style="67" min="5" max="5"/>
    <col width="13" customWidth="1" style="67" min="6" max="6"/>
    <col width="13" customWidth="1" style="67" min="7" max="7"/>
    <col width="13" customWidth="1" style="67" min="8" max="8"/>
  </cols>
  <sheetData>
    <row r="1" ht="24" customHeight="1" s="67">
      <c r="A1" s="179" t="inlineStr">
        <is>
          <t>Infosys Ltd — Discounted Cash Flow Valuation</t>
        </is>
      </c>
      <c r="B1" s="180" t="n"/>
      <c r="C1" s="180" t="n"/>
      <c r="D1" s="180" t="n"/>
      <c r="E1" s="180" t="n"/>
      <c r="F1" s="180" t="n"/>
      <c r="G1" s="163" t="n"/>
      <c r="H1" s="163" t="n"/>
    </row>
    <row r="2" ht="3" customHeight="1" s="67">
      <c r="A2" s="181" t="n"/>
      <c r="B2" s="181" t="n"/>
      <c r="C2" s="181" t="n"/>
      <c r="D2" s="181" t="n"/>
      <c r="E2" s="181" t="n"/>
      <c r="F2" s="181" t="n"/>
      <c r="G2" s="167" t="n"/>
      <c r="H2" s="167" t="n"/>
    </row>
    <row r="3" ht="15" customHeight="1" s="67">
      <c r="A3" s="182" t="inlineStr">
        <is>
          <t>₹ Crore unless stated. WACC and terminal growth from Assumptions.</t>
        </is>
      </c>
      <c r="B3" s="183" t="n"/>
      <c r="C3" s="183" t="n"/>
      <c r="D3" s="183" t="n"/>
      <c r="E3" s="183" t="n"/>
      <c r="F3" s="183" t="n"/>
    </row>
    <row r="4" ht="15" customHeight="1" s="67">
      <c r="A4" s="207" t="inlineStr">
        <is>
          <t>Fiscal Year (ends March)</t>
        </is>
      </c>
      <c r="B4" s="208" t="inlineStr">
        <is>
          <t>FY2027E</t>
        </is>
      </c>
      <c r="C4" s="208" t="inlineStr">
        <is>
          <t>FY2028E</t>
        </is>
      </c>
      <c r="D4" s="208" t="inlineStr">
        <is>
          <t>FY2029E</t>
        </is>
      </c>
      <c r="E4" s="208" t="inlineStr">
        <is>
          <t>FY2030E</t>
        </is>
      </c>
      <c r="F4" s="208" t="inlineStr">
        <is>
          <t>FY2031E</t>
        </is>
      </c>
      <c r="G4" s="165" t="n"/>
      <c r="H4" s="165" t="n"/>
    </row>
    <row r="5" ht="15" customHeight="1" s="67">
      <c r="A5" s="182" t="inlineStr">
        <is>
          <t>FCFF</t>
        </is>
      </c>
      <c r="B5" s="209">
        <f>Forecast!C16</f>
        <v/>
      </c>
      <c r="C5" s="209">
        <f>Forecast!D16</f>
        <v/>
      </c>
      <c r="D5" s="209">
        <f>Forecast!E16</f>
        <v/>
      </c>
      <c r="E5" s="209">
        <f>Forecast!F16</f>
        <v/>
      </c>
      <c r="F5" s="209">
        <f>Forecast!G16</f>
        <v/>
      </c>
    </row>
    <row r="6" ht="15" customHeight="1" s="67">
      <c r="A6" s="181" t="inlineStr">
        <is>
          <t>Discount period (years)</t>
        </is>
      </c>
      <c r="B6" s="213" t="n">
        <v>1</v>
      </c>
      <c r="C6" s="213" t="n">
        <v>2</v>
      </c>
      <c r="D6" s="213" t="n">
        <v>3</v>
      </c>
      <c r="E6" s="213" t="n">
        <v>4</v>
      </c>
      <c r="F6" s="213" t="n">
        <v>5</v>
      </c>
      <c r="G6" s="167" t="n"/>
      <c r="H6" s="167" t="n"/>
    </row>
    <row r="7" ht="15" customHeight="1" s="67">
      <c r="A7" s="181" t="inlineStr">
        <is>
          <t>Discount factor @ WACC</t>
        </is>
      </c>
      <c r="B7" s="214">
        <f>1/(1+Assumptions!$B$25)^B6</f>
        <v/>
      </c>
      <c r="C7" s="214">
        <f>1/(1+Assumptions!$B$25)^C6</f>
        <v/>
      </c>
      <c r="D7" s="214">
        <f>1/(1+Assumptions!$B$25)^D6</f>
        <v/>
      </c>
      <c r="E7" s="214">
        <f>1/(1+Assumptions!$B$25)^E6</f>
        <v/>
      </c>
      <c r="F7" s="214">
        <f>1/(1+Assumptions!$B$25)^F6</f>
        <v/>
      </c>
    </row>
    <row r="8" ht="15" customHeight="1" s="67">
      <c r="A8" s="181" t="inlineStr">
        <is>
          <t>PV of FCFF</t>
        </is>
      </c>
      <c r="B8" s="206">
        <f>B5*B7</f>
        <v/>
      </c>
      <c r="C8" s="206">
        <f>C5*C7</f>
        <v/>
      </c>
      <c r="D8" s="206">
        <f>D5*D7</f>
        <v/>
      </c>
      <c r="E8" s="206">
        <f>E5*E7</f>
        <v/>
      </c>
      <c r="F8" s="206">
        <f>F5*F7</f>
        <v/>
      </c>
      <c r="G8" s="167" t="n"/>
      <c r="H8" s="167" t="n"/>
    </row>
    <row r="9">
      <c r="A9" s="89" t="n"/>
      <c r="B9" s="89" t="n"/>
      <c r="C9" s="89" t="n"/>
      <c r="D9" s="89" t="n"/>
      <c r="E9" s="89" t="n"/>
      <c r="F9" s="89" t="n"/>
    </row>
    <row r="10" ht="15" customHeight="1" s="67">
      <c r="A10" s="182" t="inlineStr">
        <is>
          <t>Valuation Bridge</t>
        </is>
      </c>
      <c r="B10" s="181" t="n"/>
      <c r="C10" s="181" t="n"/>
      <c r="D10" s="181" t="n"/>
      <c r="E10" s="181" t="n"/>
      <c r="F10" s="181" t="n"/>
      <c r="G10" s="166" t="n"/>
      <c r="H10" s="166" t="n"/>
    </row>
    <row r="11" ht="15" customHeight="1" s="67">
      <c r="A11" s="184" t="inlineStr">
        <is>
          <t>Sum of PV of explicit FCFF</t>
        </is>
      </c>
      <c r="B11" s="186">
        <f>SUM(B8:F8)</f>
        <v/>
      </c>
      <c r="C11" s="89" t="n"/>
      <c r="D11" s="89" t="n"/>
      <c r="E11" s="89" t="n"/>
      <c r="F11" s="89" t="n"/>
    </row>
    <row r="12" ht="15" customHeight="1" s="67">
      <c r="A12" s="181" t="inlineStr">
        <is>
          <t>Terminal value (Gordon growth)</t>
        </is>
      </c>
      <c r="B12" s="206">
        <f>F5*(1+Assumptions!B26)/(Assumptions!B25-Assumptions!B26)</f>
        <v/>
      </c>
      <c r="C12" s="183" t="n"/>
      <c r="D12" s="183" t="n"/>
      <c r="E12" s="183" t="n"/>
      <c r="F12" s="183" t="n"/>
    </row>
    <row r="13" ht="15" customHeight="1" s="67">
      <c r="A13" s="184" t="inlineStr">
        <is>
          <t>PV of terminal value</t>
        </is>
      </c>
      <c r="B13" s="186">
        <f>B12*F7</f>
        <v/>
      </c>
      <c r="C13" s="89" t="n"/>
      <c r="D13" s="89" t="n"/>
      <c r="E13" s="89" t="n"/>
      <c r="F13" s="89" t="n"/>
    </row>
    <row r="14" ht="15" customHeight="1" s="67">
      <c r="A14" s="200" t="inlineStr">
        <is>
          <t>Enterprise value</t>
        </is>
      </c>
      <c r="B14" s="201">
        <f>B11+B13</f>
        <v/>
      </c>
      <c r="C14" s="200" t="n"/>
      <c r="D14" s="200" t="n"/>
      <c r="E14" s="200" t="n"/>
      <c r="F14" s="200" t="n"/>
      <c r="G14" s="120" t="n"/>
      <c r="H14" s="120" t="n"/>
    </row>
    <row r="15" ht="15" customHeight="1" s="67">
      <c r="A15" s="184" t="inlineStr">
        <is>
          <t>Less: Net debt / add: net cash</t>
        </is>
      </c>
      <c r="B15" s="186">
        <f>-Assumptions!B8</f>
        <v/>
      </c>
      <c r="C15" s="89" t="n"/>
      <c r="D15" s="89" t="n"/>
      <c r="E15" s="89" t="n"/>
      <c r="F15" s="89" t="n"/>
    </row>
    <row r="16" ht="15" customHeight="1" s="67">
      <c r="A16" s="200" t="inlineStr">
        <is>
          <t>Equity value</t>
        </is>
      </c>
      <c r="B16" s="201">
        <f>B14+B15</f>
        <v/>
      </c>
      <c r="C16" s="200" t="n"/>
      <c r="D16" s="200" t="n"/>
      <c r="E16" s="200" t="n"/>
      <c r="F16" s="200" t="n"/>
      <c r="G16" s="120" t="n"/>
      <c r="H16" s="120" t="n"/>
    </row>
    <row r="17" ht="15" customHeight="1" s="67">
      <c r="A17" s="184" t="inlineStr">
        <is>
          <t>Shares outstanding (Cr)</t>
        </is>
      </c>
      <c r="B17" s="215">
        <f>Assumptions!B6</f>
        <v/>
      </c>
      <c r="C17" s="89" t="n"/>
      <c r="D17" s="89" t="n"/>
      <c r="E17" s="89" t="n"/>
      <c r="F17" s="89" t="n"/>
    </row>
    <row r="18" ht="15" customHeight="1" s="67">
      <c r="A18" s="182" t="inlineStr">
        <is>
          <t>Intrinsic value per share (₹)</t>
        </is>
      </c>
      <c r="B18" s="216">
        <f>B16/B17</f>
        <v/>
      </c>
      <c r="C18" s="183" t="n"/>
      <c r="D18" s="183" t="n"/>
      <c r="E18" s="183" t="n"/>
      <c r="F18" s="183" t="n"/>
    </row>
    <row r="19" ht="15" customHeight="1" s="67">
      <c r="A19" s="184" t="inlineStr">
        <is>
          <t>Current market price (₹)</t>
        </is>
      </c>
      <c r="B19" s="215">
        <f>Assumptions!B5</f>
        <v/>
      </c>
      <c r="C19" s="89" t="n"/>
      <c r="D19" s="89" t="n"/>
      <c r="E19" s="89" t="n"/>
      <c r="F19" s="89" t="n"/>
    </row>
    <row r="20" ht="15" customHeight="1" s="67">
      <c r="A20" s="182" t="inlineStr">
        <is>
          <t>Upside / (downside)</t>
        </is>
      </c>
      <c r="B20" s="190">
        <f>B18/B19-1</f>
        <v/>
      </c>
      <c r="C20" s="183" t="n"/>
      <c r="D20" s="183" t="n"/>
      <c r="E20" s="183" t="n"/>
      <c r="F20" s="183" t="n"/>
    </row>
    <row r="21" ht="15" customHeight="1" s="67">
      <c r="A21" s="200" t="inlineStr">
        <is>
          <t>Implied rating</t>
        </is>
      </c>
      <c r="B21" s="217">
        <f>IF(B20&gt;0.15,"BUY",IF(B20&gt;0.07,"ACCUMULATE",IF(B20&gt;-0.05,"HOLD","REDUCE")))</f>
        <v/>
      </c>
      <c r="C21" s="89" t="n"/>
      <c r="D21" s="89" t="n"/>
      <c r="E21" s="89" t="n"/>
      <c r="F21" s="89" t="n"/>
    </row>
    <row r="22" ht="15" customHeight="1" s="67">
      <c r="A22" s="181" t="inlineStr">
        <is>
          <t>% of EV in terminal value</t>
        </is>
      </c>
      <c r="B22" s="199">
        <f>B13/B14</f>
        <v/>
      </c>
      <c r="C22" s="183" t="n"/>
      <c r="D22" s="183" t="n"/>
      <c r="E22" s="183" t="n"/>
      <c r="F22" s="183" t="n"/>
    </row>
    <row r="23">
      <c r="A23" s="89" t="n"/>
      <c r="B23" s="89" t="n"/>
      <c r="C23" s="89" t="n"/>
      <c r="D23" s="89" t="n"/>
      <c r="E23" s="89" t="n"/>
      <c r="F23" s="89" t="n"/>
    </row>
    <row r="24" ht="15" customHeight="1" s="67">
      <c r="A24" s="182" t="inlineStr">
        <is>
          <t>Sensitivity: Intrinsic Value per Share (₹) — WACC vs Terminal Growth</t>
        </is>
      </c>
      <c r="B24" s="181" t="n"/>
      <c r="C24" s="181" t="n"/>
      <c r="D24" s="181" t="n"/>
      <c r="E24" s="181" t="n"/>
      <c r="F24" s="181" t="n"/>
      <c r="G24" s="166" t="n"/>
      <c r="H24" s="166" t="n"/>
    </row>
    <row r="25" ht="15" customHeight="1" s="67">
      <c r="A25" s="188" t="inlineStr">
        <is>
          <t>WACC ↓ / Terminal g →</t>
        </is>
      </c>
      <c r="B25" s="218" t="n">
        <v>0.04</v>
      </c>
      <c r="C25" s="218" t="n">
        <v>0.045</v>
      </c>
      <c r="D25" s="218" t="n">
        <v>0.05</v>
      </c>
      <c r="E25" s="218" t="n">
        <v>0.055</v>
      </c>
      <c r="F25" s="218" t="n">
        <v>0.06</v>
      </c>
    </row>
    <row r="26" ht="15" customHeight="1" s="67">
      <c r="A26" s="218" t="n">
        <v>0.1065</v>
      </c>
      <c r="B26" s="213">
        <f>(Forecast!C16/(1+$A26)^1+Forecast!D16/(1+$A26)^2+Forecast!E16/(1+$A26)^3+Forecast!F16/(1+$A26)^4+Forecast!G16/(1+$A26)^5+Forecast!G16*(1+B$25)/($A26-B$25)/(1+$A26)^5-Assumptions!$B$8)/Assumptions!$B$6</f>
        <v/>
      </c>
      <c r="C26" s="213">
        <f>(Forecast!C16/(1+$A26)^1+Forecast!D16/(1+$A26)^2+Forecast!E16/(1+$A26)^3+Forecast!F16/(1+$A26)^4+Forecast!G16/(1+$A26)^5+Forecast!G16*(1+C$25)/($A26-C$25)/(1+$A26)^5-Assumptions!$B$8)/Assumptions!$B$6</f>
        <v/>
      </c>
      <c r="D26" s="213">
        <f>(Forecast!C16/(1+$A26)^1+Forecast!D16/(1+$A26)^2+Forecast!E16/(1+$A26)^3+Forecast!F16/(1+$A26)^4+Forecast!G16/(1+$A26)^5+Forecast!G16*(1+D$25)/($A26-D$25)/(1+$A26)^5-Assumptions!$B$8)/Assumptions!$B$6</f>
        <v/>
      </c>
      <c r="E26" s="213">
        <f>(Forecast!C16/(1+$A26)^1+Forecast!D16/(1+$A26)^2+Forecast!E16/(1+$A26)^3+Forecast!F16/(1+$A26)^4+Forecast!G16/(1+$A26)^5+Forecast!G16*(1+E$25)/($A26-E$25)/(1+$A26)^5-Assumptions!$B$8)/Assumptions!$B$6</f>
        <v/>
      </c>
      <c r="F26" s="213">
        <f>(Forecast!C16/(1+$A26)^1+Forecast!D16/(1+$A26)^2+Forecast!E16/(1+$A26)^3+Forecast!F16/(1+$A26)^4+Forecast!G16/(1+$A26)^5+Forecast!G16*(1+F$25)/($A26-F$25)/(1+$A26)^5-Assumptions!$B$8)/Assumptions!$B$6</f>
        <v/>
      </c>
    </row>
    <row r="27" ht="15" customHeight="1" s="67">
      <c r="A27" s="218" t="n">
        <v>0.1115</v>
      </c>
      <c r="B27" s="219">
        <f>(Forecast!C16/(1+$A27)^1+Forecast!D16/(1+$A27)^2+Forecast!E16/(1+$A27)^3+Forecast!F16/(1+$A27)^4+Forecast!G16/(1+$A27)^5+Forecast!G16*(1+B$25)/($A27-B$25)/(1+$A27)^5-Assumptions!$B$8)/Assumptions!$B$6</f>
        <v/>
      </c>
      <c r="C27" s="219">
        <f>(Forecast!C16/(1+$A27)^1+Forecast!D16/(1+$A27)^2+Forecast!E16/(1+$A27)^3+Forecast!F16/(1+$A27)^4+Forecast!G16/(1+$A27)^5+Forecast!G16*(1+C$25)/($A27-C$25)/(1+$A27)^5-Assumptions!$B$8)/Assumptions!$B$6</f>
        <v/>
      </c>
      <c r="D27" s="219">
        <f>(Forecast!C16/(1+$A27)^1+Forecast!D16/(1+$A27)^2+Forecast!E16/(1+$A27)^3+Forecast!F16/(1+$A27)^4+Forecast!G16/(1+$A27)^5+Forecast!G16*(1+D$25)/($A27-D$25)/(1+$A27)^5-Assumptions!$B$8)/Assumptions!$B$6</f>
        <v/>
      </c>
      <c r="E27" s="219">
        <f>(Forecast!C16/(1+$A27)^1+Forecast!D16/(1+$A27)^2+Forecast!E16/(1+$A27)^3+Forecast!F16/(1+$A27)^4+Forecast!G16/(1+$A27)^5+Forecast!G16*(1+E$25)/($A27-E$25)/(1+$A27)^5-Assumptions!$B$8)/Assumptions!$B$6</f>
        <v/>
      </c>
      <c r="F27" s="219">
        <f>(Forecast!C16/(1+$A27)^1+Forecast!D16/(1+$A27)^2+Forecast!E16/(1+$A27)^3+Forecast!F16/(1+$A27)^4+Forecast!G16/(1+$A27)^5+Forecast!G16*(1+F$25)/($A27-F$25)/(1+$A27)^5-Assumptions!$B$8)/Assumptions!$B$6</f>
        <v/>
      </c>
    </row>
    <row r="28" ht="15" customHeight="1" s="67">
      <c r="A28" s="218" t="n">
        <v>0.1165</v>
      </c>
      <c r="B28" s="213">
        <f>(Forecast!C16/(1+$A28)^1+Forecast!D16/(1+$A28)^2+Forecast!E16/(1+$A28)^3+Forecast!F16/(1+$A28)^4+Forecast!G16/(1+$A28)^5+Forecast!G16*(1+B$25)/($A28-B$25)/(1+$A28)^5-Assumptions!$B$8)/Assumptions!$B$6</f>
        <v/>
      </c>
      <c r="C28" s="213">
        <f>(Forecast!C16/(1+$A28)^1+Forecast!D16/(1+$A28)^2+Forecast!E16/(1+$A28)^3+Forecast!F16/(1+$A28)^4+Forecast!G16/(1+$A28)^5+Forecast!G16*(1+C$25)/($A28-C$25)/(1+$A28)^5-Assumptions!$B$8)/Assumptions!$B$6</f>
        <v/>
      </c>
      <c r="D28" s="213">
        <f>(Forecast!C16/(1+$A28)^1+Forecast!D16/(1+$A28)^2+Forecast!E16/(1+$A28)^3+Forecast!F16/(1+$A28)^4+Forecast!G16/(1+$A28)^5+Forecast!G16*(1+D$25)/($A28-D$25)/(1+$A28)^5-Assumptions!$B$8)/Assumptions!$B$6</f>
        <v/>
      </c>
      <c r="E28" s="213">
        <f>(Forecast!C16/(1+$A28)^1+Forecast!D16/(1+$A28)^2+Forecast!E16/(1+$A28)^3+Forecast!F16/(1+$A28)^4+Forecast!G16/(1+$A28)^5+Forecast!G16*(1+E$25)/($A28-E$25)/(1+$A28)^5-Assumptions!$B$8)/Assumptions!$B$6</f>
        <v/>
      </c>
      <c r="F28" s="213">
        <f>(Forecast!C16/(1+$A28)^1+Forecast!D16/(1+$A28)^2+Forecast!E16/(1+$A28)^3+Forecast!F16/(1+$A28)^4+Forecast!G16/(1+$A28)^5+Forecast!G16*(1+F$25)/($A28-F$25)/(1+$A28)^5-Assumptions!$B$8)/Assumptions!$B$6</f>
        <v/>
      </c>
    </row>
    <row r="29" ht="15" customHeight="1" s="67">
      <c r="A29" s="218" t="n">
        <v>0.1215</v>
      </c>
      <c r="B29" s="219">
        <f>(Forecast!C16/(1+$A29)^1+Forecast!D16/(1+$A29)^2+Forecast!E16/(1+$A29)^3+Forecast!F16/(1+$A29)^4+Forecast!G16/(1+$A29)^5+Forecast!G16*(1+B$25)/($A29-B$25)/(1+$A29)^5-Assumptions!$B$8)/Assumptions!$B$6</f>
        <v/>
      </c>
      <c r="C29" s="219">
        <f>(Forecast!C16/(1+$A29)^1+Forecast!D16/(1+$A29)^2+Forecast!E16/(1+$A29)^3+Forecast!F16/(1+$A29)^4+Forecast!G16/(1+$A29)^5+Forecast!G16*(1+C$25)/($A29-C$25)/(1+$A29)^5-Assumptions!$B$8)/Assumptions!$B$6</f>
        <v/>
      </c>
      <c r="D29" s="219">
        <f>(Forecast!C16/(1+$A29)^1+Forecast!D16/(1+$A29)^2+Forecast!E16/(1+$A29)^3+Forecast!F16/(1+$A29)^4+Forecast!G16/(1+$A29)^5+Forecast!G16*(1+D$25)/($A29-D$25)/(1+$A29)^5-Assumptions!$B$8)/Assumptions!$B$6</f>
        <v/>
      </c>
      <c r="E29" s="219">
        <f>(Forecast!C16/(1+$A29)^1+Forecast!D16/(1+$A29)^2+Forecast!E16/(1+$A29)^3+Forecast!F16/(1+$A29)^4+Forecast!G16/(1+$A29)^5+Forecast!G16*(1+E$25)/($A29-E$25)/(1+$A29)^5-Assumptions!$B$8)/Assumptions!$B$6</f>
        <v/>
      </c>
      <c r="F29" s="219">
        <f>(Forecast!C16/(1+$A29)^1+Forecast!D16/(1+$A29)^2+Forecast!E16/(1+$A29)^3+Forecast!F16/(1+$A29)^4+Forecast!G16/(1+$A29)^5+Forecast!G16*(1+F$25)/($A29-F$25)/(1+$A29)^5-Assumptions!$B$8)/Assumptions!$B$6</f>
        <v/>
      </c>
    </row>
    <row r="30" ht="15" customHeight="1" s="67">
      <c r="A30" s="218" t="n">
        <v>0.1265</v>
      </c>
      <c r="B30" s="213">
        <f>(Forecast!C16/(1+$A30)^1+Forecast!D16/(1+$A30)^2+Forecast!E16/(1+$A30)^3+Forecast!F16/(1+$A30)^4+Forecast!G16/(1+$A30)^5+Forecast!G16*(1+B$25)/($A30-B$25)/(1+$A30)^5-Assumptions!$B$8)/Assumptions!$B$6</f>
        <v/>
      </c>
      <c r="C30" s="213">
        <f>(Forecast!C16/(1+$A30)^1+Forecast!D16/(1+$A30)^2+Forecast!E16/(1+$A30)^3+Forecast!F16/(1+$A30)^4+Forecast!G16/(1+$A30)^5+Forecast!G16*(1+C$25)/($A30-C$25)/(1+$A30)^5-Assumptions!$B$8)/Assumptions!$B$6</f>
        <v/>
      </c>
      <c r="D30" s="213">
        <f>(Forecast!C16/(1+$A30)^1+Forecast!D16/(1+$A30)^2+Forecast!E16/(1+$A30)^3+Forecast!F16/(1+$A30)^4+Forecast!G16/(1+$A30)^5+Forecast!G16*(1+D$25)/($A30-D$25)/(1+$A30)^5-Assumptions!$B$8)/Assumptions!$B$6</f>
        <v/>
      </c>
      <c r="E30" s="213">
        <f>(Forecast!C16/(1+$A30)^1+Forecast!D16/(1+$A30)^2+Forecast!E16/(1+$A30)^3+Forecast!F16/(1+$A30)^4+Forecast!G16/(1+$A30)^5+Forecast!G16*(1+E$25)/($A30-E$25)/(1+$A30)^5-Assumptions!$B$8)/Assumptions!$B$6</f>
        <v/>
      </c>
      <c r="F30" s="213">
        <f>(Forecast!C16/(1+$A30)^1+Forecast!D16/(1+$A30)^2+Forecast!E16/(1+$A30)^3+Forecast!F16/(1+$A30)^4+Forecast!G16/(1+$A30)^5+Forecast!G16*(1+F$25)/($A30-F$25)/(1+$A30)^5-Assumptions!$B$8)/Assumptions!$B$6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07CC3"/>
    <outlinePr summaryBelow="1" summaryRight="1"/>
    <pageSetUpPr fitToPage="0"/>
  </sheetPr>
  <dimension ref="A1:J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42" customWidth="1" style="66" min="1" max="1"/>
    <col width="13" customWidth="1" style="66" min="2" max="13"/>
    <col width="13" customWidth="1" style="67" min="3" max="3"/>
    <col width="13" customWidth="1" style="67" min="4" max="4"/>
    <col width="13" customWidth="1" style="67" min="5" max="5"/>
    <col width="13" customWidth="1" style="67" min="6" max="6"/>
    <col width="13" customWidth="1" style="67" min="7" max="7"/>
    <col width="13" customWidth="1" style="67" min="8" max="8"/>
    <col width="13" customWidth="1" style="67" min="9" max="9"/>
    <col width="13" customWidth="1" style="67" min="10" max="10"/>
  </cols>
  <sheetData>
    <row r="1" ht="24" customHeight="1" s="67">
      <c r="A1" s="179" t="inlineStr">
        <is>
          <t>Infosys Ltd — Ratio &amp; Trend Analysis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63" t="n"/>
    </row>
    <row r="2" ht="3" customHeight="1" s="67">
      <c r="A2" s="181" t="n"/>
      <c r="B2" s="181" t="n"/>
      <c r="C2" s="181" t="n"/>
      <c r="D2" s="181" t="n"/>
      <c r="E2" s="181" t="n"/>
      <c r="F2" s="181" t="n"/>
      <c r="G2" s="181" t="n"/>
      <c r="H2" s="181" t="n"/>
      <c r="I2" s="181" t="n"/>
      <c r="J2" s="167" t="n"/>
    </row>
    <row r="3" ht="15" customHeight="1" s="67">
      <c r="A3" s="182" t="inlineStr">
        <is>
          <t>Computed from Historical sheet (₹ Crore basis).</t>
        </is>
      </c>
      <c r="B3" s="183" t="n"/>
      <c r="C3" s="183" t="n"/>
      <c r="D3" s="183" t="n"/>
      <c r="E3" s="183" t="n"/>
      <c r="F3" s="183" t="n"/>
      <c r="G3" s="183" t="n"/>
      <c r="H3" s="183" t="n"/>
      <c r="I3" s="183" t="n"/>
    </row>
    <row r="4" ht="18" customHeight="1" s="67">
      <c r="A4" s="196" t="inlineStr">
        <is>
          <t>Fiscal Year (ends March)</t>
        </is>
      </c>
      <c r="B4" s="197" t="inlineStr">
        <is>
          <t>FY2019</t>
        </is>
      </c>
      <c r="C4" s="197" t="inlineStr">
        <is>
          <t>FY2020</t>
        </is>
      </c>
      <c r="D4" s="197" t="inlineStr">
        <is>
          <t>FY2021</t>
        </is>
      </c>
      <c r="E4" s="197" t="inlineStr">
        <is>
          <t>FY2022</t>
        </is>
      </c>
      <c r="F4" s="197" t="inlineStr">
        <is>
          <t>FY2023</t>
        </is>
      </c>
      <c r="G4" s="197" t="inlineStr">
        <is>
          <t>FY2024</t>
        </is>
      </c>
      <c r="H4" s="197" t="inlineStr">
        <is>
          <t>FY2025</t>
        </is>
      </c>
      <c r="I4" s="197" t="inlineStr">
        <is>
          <t>FY2026</t>
        </is>
      </c>
      <c r="J4" s="165" t="n"/>
    </row>
    <row r="5" ht="15" customHeight="1" s="67">
      <c r="A5" s="184" t="inlineStr">
        <is>
          <t>Revenue growth (%)</t>
        </is>
      </c>
      <c r="B5" s="202" t="inlineStr">
        <is>
          <t>—</t>
        </is>
      </c>
      <c r="C5" s="220">
        <f>Historical!C6/Historical!B6-1</f>
        <v/>
      </c>
      <c r="D5" s="220">
        <f>Historical!D6/Historical!C6-1</f>
        <v/>
      </c>
      <c r="E5" s="220">
        <f>Historical!E6/Historical!D6-1</f>
        <v/>
      </c>
      <c r="F5" s="220">
        <f>Historical!F6/Historical!E6-1</f>
        <v/>
      </c>
      <c r="G5" s="220">
        <f>Historical!G6/Historical!F6-1</f>
        <v/>
      </c>
      <c r="H5" s="220">
        <f>Historical!H6/Historical!G6-1</f>
        <v/>
      </c>
      <c r="I5" s="220">
        <f>Historical!I6/Historical!H6-1</f>
        <v/>
      </c>
    </row>
    <row r="6" ht="15" customHeight="1" s="67">
      <c r="A6" s="181" t="inlineStr">
        <is>
          <t>EBITDA margin (%)</t>
        </is>
      </c>
      <c r="B6" s="221">
        <f>Historical!B9/Historical!B6</f>
        <v/>
      </c>
      <c r="C6" s="221">
        <f>Historical!C9/Historical!C6</f>
        <v/>
      </c>
      <c r="D6" s="221">
        <f>Historical!D9/Historical!D6</f>
        <v/>
      </c>
      <c r="E6" s="221">
        <f>Historical!E9/Historical!E6</f>
        <v/>
      </c>
      <c r="F6" s="221">
        <f>Historical!F9/Historical!F6</f>
        <v/>
      </c>
      <c r="G6" s="221">
        <f>Historical!G9/Historical!G6</f>
        <v/>
      </c>
      <c r="H6" s="221">
        <f>Historical!H9/Historical!H6</f>
        <v/>
      </c>
      <c r="I6" s="221">
        <f>Historical!I9/Historical!I6</f>
        <v/>
      </c>
      <c r="J6" s="167" t="n"/>
    </row>
    <row r="7" ht="15" customHeight="1" s="67">
      <c r="A7" s="184" t="inlineStr">
        <is>
          <t>EBIT margin (%)</t>
        </is>
      </c>
      <c r="B7" s="220">
        <f>Historical!B12/Historical!B6</f>
        <v/>
      </c>
      <c r="C7" s="220">
        <f>Historical!C12/Historical!C6</f>
        <v/>
      </c>
      <c r="D7" s="220">
        <f>Historical!D12/Historical!D6</f>
        <v/>
      </c>
      <c r="E7" s="220">
        <f>Historical!E12/Historical!E6</f>
        <v/>
      </c>
      <c r="F7" s="220">
        <f>Historical!F12/Historical!F6</f>
        <v/>
      </c>
      <c r="G7" s="220">
        <f>Historical!G12/Historical!G6</f>
        <v/>
      </c>
      <c r="H7" s="220">
        <f>Historical!H12/Historical!H6</f>
        <v/>
      </c>
      <c r="I7" s="220">
        <f>Historical!I12/Historical!I6</f>
        <v/>
      </c>
    </row>
    <row r="8" ht="15" customHeight="1" s="67">
      <c r="A8" s="181" t="inlineStr">
        <is>
          <t>PAT margin (%)</t>
        </is>
      </c>
      <c r="B8" s="221">
        <f>Historical!B17/Historical!B6</f>
        <v/>
      </c>
      <c r="C8" s="221">
        <f>Historical!C17/Historical!C6</f>
        <v/>
      </c>
      <c r="D8" s="221">
        <f>Historical!D17/Historical!D6</f>
        <v/>
      </c>
      <c r="E8" s="221">
        <f>Historical!E17/Historical!E6</f>
        <v/>
      </c>
      <c r="F8" s="221">
        <f>Historical!F17/Historical!F6</f>
        <v/>
      </c>
      <c r="G8" s="221">
        <f>Historical!G17/Historical!G6</f>
        <v/>
      </c>
      <c r="H8" s="221">
        <f>Historical!H17/Historical!H6</f>
        <v/>
      </c>
      <c r="I8" s="221">
        <f>Historical!I17/Historical!I6</f>
        <v/>
      </c>
      <c r="J8" s="167" t="n"/>
    </row>
    <row r="9" ht="15" customHeight="1" s="67">
      <c r="A9" s="184" t="inlineStr">
        <is>
          <t>EPS growth (%)</t>
        </is>
      </c>
      <c r="B9" s="202" t="inlineStr">
        <is>
          <t>—</t>
        </is>
      </c>
      <c r="C9" s="220">
        <f>Historical!C19/Historical!B19-1</f>
        <v/>
      </c>
      <c r="D9" s="220">
        <f>Historical!D19/Historical!C19-1</f>
        <v/>
      </c>
      <c r="E9" s="220">
        <f>Historical!E19/Historical!D19-1</f>
        <v/>
      </c>
      <c r="F9" s="220">
        <f>Historical!F19/Historical!E19-1</f>
        <v/>
      </c>
      <c r="G9" s="220">
        <f>Historical!G19/Historical!F19-1</f>
        <v/>
      </c>
      <c r="H9" s="220">
        <f>Historical!H19/Historical!G19-1</f>
        <v/>
      </c>
      <c r="I9" s="220">
        <f>Historical!I19/Historical!H19-1</f>
        <v/>
      </c>
    </row>
    <row r="10" ht="15" customHeight="1" s="67">
      <c r="A10" s="181" t="inlineStr">
        <is>
          <t>Return on equity (PAT / avg net worth)</t>
        </is>
      </c>
      <c r="B10" s="221">
        <f>Historical!B17/Historical!B25</f>
        <v/>
      </c>
      <c r="C10" s="221">
        <f>Historical!C17/((Historical!C25+Historical!B25)/2)</f>
        <v/>
      </c>
      <c r="D10" s="221">
        <f>Historical!D17/((Historical!D25+Historical!C25)/2)</f>
        <v/>
      </c>
      <c r="E10" s="221">
        <f>Historical!E17/((Historical!E25+Historical!D25)/2)</f>
        <v/>
      </c>
      <c r="F10" s="221">
        <f>Historical!F17/((Historical!F25+Historical!E25)/2)</f>
        <v/>
      </c>
      <c r="G10" s="221">
        <f>Historical!G17/((Historical!G25+Historical!F25)/2)</f>
        <v/>
      </c>
      <c r="H10" s="221">
        <f>Historical!H17/((Historical!H25+Historical!G25)/2)</f>
        <v/>
      </c>
      <c r="I10" s="221">
        <f>Historical!I17/((Historical!I25+Historical!H25)/2)</f>
        <v/>
      </c>
      <c r="J10" s="167" t="n"/>
    </row>
    <row r="11" ht="15" customHeight="1" s="67">
      <c r="A11" s="184" t="inlineStr">
        <is>
          <t>ROCE (EBIT / avg capital employed)</t>
        </is>
      </c>
      <c r="B11" s="220">
        <f>Historical!B12/(Historical!B25+Historical!B26)</f>
        <v/>
      </c>
      <c r="C11" s="220">
        <f>Historical!C12/((Historical!C25+Historical!C26+Historical!B25+Historical!B26)/2)</f>
        <v/>
      </c>
      <c r="D11" s="220">
        <f>Historical!D12/((Historical!D25+Historical!D26+Historical!C25+Historical!C26)/2)</f>
        <v/>
      </c>
      <c r="E11" s="220">
        <f>Historical!E12/((Historical!E25+Historical!E26+Historical!D25+Historical!D26)/2)</f>
        <v/>
      </c>
      <c r="F11" s="220">
        <f>Historical!F12/((Historical!F25+Historical!F26+Historical!E25+Historical!E26)/2)</f>
        <v/>
      </c>
      <c r="G11" s="220">
        <f>Historical!G12/((Historical!G25+Historical!G26+Historical!F25+Historical!F26)/2)</f>
        <v/>
      </c>
      <c r="H11" s="220">
        <f>Historical!H12/((Historical!H25+Historical!H26+Historical!G25+Historical!G26)/2)</f>
        <v/>
      </c>
      <c r="I11" s="220">
        <f>Historical!I12/((Historical!I25+Historical!I26+Historical!H25+Historical!H26)/2)</f>
        <v/>
      </c>
    </row>
    <row r="12" ht="15" customHeight="1" s="67">
      <c r="A12" s="181" t="inlineStr">
        <is>
          <t>FCF conversion (FCF / PAT)</t>
        </is>
      </c>
      <c r="B12" s="221">
        <f>Historical!B41/Historical!B17</f>
        <v/>
      </c>
      <c r="C12" s="221">
        <f>Historical!C41/Historical!C17</f>
        <v/>
      </c>
      <c r="D12" s="221">
        <f>Historical!D41/Historical!D17</f>
        <v/>
      </c>
      <c r="E12" s="221">
        <f>Historical!E41/Historical!E17</f>
        <v/>
      </c>
      <c r="F12" s="221">
        <f>Historical!F41/Historical!F17</f>
        <v/>
      </c>
      <c r="G12" s="221">
        <f>Historical!G41/Historical!G17</f>
        <v/>
      </c>
      <c r="H12" s="221">
        <f>Historical!H41/Historical!H17</f>
        <v/>
      </c>
      <c r="I12" s="221">
        <f>Historical!I41/Historical!I17</f>
        <v/>
      </c>
      <c r="J12" s="167" t="n"/>
    </row>
    <row r="13" ht="15" customHeight="1" s="67">
      <c r="A13" s="184" t="inlineStr">
        <is>
          <t>Net debt / EBITDA (x)</t>
        </is>
      </c>
      <c r="B13" s="222">
        <f>(Historical!B26-Historical!B31)/Historical!B9</f>
        <v/>
      </c>
      <c r="C13" s="222">
        <f>(Historical!C26-Historical!C31)/Historical!C9</f>
        <v/>
      </c>
      <c r="D13" s="222">
        <f>(Historical!D26-Historical!D31)/Historical!D9</f>
        <v/>
      </c>
      <c r="E13" s="222">
        <f>(Historical!E26-Historical!E31)/Historical!E9</f>
        <v/>
      </c>
      <c r="F13" s="222">
        <f>(Historical!F26-Historical!F31)/Historical!F9</f>
        <v/>
      </c>
      <c r="G13" s="222">
        <f>(Historical!G26-Historical!G31)/Historical!G9</f>
        <v/>
      </c>
      <c r="H13" s="222">
        <f>(Historical!H26-Historical!H31)/Historical!H9</f>
        <v/>
      </c>
      <c r="I13" s="222">
        <f>(Historical!I26-Historical!I31)/Historical!I9</f>
        <v/>
      </c>
    </row>
    <row r="14" ht="15" customHeight="1" s="67">
      <c r="A14" s="181" t="inlineStr">
        <is>
          <t>Dividend payout (%)</t>
        </is>
      </c>
      <c r="B14" s="221">
        <f>Historical!B20</f>
        <v/>
      </c>
      <c r="C14" s="221">
        <f>Historical!C20</f>
        <v/>
      </c>
      <c r="D14" s="221">
        <f>Historical!D20</f>
        <v/>
      </c>
      <c r="E14" s="221">
        <f>Historical!E20</f>
        <v/>
      </c>
      <c r="F14" s="221">
        <f>Historical!F20</f>
        <v/>
      </c>
      <c r="G14" s="221">
        <f>Historical!G20</f>
        <v/>
      </c>
      <c r="H14" s="221">
        <f>Historical!H20</f>
        <v/>
      </c>
      <c r="I14" s="221">
        <f>Historical!I20</f>
        <v/>
      </c>
      <c r="J14" s="16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007CC3"/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66" min="1" max="1"/>
    <col width="14" customWidth="1" style="66" min="2" max="8"/>
    <col width="13" customWidth="1" style="67" min="3" max="3"/>
    <col width="13" customWidth="1" style="67" min="4" max="4"/>
    <col width="13" customWidth="1" style="67" min="5" max="5"/>
    <col width="13" customWidth="1" style="67" min="6" max="6"/>
    <col width="13" customWidth="1" style="67" min="7" max="7"/>
  </cols>
  <sheetData>
    <row r="1" ht="24" customHeight="1" s="67">
      <c r="A1" s="179" t="inlineStr">
        <is>
          <t>Infosys Ltd — Peer Comparison (Indian IT Services)</t>
        </is>
      </c>
      <c r="B1" s="180" t="n"/>
      <c r="C1" s="180" t="n"/>
      <c r="D1" s="180" t="n"/>
      <c r="E1" s="180" t="n"/>
      <c r="F1" s="180" t="n"/>
      <c r="G1" s="180" t="n"/>
    </row>
    <row r="2" ht="3" customHeight="1" s="67">
      <c r="A2" s="181" t="n"/>
      <c r="B2" s="181" t="n"/>
      <c r="C2" s="181" t="n"/>
      <c r="D2" s="181" t="n"/>
      <c r="E2" s="181" t="n"/>
      <c r="F2" s="181" t="n"/>
      <c r="G2" s="181" t="n"/>
    </row>
    <row r="3" ht="15" customHeight="1" s="67">
      <c r="A3" s="182" t="inlineStr">
        <is>
          <t>Blue = inputs (as researched, Jun 2026). Yellow = update with live data.</t>
        </is>
      </c>
      <c r="B3" s="183" t="n"/>
      <c r="C3" s="183" t="n"/>
      <c r="D3" s="183" t="n"/>
      <c r="E3" s="183" t="n"/>
      <c r="F3" s="183" t="n"/>
      <c r="G3" s="183" t="n"/>
    </row>
    <row r="4" ht="15" customHeight="1" s="67">
      <c r="A4" s="207" t="inlineStr">
        <is>
          <t>Company</t>
        </is>
      </c>
      <c r="B4" s="208" t="inlineStr">
        <is>
          <t>Price (₹)</t>
        </is>
      </c>
      <c r="C4" s="208" t="inlineStr">
        <is>
          <t>EPS FY26 (₹)</t>
        </is>
      </c>
      <c r="D4" s="208" t="inlineStr">
        <is>
          <t>BVPS (₹)</t>
        </is>
      </c>
      <c r="E4" s="208" t="inlineStr">
        <is>
          <t>PAT FY26 (₹ Cr)</t>
        </is>
      </c>
      <c r="F4" s="208" t="inlineStr">
        <is>
          <t>P/E (x)</t>
        </is>
      </c>
      <c r="G4" s="208" t="inlineStr">
        <is>
          <t>P/B (x)</t>
        </is>
      </c>
    </row>
    <row r="5" ht="15" customHeight="1" s="67">
      <c r="A5" s="181" t="inlineStr">
        <is>
          <t>Infosys</t>
        </is>
      </c>
      <c r="B5" s="185" t="n">
        <v>1040.9</v>
      </c>
      <c r="C5" s="185" t="n">
        <v>72.59</v>
      </c>
      <c r="D5" s="185" t="n">
        <v>229</v>
      </c>
      <c r="E5" s="187" t="n">
        <v>29474</v>
      </c>
      <c r="F5" s="223">
        <f>IF(C5&gt;0,B5/C5,"n/a")</f>
        <v/>
      </c>
      <c r="G5" s="223">
        <f>IF(D5&gt;0,B5/D5,"n/a")</f>
        <v/>
      </c>
    </row>
    <row r="6" ht="15" customHeight="1" s="67">
      <c r="A6" s="181" t="inlineStr">
        <is>
          <t>Tata Consultancy Services</t>
        </is>
      </c>
      <c r="B6" s="185" t="n">
        <v>2150</v>
      </c>
      <c r="C6" s="185" t="n">
        <v>136.01</v>
      </c>
      <c r="D6" s="185" t="n">
        <v>296</v>
      </c>
      <c r="E6" s="187" t="n">
        <v>49454</v>
      </c>
      <c r="F6" s="223">
        <f>IF(C6&gt;0,B6/C6,"n/a")</f>
        <v/>
      </c>
      <c r="G6" s="223">
        <f>IF(D6&gt;0,B6/D6,"n/a")</f>
        <v/>
      </c>
    </row>
    <row r="7" ht="15" customHeight="1" s="67">
      <c r="A7" s="181" t="inlineStr">
        <is>
          <t>HCL Technologies</t>
        </is>
      </c>
      <c r="B7" s="185" t="n">
        <v>1034.2</v>
      </c>
      <c r="C7" s="185" t="n">
        <v>61.4</v>
      </c>
      <c r="D7" s="185" t="n">
        <v>257</v>
      </c>
      <c r="E7" s="187" t="n"/>
      <c r="F7" s="223">
        <f>IF(C7&gt;0,B7/C7,"n/a")</f>
        <v/>
      </c>
      <c r="G7" s="223">
        <f>IF(D7&gt;0,B7/D7,"n/a")</f>
        <v/>
      </c>
    </row>
    <row r="8" ht="15" customHeight="1" s="67">
      <c r="A8" s="181" t="inlineStr">
        <is>
          <t>Wipro</t>
        </is>
      </c>
      <c r="B8" s="185" t="n">
        <v>215</v>
      </c>
      <c r="C8" s="185" t="n">
        <v>12.82</v>
      </c>
      <c r="D8" s="185" t="n">
        <v>86</v>
      </c>
      <c r="E8" s="187" t="n"/>
      <c r="F8" s="223">
        <f>IF(C8&gt;0,B8/C8,"n/a")</f>
        <v/>
      </c>
      <c r="G8" s="223">
        <f>IF(D8&gt;0,B8/D8,"n/a")</f>
        <v/>
      </c>
    </row>
    <row r="9" ht="15" customHeight="1" s="67">
      <c r="A9" s="181" t="inlineStr">
        <is>
          <t>Tech Mahindra</t>
        </is>
      </c>
      <c r="B9" s="185" t="n">
        <v>1400</v>
      </c>
      <c r="C9" s="185" t="n">
        <v>50.2</v>
      </c>
      <c r="D9" s="185" t="n">
        <v>256</v>
      </c>
      <c r="E9" s="187" t="n"/>
      <c r="F9" s="223">
        <f>IF(C9&gt;0,B9/C9,"n/a")</f>
        <v/>
      </c>
      <c r="G9" s="223">
        <f>IF(D9&gt;0,B9/D9,"n/a")</f>
        <v/>
      </c>
    </row>
    <row r="10">
      <c r="A10" s="89" t="n"/>
      <c r="B10" s="89" t="n"/>
      <c r="C10" s="89" t="n"/>
      <c r="D10" s="89" t="n"/>
      <c r="E10" s="89" t="n"/>
      <c r="F10" s="89" t="n"/>
      <c r="G10" s="89" t="n"/>
    </row>
    <row r="11" ht="15" customHeight="1" s="67">
      <c r="A11" s="182" t="inlineStr">
        <is>
          <t>Peer rows left blank should be completed with live market data before circulation.</t>
        </is>
      </c>
      <c r="B11" s="183" t="n"/>
      <c r="C11" s="183" t="n"/>
      <c r="D11" s="183" t="n"/>
      <c r="E11" s="183" t="n"/>
      <c r="F11" s="183" t="n"/>
      <c r="G11" s="183" t="n"/>
    </row>
    <row r="12"/>
    <row r="13">
      <c r="A13" s="224" t="inlineStr">
        <is>
          <t>MARKET APPROACH — COMPARABLE COMPANY ANALYSIS</t>
        </is>
      </c>
      <c r="B13" s="161" t="n"/>
      <c r="C13" s="161" t="n"/>
      <c r="D13" s="161" t="n"/>
      <c r="E13" s="161" t="n"/>
      <c r="F13" s="161" t="n"/>
      <c r="G13" s="162" t="n"/>
    </row>
    <row r="14">
      <c r="A14" s="225" t="inlineStr">
        <is>
          <t>Peer median P/E (x)</t>
        </is>
      </c>
      <c r="B14" s="226">
        <f>MEDIAN(F6:F9)</f>
        <v/>
      </c>
    </row>
    <row r="15">
      <c r="A15" s="225" t="inlineStr">
        <is>
          <t>Peer median P/B (x)</t>
        </is>
      </c>
      <c r="B15" s="227">
        <f>MEDIAN(G6:G9)</f>
        <v/>
      </c>
    </row>
    <row r="16">
      <c r="A16" s="225" t="inlineStr">
        <is>
          <t>Implied value — median P/E × FY26 EPS (₹)</t>
        </is>
      </c>
      <c r="B16" s="228">
        <f>B14*C5</f>
        <v/>
      </c>
    </row>
    <row r="17"/>
    <row r="18">
      <c r="A18" s="224" t="inlineStr">
        <is>
          <t>VALUATION TRIANGULATION — FOOTBALL FIELD</t>
        </is>
      </c>
      <c r="B18" s="161" t="n"/>
      <c r="C18" s="161" t="n"/>
      <c r="D18" s="161" t="n"/>
      <c r="E18" s="161" t="n"/>
      <c r="F18" s="161" t="n"/>
      <c r="G18" s="162" t="n"/>
    </row>
    <row r="19">
      <c r="A19" s="229" t="inlineStr">
        <is>
          <t>Method</t>
        </is>
      </c>
      <c r="B19" s="229" t="inlineStr">
        <is>
          <t>Low (₹)</t>
        </is>
      </c>
      <c r="C19" s="229" t="inlineStr">
        <is>
          <t>Base (₹)</t>
        </is>
      </c>
      <c r="D19" s="229" t="inlineStr">
        <is>
          <t>High (₹)</t>
        </is>
      </c>
    </row>
    <row r="20">
      <c r="A20" s="212" t="inlineStr">
        <is>
          <t>DCF (intrinsic)</t>
        </is>
      </c>
      <c r="B20" s="230">
        <f>DCF!B18*0.9</f>
        <v/>
      </c>
      <c r="C20" s="230">
        <f>DCF!B18</f>
        <v/>
      </c>
      <c r="D20" s="230">
        <f>DCF!B18*1.1</f>
        <v/>
      </c>
    </row>
    <row r="21">
      <c r="A21" s="231" t="inlineStr">
        <is>
          <t>Comparable companies</t>
        </is>
      </c>
      <c r="B21" s="228">
        <f>B16*0.9</f>
        <v/>
      </c>
      <c r="C21" s="228">
        <f>B16</f>
        <v/>
      </c>
      <c r="D21" s="228">
        <f>B16*1.1</f>
        <v/>
      </c>
    </row>
    <row r="22">
      <c r="A22" s="225" t="inlineStr">
        <is>
          <t>Blended target (70% intrinsic / 30% comps)</t>
        </is>
      </c>
      <c r="C22" s="232">
        <f>0.7*DCF!B18+0.3*B16</f>
        <v/>
      </c>
    </row>
    <row r="23">
      <c r="A23" s="231" t="inlineStr">
        <is>
          <t>Current market price (₹)</t>
        </is>
      </c>
      <c r="C23" s="228">
        <f>B5</f>
        <v/>
      </c>
    </row>
    <row r="24">
      <c r="A24" s="225" t="inlineStr">
        <is>
          <t>Implied upside / (downside)</t>
        </is>
      </c>
      <c r="C24" s="233">
        <f>C22/B5-1</f>
        <v/>
      </c>
    </row>
    <row r="25"/>
    <row r="26">
      <c r="A26" s="234" t="inlineStr">
        <is>
          <t>Peer multiples researched as of Jun 2026 (Kotak price to be verified). Refresh peer inputs before publication.</t>
        </is>
      </c>
    </row>
  </sheetData>
  <mergeCells count="2">
    <mergeCell ref="A13:G13"/>
    <mergeCell ref="A18:G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2026-06-11T15:17:33Z</dcterms:created>
  <dcterms:modified xmlns:dcterms="http://purl.org/dc/terms/" xmlns:xsi="http://www.w3.org/2001/XMLSchema-instance" xsi:type="dcterms:W3CDTF">2026-07-04T15:24:59Z</dcterms:modified>
  <cp:revision>0</cp:revision>
</cp:coreProperties>
</file>