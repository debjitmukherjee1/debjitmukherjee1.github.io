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Valuation Summary" sheetId="2" state="visible" r:id="rId2"/>
    <sheet xmlns:r="http://schemas.openxmlformats.org/officeDocument/2006/relationships" name="Income Statement" sheetId="3" state="visible" r:id="rId3"/>
    <sheet xmlns:r="http://schemas.openxmlformats.org/officeDocument/2006/relationships" name="Balance Sheet" sheetId="4" state="visible" r:id="rId4"/>
    <sheet xmlns:r="http://schemas.openxmlformats.org/officeDocument/2006/relationships" name="Asset Quality &amp; Growth" sheetId="5" state="visible" r:id="rId5"/>
    <sheet xmlns:r="http://schemas.openxmlformats.org/officeDocument/2006/relationships" name="Peer Comps" sheetId="6" state="visible" r:id="rId6"/>
  </sheets>
  <definedNames>
    <definedName name="_xlnm.Print_Area" localSheetId="0">'Overview'!$A$1:$G$32</definedName>
    <definedName name="_xlnm.Print_Area" localSheetId="1">'Valuation Summary'!$A$1:$G$62</definedName>
    <definedName name="_xlnm.Print_Area" localSheetId="2">'Income Statement'!$A$1:$F$15</definedName>
    <definedName name="_xlnm.Print_Area" localSheetId="3">'Balance Sheet'!$A$1:$F$17</definedName>
    <definedName name="_xlnm.Print_Area" localSheetId="4">'Asset Quality &amp; Growth'!$A$1:$F$12</definedName>
    <definedName name="_xlnm.Print_Area" localSheetId="5">'Peer Comps'!$A$1:$F$30</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quot;%&quot;"/>
  </numFmts>
  <fonts count="14">
    <font>
      <name val="Calibri"/>
      <family val="2"/>
      <color theme="1"/>
      <sz val="11"/>
      <scheme val="minor"/>
    </font>
    <font>
      <b val="1"/>
      <color rgb="000B4C8C"/>
      <sz val="14"/>
    </font>
    <font>
      <color rgb="00595959"/>
      <sz val="9"/>
    </font>
    <font>
      <b val="1"/>
      <color rgb="00FFFFFF"/>
      <sz val="11"/>
    </font>
    <font>
      <sz val="10"/>
    </font>
    <font>
      <b val="1"/>
      <sz val="10"/>
    </font>
    <font>
      <b val="1"/>
      <color rgb="000B4C8C"/>
      <sz val="10"/>
    </font>
    <font>
      <i val="1"/>
      <color rgb="00595959"/>
      <sz val="9"/>
    </font>
    <font>
      <b val="1"/>
      <color rgb="00FFFFFF"/>
      <sz val="13"/>
    </font>
    <font>
      <b val="1"/>
      <color rgb="000B4C8C"/>
      <sz val="11"/>
    </font>
    <font>
      <b val="1"/>
      <sz val="11"/>
    </font>
    <font>
      <b val="1"/>
      <color rgb="000B4C8C"/>
      <sz val="12"/>
    </font>
    <font>
      <b val="1"/>
      <color rgb="00FFFFFF"/>
      <sz val="12"/>
    </font>
    <font>
      <color rgb="00000000"/>
      <sz val="10"/>
    </font>
  </fonts>
  <fills count="4">
    <fill>
      <patternFill/>
    </fill>
    <fill>
      <patternFill patternType="gray125"/>
    </fill>
    <fill>
      <patternFill patternType="solid">
        <fgColor rgb="000B4C8C"/>
      </patternFill>
    </fill>
    <fill>
      <patternFill patternType="solid">
        <fgColor rgb="00E8F0F8"/>
      </patternFill>
    </fill>
  </fills>
  <borders count="2">
    <border>
      <left/>
      <right/>
      <top/>
      <bottom/>
      <diagonal/>
    </border>
    <border>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3" borderId="0" pivotButton="0" quotePrefix="0" xfId="0"/>
    <xf numFmtId="3" fontId="5" fillId="3" borderId="0" applyAlignment="1" pivotButton="0" quotePrefix="0" xfId="0">
      <alignment horizontal="right"/>
    </xf>
    <xf numFmtId="0" fontId="4" fillId="0" borderId="0" pivotButton="0" quotePrefix="0" xfId="0"/>
    <xf numFmtId="3" fontId="5" fillId="0" borderId="0" applyAlignment="1" pivotButton="0" quotePrefix="0" xfId="0">
      <alignment horizontal="right"/>
    </xf>
    <xf numFmtId="4" fontId="5" fillId="3" borderId="0" applyAlignment="1" pivotButton="0" quotePrefix="0" xfId="0">
      <alignment horizontal="right"/>
    </xf>
    <xf numFmtId="0" fontId="5" fillId="0" borderId="0" applyAlignment="1" pivotButton="0" quotePrefix="0" xfId="0">
      <alignment horizontal="right"/>
    </xf>
    <xf numFmtId="4" fontId="5" fillId="0" borderId="0" applyAlignment="1" pivotButton="0" quotePrefix="0" xfId="0">
      <alignment horizontal="right"/>
    </xf>
    <xf numFmtId="0" fontId="6" fillId="0" borderId="1" applyAlignment="1" pivotButton="0" quotePrefix="0" xfId="0">
      <alignment horizontal="left"/>
    </xf>
    <xf numFmtId="0" fontId="6" fillId="0" borderId="1" applyAlignment="1" pivotButton="0" quotePrefix="0" xfId="0">
      <alignment horizontal="right"/>
    </xf>
    <xf numFmtId="0" fontId="7" fillId="0" borderId="0" pivotButton="0" quotePrefix="0" xfId="0"/>
    <xf numFmtId="0" fontId="7" fillId="0" borderId="0" applyAlignment="1" pivotButton="0" quotePrefix="0" xfId="0">
      <alignment vertical="top" wrapText="1"/>
    </xf>
    <xf numFmtId="0" fontId="8" fillId="2" borderId="0" pivotButton="0" quotePrefix="0" xfId="0"/>
    <xf numFmtId="164" fontId="5" fillId="0" borderId="0" applyAlignment="1" pivotButton="0" quotePrefix="0" xfId="0">
      <alignment horizontal="right"/>
    </xf>
    <xf numFmtId="10" fontId="5" fillId="0" borderId="0" applyAlignment="1" pivotButton="0" quotePrefix="0" xfId="0">
      <alignment horizontal="right"/>
    </xf>
    <xf numFmtId="165" fontId="0" fillId="0" borderId="0" applyAlignment="1" pivotButton="0" quotePrefix="0" xfId="0">
      <alignment horizontal="right"/>
    </xf>
    <xf numFmtId="2" fontId="0" fillId="0" borderId="0" applyAlignment="1" pivotButton="0" quotePrefix="0" xfId="0">
      <alignment horizontal="right"/>
    </xf>
    <xf numFmtId="3" fontId="0" fillId="0" borderId="0" applyAlignment="1" pivotButton="0" quotePrefix="0" xfId="0">
      <alignment horizontal="right"/>
    </xf>
    <xf numFmtId="166" fontId="0" fillId="0" borderId="0" applyAlignment="1" pivotButton="0" quotePrefix="0" xfId="0">
      <alignment horizontal="right"/>
    </xf>
    <xf numFmtId="3" fontId="4" fillId="0" borderId="0" applyAlignment="1" pivotButton="0" quotePrefix="0" xfId="0">
      <alignment horizontal="right"/>
    </xf>
    <xf numFmtId="0" fontId="5" fillId="0" borderId="0" pivotButton="0" quotePrefix="0" xfId="0"/>
    <xf numFmtId="0" fontId="9" fillId="0" borderId="0" pivotButton="0" quotePrefix="0" xfId="0"/>
    <xf numFmtId="3" fontId="9" fillId="0" borderId="0" applyAlignment="1" pivotButton="0" quotePrefix="0" xfId="0">
      <alignment horizontal="right"/>
    </xf>
    <xf numFmtId="9" fontId="0" fillId="0" borderId="0" applyAlignment="1" pivotButton="0" quotePrefix="0" xfId="0">
      <alignment horizontal="right"/>
    </xf>
    <xf numFmtId="0" fontId="10" fillId="0" borderId="0" pivotButton="0" quotePrefix="0" xfId="0"/>
    <xf numFmtId="3" fontId="11" fillId="0" borderId="0" applyAlignment="1" pivotButton="0" quotePrefix="0" xfId="0">
      <alignment horizontal="right"/>
    </xf>
    <xf numFmtId="10" fontId="0" fillId="0" borderId="0" applyAlignment="1" pivotButton="0" quotePrefix="0" xfId="0">
      <alignment horizontal="right"/>
    </xf>
    <xf numFmtId="0" fontId="11" fillId="0" borderId="0" applyAlignment="1" pivotButton="0" quotePrefix="0" xfId="0">
      <alignment horizontal="right"/>
    </xf>
    <xf numFmtId="0" fontId="6" fillId="0" borderId="0" pivotButton="0" quotePrefix="0" xfId="0"/>
    <xf numFmtId="0" fontId="12" fillId="2" borderId="0" pivotButton="0" quotePrefix="0" xfId="0"/>
    <xf numFmtId="3" fontId="4" fillId="3" borderId="0" applyAlignment="1" pivotButton="0" quotePrefix="0" xfId="0">
      <alignment horizontal="right"/>
    </xf>
    <xf numFmtId="167" fontId="4" fillId="0" borderId="0" applyAlignment="1" pivotButton="0" quotePrefix="0" xfId="0">
      <alignment horizontal="right"/>
    </xf>
    <xf numFmtId="167" fontId="5" fillId="0" borderId="0" applyAlignment="1" pivotButton="0" quotePrefix="0" xfId="0">
      <alignment horizontal="right"/>
    </xf>
    <xf numFmtId="4" fontId="4" fillId="0" borderId="0" applyAlignment="1" pivotButton="0" quotePrefix="0" xfId="0">
      <alignment horizontal="right"/>
    </xf>
    <xf numFmtId="167" fontId="4" fillId="3" borderId="0" applyAlignment="1" pivotButton="0" quotePrefix="0" xfId="0">
      <alignment horizontal="right"/>
    </xf>
    <xf numFmtId="0" fontId="5" fillId="3" borderId="0" pivotButton="0" quotePrefix="0" xfId="0"/>
    <xf numFmtId="164" fontId="4" fillId="3" borderId="0" applyAlignment="1" pivotButton="0" quotePrefix="0" xfId="0">
      <alignment horizontal="right"/>
    </xf>
    <xf numFmtId="0" fontId="7" fillId="3" borderId="0" pivotButton="0" quotePrefix="0" xfId="0"/>
    <xf numFmtId="164" fontId="4" fillId="0" borderId="0" applyAlignment="1" pivotButton="0" quotePrefix="0" xfId="0">
      <alignment horizontal="right"/>
    </xf>
    <xf numFmtId="0" fontId="4" fillId="0" borderId="0" applyAlignment="1" pivotButton="0" quotePrefix="0" xfId="0">
      <alignment horizontal="right"/>
    </xf>
    <xf numFmtId="0" fontId="6" fillId="0" borderId="0" applyAlignment="1" pivotButton="0" quotePrefix="0" xfId="0">
      <alignment horizontal="left"/>
    </xf>
    <xf numFmtId="0" fontId="6" fillId="0" borderId="0" applyAlignment="1" pivotButton="0" quotePrefix="0" xfId="0">
      <alignment horizontal="right"/>
    </xf>
    <xf numFmtId="0" fontId="13" fillId="0" borderId="0" pivotButton="0" quotePrefix="0" xfId="0"/>
    <xf numFmtId="9" fontId="4" fillId="0" borderId="0" applyAlignment="1" pivotButton="0" quotePrefix="0" xfId="0">
      <alignment horizontal="right"/>
    </xf>
    <xf numFmtId="0" fontId="7" fillId="0" borderId="0" applyAlignment="1" pivotButton="0" quotePrefix="0" xfId="0">
      <alignment horizontal="right"/>
    </xf>
    <xf numFmtId="9" fontId="5"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2"/>
  <sheetViews>
    <sheetView workbookViewId="0">
      <selection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Bajaj Finance Ltd (NSE: BAJFINANCE) — Financial Model &amp; Valuation</t>
        </is>
      </c>
    </row>
    <row r="2" ht="30" customHeight="1">
      <c r="A2" s="2" t="inlineStr">
        <is>
          <t>India's largest private-sector NBFC. On 7 August the RBI released draft norms restricting NBFCs to term loans and discontinuing revolving credit; the stock fell 5.8%. The question was never the quality of the lending — it is what a compressing return on equity is worth, and what regulation may now do to the growth behind it.</t>
        </is>
      </c>
    </row>
    <row r="4">
      <c r="A4" s="3" t="inlineStr">
        <is>
          <t>SNAPSHOT</t>
        </is>
      </c>
    </row>
    <row r="6">
      <c r="A6" s="4" t="inlineStr">
        <is>
          <t>Current market price (₹, 07-Aug-2026)</t>
        </is>
      </c>
      <c r="B6" s="5" t="n">
        <v>1078</v>
      </c>
    </row>
    <row r="7">
      <c r="A7" s="6" t="inlineStr">
        <is>
          <t>Market capitalisation (₹ Cr)</t>
        </is>
      </c>
      <c r="B7" s="7" t="n">
        <v>671055</v>
      </c>
    </row>
    <row r="8">
      <c r="A8" s="4" t="inlineStr">
        <is>
          <t>Shares outstanding (Cr)</t>
        </is>
      </c>
      <c r="B8" s="8" t="n">
        <v>622.5</v>
      </c>
    </row>
    <row r="9">
      <c r="A9" s="6" t="inlineStr">
        <is>
          <t>52-week high / low (₹)</t>
        </is>
      </c>
      <c r="B9" s="9" t="inlineStr">
        <is>
          <t>1,178 / 788</t>
        </is>
      </c>
    </row>
    <row r="10">
      <c r="A10" s="4" t="inlineStr">
        <is>
          <t>Book value / share (₹)</t>
        </is>
      </c>
      <c r="B10" s="5" t="n">
        <v>183.1</v>
      </c>
    </row>
    <row r="11">
      <c r="A11" s="6" t="inlineStr">
        <is>
          <t>Price / book (x)</t>
        </is>
      </c>
      <c r="B11" s="10" t="n">
        <v>5.89</v>
      </c>
    </row>
    <row r="12">
      <c r="A12" s="4" t="inlineStr">
        <is>
          <t>Trailing P/E (x)</t>
        </is>
      </c>
      <c r="B12" s="8" t="n">
        <v>33</v>
      </c>
    </row>
    <row r="13">
      <c r="A13" s="6" t="inlineStr">
        <is>
          <t>FY2026 net profit (₹ Cr)</t>
        </is>
      </c>
      <c r="B13" s="7" t="n">
        <v>19332</v>
      </c>
    </row>
    <row r="14">
      <c r="A14" s="4" t="inlineStr">
        <is>
          <t>FY2026 EPS (₹)</t>
        </is>
      </c>
      <c r="B14" s="8" t="n">
        <v>30.56</v>
      </c>
    </row>
    <row r="15">
      <c r="A15" s="6" t="inlineStr">
        <is>
          <t>FY2026 ROE (%)</t>
        </is>
      </c>
      <c r="B15" s="10" t="n">
        <v>18.2</v>
      </c>
    </row>
    <row r="16">
      <c r="A16" s="4" t="inlineStr">
        <is>
          <t>Dividend yield (%)</t>
        </is>
      </c>
      <c r="B16" s="8" t="n">
        <v>0.47</v>
      </c>
    </row>
    <row r="17">
      <c r="A17" s="6" t="inlineStr">
        <is>
          <t>India 10-yr G-sec (%)</t>
        </is>
      </c>
      <c r="B17" s="10" t="n">
        <v>7.12</v>
      </c>
    </row>
    <row r="20">
      <c r="A20" s="3" t="inlineStr">
        <is>
          <t>Q1 FY2027 RESULTS (reported 30-Jul-2026)</t>
        </is>
      </c>
    </row>
    <row r="22">
      <c r="A22" s="11" t="inlineStr">
        <is>
          <t>Metric</t>
        </is>
      </c>
      <c r="B22" s="12" t="inlineStr">
        <is>
          <t>Value</t>
        </is>
      </c>
      <c r="C22" s="12" t="inlineStr">
        <is>
          <t>Comment</t>
        </is>
      </c>
    </row>
    <row r="23">
      <c r="A23" s="6" t="inlineStr">
        <is>
          <t>AUM (₹ Cr)</t>
        </is>
      </c>
      <c r="B23" s="9" t="inlineStr">
        <is>
          <t>5,46,944</t>
        </is>
      </c>
      <c r="C23" s="13" t="inlineStr">
        <is>
          <t>+23.9% YoY</t>
        </is>
      </c>
    </row>
    <row r="24">
      <c r="A24" s="6" t="inlineStr">
        <is>
          <t>Net interest income (₹ Cr)</t>
        </is>
      </c>
      <c r="B24" s="9" t="inlineStr">
        <is>
          <t>12,571</t>
        </is>
      </c>
      <c r="C24" s="13" t="inlineStr">
        <is>
          <t>+22.9% YoY</t>
        </is>
      </c>
    </row>
    <row r="25">
      <c r="A25" s="6" t="inlineStr">
        <is>
          <t>Net profit, attributable (₹ Cr)</t>
        </is>
      </c>
      <c r="B25" s="9" t="inlineStr">
        <is>
          <t>5,986</t>
        </is>
      </c>
      <c r="C25" s="13" t="inlineStr">
        <is>
          <t>+27.4% YoY</t>
        </is>
      </c>
    </row>
    <row r="26">
      <c r="A26" s="6" t="inlineStr">
        <is>
          <t>EPS (₹)</t>
        </is>
      </c>
      <c r="B26" s="9" t="inlineStr">
        <is>
          <t>9.61</t>
        </is>
      </c>
      <c r="C26" s="13" t="inlineStr">
        <is>
          <t>annualises to ~₹38</t>
        </is>
      </c>
    </row>
    <row r="27">
      <c r="A27" s="6" t="inlineStr">
        <is>
          <t>Gross NPA (%)</t>
        </is>
      </c>
      <c r="B27" s="9" t="inlineStr">
        <is>
          <t>0.96</t>
        </is>
      </c>
      <c r="C27" s="13" t="inlineStr">
        <is>
          <t>improved from 1.03%</t>
        </is>
      </c>
    </row>
    <row r="28">
      <c r="A28" s="6" t="inlineStr">
        <is>
          <t>Net NPA (%)</t>
        </is>
      </c>
      <c r="B28" s="9" t="inlineStr">
        <is>
          <t>0.39</t>
        </is>
      </c>
      <c r="C28" s="13" t="inlineStr">
        <is>
          <t>improved from 0.50%</t>
        </is>
      </c>
    </row>
    <row r="29">
      <c r="A29" s="6" t="inlineStr">
        <is>
          <t>Credit cost (%)</t>
        </is>
      </c>
      <c r="B29" s="9" t="inlineStr">
        <is>
          <t>1.54</t>
        </is>
      </c>
      <c r="C29" s="13" t="inlineStr">
        <is>
          <t>from 1.87%; 1.31% ex one-off provision</t>
        </is>
      </c>
    </row>
    <row r="30">
      <c r="A30" s="6" t="inlineStr">
        <is>
          <t>ROE (%)</t>
        </is>
      </c>
      <c r="B30" s="9" t="inlineStr">
        <is>
          <t>&gt;20</t>
        </is>
      </c>
      <c r="C30" s="13" t="inlineStr">
        <is>
          <t>above the FY2026 full-year 18.2%</t>
        </is>
      </c>
    </row>
    <row r="32" ht="28" customHeight="1">
      <c r="A32" s="14" t="inlineStr">
        <is>
          <t>Note: consolidated net profit of ₹6,081 Cr includes minority interests; EPS of ₹9.61 on 622.5 crore shares implies ₹5,986 Cr attributable to owners. A genuinely strong quarter — growth, margin and asset quality all improved.</t>
        </is>
      </c>
    </row>
  </sheetData>
  <mergeCells count="4">
    <mergeCell ref="A32:G32"/>
    <mergeCell ref="A20:G20"/>
    <mergeCell ref="A2:G2"/>
    <mergeCell ref="A4:G4"/>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G62"/>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30" customWidth="1" min="7" max="7"/>
  </cols>
  <sheetData>
    <row r="1">
      <c r="A1" s="15" t="inlineStr">
        <is>
          <t>Bajaj Finance — Multi-Method Valuation</t>
        </is>
      </c>
    </row>
    <row r="2" ht="28" customHeight="1">
      <c r="A2" s="2" t="inlineStr">
        <is>
          <t>₹ unless stated. An NBFC is valued on returns and multiples, not cash flow. Relative methods lead; a multi-stage excess-return model provides the intrinsic discipline check. Live ₹1,078 (07-Aug-2026 close, after a 5.8% fall on the RBI draft norms).</t>
        </is>
      </c>
    </row>
    <row r="4">
      <c r="A4" s="3" t="inlineStr">
        <is>
          <t>KEY INPUTS</t>
        </is>
      </c>
    </row>
    <row r="5">
      <c r="A5" s="6" t="inlineStr">
        <is>
          <t>Live share price (₹)</t>
        </is>
      </c>
      <c r="B5" s="16" t="n">
        <v>1078</v>
      </c>
    </row>
    <row r="6">
      <c r="A6" s="6" t="inlineStr">
        <is>
          <t>Shares outstanding (Cr)</t>
        </is>
      </c>
      <c r="B6" s="16" t="n">
        <v>622.5</v>
      </c>
    </row>
    <row r="7">
      <c r="A7" s="6" t="inlineStr">
        <is>
          <t>Net worth FY2026 (₹ Cr)</t>
        </is>
      </c>
      <c r="B7" s="16" t="n">
        <v>113999</v>
      </c>
    </row>
    <row r="8">
      <c r="A8" s="6" t="inlineStr">
        <is>
          <t>Book value / share (₹)</t>
        </is>
      </c>
      <c r="B8" s="16" t="n">
        <v>183.1</v>
      </c>
    </row>
    <row r="9">
      <c r="A9" s="6" t="inlineStr">
        <is>
          <t>FY2027E EPS (₹)</t>
        </is>
      </c>
      <c r="B9" s="16" t="n">
        <v>39</v>
      </c>
    </row>
    <row r="10">
      <c r="A10" s="6" t="inlineStr">
        <is>
          <t>Cost of equity (RF 7.12% + beta 1.0 × ERP 5.4%)</t>
        </is>
      </c>
      <c r="B10" s="17" t="n">
        <v>0.125</v>
      </c>
    </row>
    <row r="11">
      <c r="A11" s="6" t="inlineStr">
        <is>
          <t>Sustainable ROE</t>
        </is>
      </c>
      <c r="B11" s="17" t="n">
        <v>0.2</v>
      </c>
    </row>
    <row r="12">
      <c r="A12" s="6" t="inlineStr">
        <is>
          <t>Terminal growth</t>
        </is>
      </c>
      <c r="B12" s="17" t="n">
        <v>0.08500000000000001</v>
      </c>
    </row>
    <row r="13">
      <c r="A13" s="6" t="inlineStr">
        <is>
          <t>Dividend yield</t>
        </is>
      </c>
      <c r="B13" s="17" t="n">
        <v>0.0047</v>
      </c>
    </row>
    <row r="15">
      <c r="A15" s="3" t="inlineStr">
        <is>
          <t>METHOD 1 &amp; 2 — RELATIVE (the market's language for an NBFC)</t>
        </is>
      </c>
    </row>
    <row r="16">
      <c r="A16" s="11" t="inlineStr">
        <is>
          <t>Method</t>
        </is>
      </c>
      <c r="B16" s="12" t="inlineStr">
        <is>
          <t>Multiple (x)</t>
        </is>
      </c>
      <c r="C16" s="12" t="inlineStr">
        <is>
          <t>× FY2027E EPS</t>
        </is>
      </c>
      <c r="D16" s="12" t="inlineStr">
        <is>
          <t>Value/share (₹)</t>
        </is>
      </c>
      <c r="E16" s="12" t="inlineStr">
        <is>
          <t>vs price</t>
        </is>
      </c>
      <c r="F16" s="12" t="inlineStr"/>
      <c r="G16" s="12" t="inlineStr">
        <is>
          <t>Basis</t>
        </is>
      </c>
    </row>
    <row r="17">
      <c r="A17" s="6" t="inlineStr">
        <is>
          <t>Justified forward P/E</t>
        </is>
      </c>
      <c r="B17" s="18" t="n">
        <v>30</v>
      </c>
      <c r="C17" s="19">
        <f>$B$9</f>
        <v/>
      </c>
      <c r="D17" s="20">
        <f>B17*C17</f>
        <v/>
      </c>
      <c r="E17" s="21">
        <f>D17/$B$5-1</f>
        <v/>
      </c>
      <c r="G17" s="13" t="inlineStr">
        <is>
          <t>Premium for growth + asset quality</t>
        </is>
      </c>
    </row>
    <row r="18">
      <c r="A18" s="6" t="inlineStr">
        <is>
          <t>Peer-set forward P/E</t>
        </is>
      </c>
      <c r="B18" s="18" t="n">
        <v>28</v>
      </c>
      <c r="C18" s="19">
        <f>$B$9</f>
        <v/>
      </c>
      <c r="D18" s="20">
        <f>B18*C18</f>
        <v/>
      </c>
      <c r="E18" s="21">
        <f>D18/$B$5-1</f>
        <v/>
      </c>
      <c r="G18" s="13" t="inlineStr">
        <is>
          <t>Chola 28.8x, Tata Capital 29.9x</t>
        </is>
      </c>
    </row>
    <row r="19">
      <c r="A19" s="13" t="inlineStr">
        <is>
          <t>Bajaj now trades at 27.6x forward and 5.89x book, down from 29.4x and 6.25x before the RBI draft was released.</t>
        </is>
      </c>
    </row>
    <row r="21">
      <c r="A21" s="3" t="inlineStr">
        <is>
          <t>METHOD 3 — MULTI-STAGE EXCESS RETURN (intrinsic discipline check)</t>
        </is>
      </c>
    </row>
    <row r="22">
      <c r="A22" s="13" t="inlineStr">
        <is>
          <t>Equity value = opening book value + PV of excess returns + PV of terminal value</t>
        </is>
      </c>
    </row>
    <row r="23">
      <c r="A23" s="11" t="inlineStr"/>
      <c r="B23" s="12" t="inlineStr">
        <is>
          <t>Value (₹ Cr)</t>
        </is>
      </c>
      <c r="C23" s="12" t="inlineStr">
        <is>
          <t>Note</t>
        </is>
      </c>
    </row>
    <row r="24">
      <c r="A24" s="6" t="inlineStr">
        <is>
          <t>Opening net worth (FY2026)</t>
        </is>
      </c>
      <c r="B24" s="22" t="n">
        <v>113999</v>
      </c>
      <c r="C24" s="13" t="inlineStr">
        <is>
          <t>reported</t>
        </is>
      </c>
    </row>
    <row r="25">
      <c r="A25" s="6" t="inlineStr">
        <is>
          <t>PV of excess returns, 15 years</t>
        </is>
      </c>
      <c r="B25" s="22" t="n">
        <v>57120</v>
      </c>
      <c r="C25" s="13" t="inlineStr">
        <is>
          <t>ROE fading 20% → 15%, payout rising 20% → 35%</t>
        </is>
      </c>
    </row>
    <row r="26">
      <c r="A26" s="6" t="inlineStr">
        <is>
          <t>PV of terminal value</t>
        </is>
      </c>
      <c r="B26" s="22" t="n">
        <v>98470</v>
      </c>
      <c r="C26" s="13" t="inlineStr">
        <is>
          <t>terminal growth 8.5%</t>
        </is>
      </c>
    </row>
    <row r="27">
      <c r="A27" s="23" t="inlineStr">
        <is>
          <t>Equity value</t>
        </is>
      </c>
      <c r="B27" s="7" t="n">
        <v>269589</v>
      </c>
      <c r="C27" s="13" t="inlineStr"/>
    </row>
    <row r="28">
      <c r="A28" s="24" t="inlineStr">
        <is>
          <t>Excess-return value per share (₹)</t>
        </is>
      </c>
      <c r="B28" s="25">
        <f>B27/B6</f>
        <v/>
      </c>
    </row>
    <row r="29" ht="40" customHeight="1">
      <c r="A29" s="14" t="inlineStr">
        <is>
          <t>Caution: this method is assumption-dominated for a business of this growth duration. Moving terminal growth from 7.0% to 9.5% moves the answer from ₹400 to ₹473; the model cannot price a franchise compounding above nominal GDP for decades. It is carried at 20% weight as a floor, not as the anchor.</t>
        </is>
      </c>
    </row>
    <row r="31">
      <c r="A31" s="3" t="inlineStr">
        <is>
          <t>BLENDED VALUATION &amp; RATING</t>
        </is>
      </c>
    </row>
    <row r="32">
      <c r="A32" s="11" t="inlineStr">
        <is>
          <t>Method</t>
        </is>
      </c>
      <c r="B32" s="12" t="inlineStr">
        <is>
          <t>Value/share (₹)</t>
        </is>
      </c>
      <c r="C32" s="12" t="inlineStr">
        <is>
          <t>vs price</t>
        </is>
      </c>
      <c r="D32" s="12" t="inlineStr">
        <is>
          <t>Weight</t>
        </is>
      </c>
    </row>
    <row r="33">
      <c r="A33" s="6" t="inlineStr">
        <is>
          <t>Justified forward P/E (30x)</t>
        </is>
      </c>
      <c r="B33" s="20">
        <f>D17</f>
        <v/>
      </c>
      <c r="C33" s="21">
        <f>B33/B5-1</f>
        <v/>
      </c>
      <c r="D33" s="26" t="n">
        <v>0.5</v>
      </c>
    </row>
    <row r="34">
      <c r="A34" s="6" t="inlineStr">
        <is>
          <t>Peer-set forward P/E (28x)</t>
        </is>
      </c>
      <c r="B34" s="20">
        <f>D18</f>
        <v/>
      </c>
      <c r="C34" s="21">
        <f>B34/B5-1</f>
        <v/>
      </c>
      <c r="D34" s="26" t="n">
        <v>0.3</v>
      </c>
    </row>
    <row r="35">
      <c r="A35" s="6" t="inlineStr">
        <is>
          <t>Excess return (floor)</t>
        </is>
      </c>
      <c r="B35" s="20">
        <f>B28</f>
        <v/>
      </c>
      <c r="C35" s="21">
        <f>B35/B5-1</f>
        <v/>
      </c>
      <c r="D35" s="26" t="n">
        <v>0.2</v>
      </c>
    </row>
    <row r="37">
      <c r="A37" s="27" t="inlineStr">
        <is>
          <t>Blended fair value (₹)</t>
        </is>
      </c>
      <c r="B37" s="28">
        <f>SUMPRODUCT(B33:B35,D33:D35)</f>
        <v/>
      </c>
    </row>
    <row r="38">
      <c r="A38" s="6" t="inlineStr">
        <is>
          <t>Upside / (downside)</t>
        </is>
      </c>
      <c r="B38" s="21">
        <f>B37/B5-1</f>
        <v/>
      </c>
    </row>
    <row r="39">
      <c r="A39" s="6" t="inlineStr">
        <is>
          <t>Add: dividend yield</t>
        </is>
      </c>
      <c r="B39" s="29">
        <f>B13</f>
        <v/>
      </c>
    </row>
    <row r="40">
      <c r="A40" s="23" t="inlineStr">
        <is>
          <t>Total expected return</t>
        </is>
      </c>
      <c r="B40" s="21">
        <f>B38+B39</f>
        <v/>
      </c>
    </row>
    <row r="41">
      <c r="A41" s="6" t="inlineStr">
        <is>
          <t>Cost of equity</t>
        </is>
      </c>
      <c r="B41" s="21">
        <f>B10</f>
        <v/>
      </c>
    </row>
    <row r="42">
      <c r="A42" s="27" t="inlineStr">
        <is>
          <t>Rating</t>
        </is>
      </c>
      <c r="B42" s="30">
        <f>IF(B40&gt;B10,"BUY",IF(B40&gt;0.0912,"ACCUMULATE",IF(B40&gt;0,"HOLD","REDUCE")))</f>
        <v/>
      </c>
    </row>
    <row r="44" ht="28" customHeight="1">
      <c r="A44" s="14" t="inlineStr">
        <is>
          <t>Rating bands anchored to the Indian risk-free rate (10-yr G-sec 7.12%): BUY above the 12.5% cost of equity, ACCUMULATE above risk-free +2pp (9.12%), HOLD between zero and risk-free, REDUCE below zero.</t>
        </is>
      </c>
    </row>
    <row r="46">
      <c r="A46" s="3" t="inlineStr">
        <is>
          <t>SENSITIVITY — blended fair value (₹) vs forward multiple and excess-return anchor</t>
        </is>
      </c>
    </row>
    <row r="47">
      <c r="A47" s="11" t="inlineStr">
        <is>
          <t>Fwd P/E \ excess-return value</t>
        </is>
      </c>
      <c r="B47" s="12" t="inlineStr">
        <is>
          <t>₹400</t>
        </is>
      </c>
      <c r="C47" s="12" t="inlineStr">
        <is>
          <t>₹450</t>
        </is>
      </c>
      <c r="D47" s="12" t="inlineStr">
        <is>
          <t>₹500</t>
        </is>
      </c>
      <c r="E47" s="12" t="inlineStr">
        <is>
          <t>₹550</t>
        </is>
      </c>
    </row>
    <row r="48">
      <c r="A48" s="31" t="inlineStr">
        <is>
          <t>26x</t>
        </is>
      </c>
      <c r="B48" s="20" t="n">
        <v>868</v>
      </c>
      <c r="C48" s="20" t="n">
        <v>878</v>
      </c>
      <c r="D48" s="20" t="n">
        <v>888</v>
      </c>
      <c r="E48" s="20" t="n">
        <v>898</v>
      </c>
    </row>
    <row r="49">
      <c r="A49" s="31" t="inlineStr">
        <is>
          <t>28x</t>
        </is>
      </c>
      <c r="B49" s="20" t="n">
        <v>930</v>
      </c>
      <c r="C49" s="20" t="n">
        <v>940</v>
      </c>
      <c r="D49" s="20" t="n">
        <v>950</v>
      </c>
      <c r="E49" s="20" t="n">
        <v>960</v>
      </c>
    </row>
    <row r="50">
      <c r="A50" s="31" t="inlineStr">
        <is>
          <t>30x</t>
        </is>
      </c>
      <c r="B50" s="20" t="n">
        <v>993</v>
      </c>
      <c r="C50" s="20" t="n">
        <v>1003</v>
      </c>
      <c r="D50" s="20" t="n">
        <v>1013</v>
      </c>
      <c r="E50" s="20" t="n">
        <v>1023</v>
      </c>
    </row>
    <row r="51">
      <c r="A51" s="31" t="inlineStr">
        <is>
          <t>32x</t>
        </is>
      </c>
      <c r="B51" s="20" t="n">
        <v>1055</v>
      </c>
      <c r="C51" s="20" t="n">
        <v>1065</v>
      </c>
      <c r="D51" s="20" t="n">
        <v>1075</v>
      </c>
      <c r="E51" s="20" t="n">
        <v>1085</v>
      </c>
    </row>
    <row r="52">
      <c r="A52" s="31" t="inlineStr">
        <is>
          <t>34x</t>
        </is>
      </c>
      <c r="B52" s="20" t="n">
        <v>1117</v>
      </c>
      <c r="C52" s="20" t="n">
        <v>1127</v>
      </c>
      <c r="D52" s="20" t="n">
        <v>1137</v>
      </c>
      <c r="E52" s="20" t="n">
        <v>1147</v>
      </c>
    </row>
    <row r="53">
      <c r="A53" s="13" t="inlineStr">
        <is>
          <t>Current price ₹1,145. Only the top-right of this grid — a 34x multiple AND a ₹550 intrinsic floor — reaches it.</t>
        </is>
      </c>
    </row>
    <row r="55">
      <c r="A55" s="3" t="inlineStr">
        <is>
          <t>RBI DRAFT NORMS (7-Aug-2026) — SCENARIO IMPACT</t>
        </is>
      </c>
    </row>
    <row r="56">
      <c r="A56" s="43" t="inlineStr">
        <is>
          <t>Scenario</t>
        </is>
      </c>
      <c r="B56" s="44" t="inlineStr">
        <is>
          <t>FY2027E EPS (₹)</t>
        </is>
      </c>
      <c r="C56" s="44" t="inlineStr">
        <is>
          <t>Blended FV (₹)</t>
        </is>
      </c>
      <c r="D56" s="44" t="inlineStr">
        <is>
          <t>Total return</t>
        </is>
      </c>
      <c r="E56" s="44" t="inlineStr">
        <is>
          <t>Rating</t>
        </is>
      </c>
    </row>
    <row r="57">
      <c r="A57" s="6" t="inlineStr">
        <is>
          <t>Draft diluted or carve-outs won — no earnings impact</t>
        </is>
      </c>
      <c r="B57" s="18" t="n">
        <v>39</v>
      </c>
      <c r="C57" s="20" t="n">
        <v>999</v>
      </c>
      <c r="D57" s="21" t="n">
        <v>-0.0683983302411874</v>
      </c>
      <c r="E57" s="9" t="inlineStr">
        <is>
          <t>REDUCE</t>
        </is>
      </c>
    </row>
    <row r="58">
      <c r="A58" s="6" t="inlineStr">
        <is>
          <t>5% hit to FY2027E earnings</t>
        </is>
      </c>
      <c r="B58" s="18" t="n">
        <v>37</v>
      </c>
      <c r="C58" s="20" t="n">
        <v>952</v>
      </c>
      <c r="D58" s="21" t="n">
        <v>-0.1118120593692023</v>
      </c>
      <c r="E58" s="9" t="inlineStr">
        <is>
          <t>REDUCE</t>
        </is>
      </c>
    </row>
    <row r="59">
      <c r="A59" s="6" t="inlineStr">
        <is>
          <t>10% hit</t>
        </is>
      </c>
      <c r="B59" s="18" t="n">
        <v>35.1</v>
      </c>
      <c r="C59" s="20" t="n">
        <v>908</v>
      </c>
      <c r="D59" s="21" t="n">
        <v>-0.1530551020408163</v>
      </c>
      <c r="E59" s="9" t="inlineStr">
        <is>
          <t>REDUCE</t>
        </is>
      </c>
    </row>
    <row r="60">
      <c r="A60" s="6" t="inlineStr">
        <is>
          <t>15% hit — full revolving book repriced</t>
        </is>
      </c>
      <c r="B60" s="18" t="n">
        <v>33.1</v>
      </c>
      <c r="C60" s="20" t="n">
        <v>861</v>
      </c>
      <c r="D60" s="21" t="n">
        <v>-0.1964688311688312</v>
      </c>
      <c r="E60" s="9" t="inlineStr">
        <is>
          <t>REDUCE</t>
        </is>
      </c>
    </row>
    <row r="62" ht="52" customHeight="1">
      <c r="A62" s="14" t="inlineStr">
        <is>
          <t>IIFL estimates revolving-credit facilities are roughly 15% of Bajaj Finance's AUM — the highest exposure among large NBFCs. The draft would restrict NBFCs to term loans and discontinue revolving products, except for those authorised to issue credit cards. We do not move our base case on a draft: it is a consultation, carve-outs are common, and the final rules may look very different. But every scenario above remains a REDUCE, and the risk is one-directional.</t>
        </is>
      </c>
    </row>
  </sheetData>
  <mergeCells count="14">
    <mergeCell ref="A44:G44"/>
    <mergeCell ref="A1:G1"/>
    <mergeCell ref="A31:G31"/>
    <mergeCell ref="A21:G21"/>
    <mergeCell ref="A22:G22"/>
    <mergeCell ref="A53:G53"/>
    <mergeCell ref="A55:G55"/>
    <mergeCell ref="A4:G4"/>
    <mergeCell ref="A62:G62"/>
    <mergeCell ref="A2:G2"/>
    <mergeCell ref="A15:G15"/>
    <mergeCell ref="A29:G29"/>
    <mergeCell ref="A19:G19"/>
    <mergeCell ref="A46:G46"/>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F15"/>
  <sheetViews>
    <sheetView workbookViewId="0">
      <selection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32" t="inlineStr">
        <is>
          <t>Bajaj Finance — Income Statement (consolidated, ₹ Cr)</t>
        </is>
      </c>
    </row>
    <row r="3">
      <c r="A3" s="11" t="inlineStr">
        <is>
          <t>₹ Crore</t>
        </is>
      </c>
      <c r="B3" s="12" t="inlineStr">
        <is>
          <t>FY2022</t>
        </is>
      </c>
      <c r="C3" s="12" t="inlineStr">
        <is>
          <t>FY2023</t>
        </is>
      </c>
      <c r="D3" s="12" t="inlineStr">
        <is>
          <t>FY2024</t>
        </is>
      </c>
      <c r="E3" s="12" t="inlineStr">
        <is>
          <t>FY2025</t>
        </is>
      </c>
      <c r="F3" s="12" t="inlineStr">
        <is>
          <t>FY2026</t>
        </is>
      </c>
    </row>
    <row r="4">
      <c r="A4" s="3" t="inlineStr">
        <is>
          <t>REVENUE &amp; PROFIT</t>
        </is>
      </c>
    </row>
    <row r="5">
      <c r="A5" s="23" t="inlineStr">
        <is>
          <t>Total income</t>
        </is>
      </c>
      <c r="B5" s="7" t="n">
        <v>31633</v>
      </c>
      <c r="C5" s="7" t="n">
        <v>41411</v>
      </c>
      <c r="D5" s="7" t="n">
        <v>54972</v>
      </c>
      <c r="E5" s="7" t="n">
        <v>68832</v>
      </c>
      <c r="F5" s="7" t="n">
        <v>81985</v>
      </c>
    </row>
    <row r="6">
      <c r="A6" s="4" t="inlineStr">
        <is>
          <t>Interest expense</t>
        </is>
      </c>
      <c r="B6" s="33" t="n">
        <v>9848</v>
      </c>
      <c r="C6" s="33" t="n">
        <v>12701</v>
      </c>
      <c r="D6" s="33" t="n">
        <v>18886</v>
      </c>
      <c r="E6" s="33" t="n">
        <v>24991</v>
      </c>
      <c r="F6" s="33" t="n">
        <v>28899</v>
      </c>
    </row>
    <row r="7">
      <c r="A7" s="6" t="inlineStr">
        <is>
          <t>Operating expenses</t>
        </is>
      </c>
      <c r="B7" s="22" t="n">
        <v>11880</v>
      </c>
      <c r="C7" s="22" t="n">
        <v>12693</v>
      </c>
      <c r="D7" s="22" t="n">
        <v>16099</v>
      </c>
      <c r="E7" s="22" t="n">
        <v>20878</v>
      </c>
      <c r="F7" s="22" t="n">
        <v>25998</v>
      </c>
    </row>
    <row r="8">
      <c r="A8" s="23" t="inlineStr">
        <is>
          <t>Financing profit</t>
        </is>
      </c>
      <c r="B8" s="7" t="n">
        <v>9905</v>
      </c>
      <c r="C8" s="7" t="n">
        <v>16018</v>
      </c>
      <c r="D8" s="7" t="n">
        <v>19987</v>
      </c>
      <c r="E8" s="7" t="n">
        <v>22963</v>
      </c>
      <c r="F8" s="7" t="n">
        <v>27088</v>
      </c>
    </row>
    <row r="9">
      <c r="A9" s="6" t="inlineStr">
        <is>
          <t>Financing margin (%)</t>
        </is>
      </c>
      <c r="B9" s="34" t="n">
        <v>31</v>
      </c>
      <c r="C9" s="34" t="n">
        <v>39</v>
      </c>
      <c r="D9" s="34" t="n">
        <v>36</v>
      </c>
      <c r="E9" s="34" t="n">
        <v>33</v>
      </c>
      <c r="F9" s="34" t="n">
        <v>33</v>
      </c>
    </row>
    <row r="10">
      <c r="A10" s="4" t="inlineStr">
        <is>
          <t>Profit before tax</t>
        </is>
      </c>
      <c r="B10" s="33" t="n">
        <v>9504</v>
      </c>
      <c r="C10" s="33" t="n">
        <v>15528</v>
      </c>
      <c r="D10" s="33" t="n">
        <v>19310</v>
      </c>
      <c r="E10" s="33" t="n">
        <v>22080</v>
      </c>
      <c r="F10" s="33" t="n">
        <v>25817</v>
      </c>
    </row>
    <row r="11">
      <c r="A11" s="23" t="inlineStr">
        <is>
          <t>Net profit</t>
        </is>
      </c>
      <c r="B11" s="7" t="n">
        <v>7028</v>
      </c>
      <c r="C11" s="7" t="n">
        <v>11508</v>
      </c>
      <c r="D11" s="7" t="n">
        <v>14451</v>
      </c>
      <c r="E11" s="7" t="n">
        <v>16779</v>
      </c>
      <c r="F11" s="7" t="n">
        <v>19332</v>
      </c>
    </row>
    <row r="12">
      <c r="A12" s="23" t="inlineStr">
        <is>
          <t>EPS (₹)</t>
        </is>
      </c>
      <c r="B12" s="10" t="n">
        <v>11.61</v>
      </c>
      <c r="C12" s="10" t="n">
        <v>19.01</v>
      </c>
      <c r="D12" s="10" t="n">
        <v>23.35</v>
      </c>
      <c r="E12" s="10" t="n">
        <v>26.77</v>
      </c>
      <c r="F12" s="10" t="n">
        <v>30.56</v>
      </c>
    </row>
    <row r="13">
      <c r="A13" s="23" t="inlineStr">
        <is>
          <t>Return on equity (%)</t>
        </is>
      </c>
      <c r="B13" s="35" t="n">
        <v>17</v>
      </c>
      <c r="C13" s="35" t="n">
        <v>23</v>
      </c>
      <c r="D13" s="35" t="n">
        <v>22</v>
      </c>
      <c r="E13" s="35" t="n">
        <v>19</v>
      </c>
      <c r="F13" s="35" t="n">
        <v>18.2</v>
      </c>
    </row>
    <row r="15" ht="34" customHeight="1">
      <c r="A15" s="14" t="inlineStr">
        <is>
          <t>The tension in one row. Net profit has compounded at 29% a year and EPS has grown 163% over four years — yet return on equity has fallen from 23% in FY2023 to 18.2% in FY2026, as the equity base has grown faster than earnings. That compression, not the growth, is what a 6.25x price-to-book has to justify.</t>
        </is>
      </c>
    </row>
  </sheetData>
  <mergeCells count="3">
    <mergeCell ref="A1:F1"/>
    <mergeCell ref="A4:F4"/>
    <mergeCell ref="A15:F15"/>
  </mergeCells>
  <pageMargins left="0.75" right="0.75" top="1" bottom="1" header="0.5" footer="0.5"/>
  <pageSetup orientation="landscape" fitToHeight="1" fitToWidth="1"/>
</worksheet>
</file>

<file path=xl/worksheets/sheet4.xml><?xml version="1.0" encoding="utf-8"?>
<worksheet xmlns="http://schemas.openxmlformats.org/spreadsheetml/2006/main">
  <sheetPr>
    <outlinePr summaryBelow="1" summaryRight="1"/>
    <pageSetUpPr fitToPage="1"/>
  </sheetPr>
  <dimension ref="A1:F17"/>
  <sheetViews>
    <sheetView workbookViewId="0">
      <selection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32" t="inlineStr">
        <is>
          <t>Bajaj Finance — Balance Sheet (consolidated, ₹ Cr)</t>
        </is>
      </c>
    </row>
    <row r="3">
      <c r="A3" s="11" t="inlineStr">
        <is>
          <t>₹ Crore</t>
        </is>
      </c>
      <c r="B3" s="12" t="inlineStr">
        <is>
          <t>FY2022</t>
        </is>
      </c>
      <c r="C3" s="12" t="inlineStr">
        <is>
          <t>FY2023</t>
        </is>
      </c>
      <c r="D3" s="12" t="inlineStr">
        <is>
          <t>FY2024</t>
        </is>
      </c>
      <c r="E3" s="12" t="inlineStr">
        <is>
          <t>FY2025</t>
        </is>
      </c>
      <c r="F3" s="12" t="inlineStr">
        <is>
          <t>FY2026</t>
        </is>
      </c>
    </row>
    <row r="4">
      <c r="A4" s="3" t="inlineStr">
        <is>
          <t>CAPITAL &amp; FUNDING</t>
        </is>
      </c>
    </row>
    <row r="5">
      <c r="A5" s="6" t="inlineStr">
        <is>
          <t>Equity capital</t>
        </is>
      </c>
      <c r="B5" s="22" t="n">
        <v>121</v>
      </c>
      <c r="C5" s="22" t="n">
        <v>121</v>
      </c>
      <c r="D5" s="22" t="n">
        <v>124</v>
      </c>
      <c r="E5" s="22" t="n">
        <v>124</v>
      </c>
      <c r="F5" s="22" t="n">
        <v>622</v>
      </c>
    </row>
    <row r="6">
      <c r="A6" s="4" t="inlineStr">
        <is>
          <t>Reserves</t>
        </is>
      </c>
      <c r="B6" s="33" t="n">
        <v>43592</v>
      </c>
      <c r="C6" s="33" t="n">
        <v>54251</v>
      </c>
      <c r="D6" s="33" t="n">
        <v>76572</v>
      </c>
      <c r="E6" s="33" t="n">
        <v>96569</v>
      </c>
      <c r="F6" s="33" t="n">
        <v>113377</v>
      </c>
    </row>
    <row r="7">
      <c r="A7" s="23" t="inlineStr">
        <is>
          <t>Net worth</t>
        </is>
      </c>
      <c r="B7" s="7" t="n">
        <v>43713</v>
      </c>
      <c r="C7" s="7" t="n">
        <v>54372</v>
      </c>
      <c r="D7" s="7" t="n">
        <v>76696</v>
      </c>
      <c r="E7" s="7" t="n">
        <v>96693</v>
      </c>
      <c r="F7" s="7" t="n">
        <v>113999</v>
      </c>
    </row>
    <row r="8">
      <c r="A8" s="4" t="inlineStr">
        <is>
          <t>Borrowings</t>
        </is>
      </c>
      <c r="B8" s="33" t="n">
        <v>165232</v>
      </c>
      <c r="C8" s="33" t="n">
        <v>216690</v>
      </c>
      <c r="D8" s="33" t="n">
        <v>293346</v>
      </c>
      <c r="E8" s="33" t="n">
        <v>361249</v>
      </c>
      <c r="F8" s="33" t="n">
        <v>435112</v>
      </c>
    </row>
    <row r="9">
      <c r="A9" s="23" t="inlineStr">
        <is>
          <t>Total liabilities &amp; equity</t>
        </is>
      </c>
      <c r="B9" s="7" t="n">
        <v>212505</v>
      </c>
      <c r="C9" s="7" t="n">
        <v>275226</v>
      </c>
      <c r="D9" s="7" t="n">
        <v>375742</v>
      </c>
      <c r="E9" s="7" t="n">
        <v>466127</v>
      </c>
      <c r="F9" s="7" t="n">
        <v>559952</v>
      </c>
    </row>
    <row r="10">
      <c r="A10" s="3" t="inlineStr">
        <is>
          <t>ASSETS</t>
        </is>
      </c>
    </row>
    <row r="11">
      <c r="A11" s="6" t="inlineStr">
        <is>
          <t>Investments</t>
        </is>
      </c>
      <c r="B11" s="22" t="n">
        <v>12246</v>
      </c>
      <c r="C11" s="22" t="n">
        <v>22752</v>
      </c>
      <c r="D11" s="22" t="n">
        <v>30881</v>
      </c>
      <c r="E11" s="22" t="n">
        <v>34441</v>
      </c>
      <c r="F11" s="22" t="n">
        <v>30578</v>
      </c>
    </row>
    <row r="12">
      <c r="A12" s="4" t="inlineStr">
        <is>
          <t>Loans &amp; other assets</t>
        </is>
      </c>
      <c r="B12" s="33" t="n">
        <v>198509</v>
      </c>
      <c r="C12" s="33" t="n">
        <v>250087</v>
      </c>
      <c r="D12" s="33" t="n">
        <v>341568</v>
      </c>
      <c r="E12" s="33" t="n">
        <v>427865</v>
      </c>
      <c r="F12" s="33" t="n">
        <v>525309</v>
      </c>
    </row>
    <row r="13">
      <c r="A13" s="23" t="inlineStr">
        <is>
          <t>Total assets</t>
        </is>
      </c>
      <c r="B13" s="7" t="n">
        <v>212505</v>
      </c>
      <c r="C13" s="7" t="n">
        <v>275226</v>
      </c>
      <c r="D13" s="7" t="n">
        <v>375742</v>
      </c>
      <c r="E13" s="7" t="n">
        <v>466127</v>
      </c>
      <c r="F13" s="7" t="n">
        <v>559952</v>
      </c>
    </row>
    <row r="14">
      <c r="A14" s="3" t="inlineStr">
        <is>
          <t>LEVERAGE</t>
        </is>
      </c>
    </row>
    <row r="15">
      <c r="A15" s="6" t="inlineStr">
        <is>
          <t>Borrowings / net worth (x)</t>
        </is>
      </c>
      <c r="B15" s="36" t="n">
        <v>3.8</v>
      </c>
      <c r="C15" s="36" t="n">
        <v>4</v>
      </c>
      <c r="D15" s="36" t="n">
        <v>3.8</v>
      </c>
      <c r="E15" s="36" t="n">
        <v>3.7</v>
      </c>
      <c r="F15" s="36" t="n">
        <v>3.8</v>
      </c>
    </row>
    <row r="17" ht="34" customHeight="1">
      <c r="A17" s="14" t="inlineStr">
        <is>
          <t>Face value was split to ₹1 and a bonus issued in FY2026, which is why equity capital jumps from ₹124 Cr to ₹622 Cr without any dilution of economic interest. Leverage has been held steady near 3.8x — the balance sheet is not the risk here.</t>
        </is>
      </c>
    </row>
  </sheetData>
  <mergeCells count="5">
    <mergeCell ref="A10:F10"/>
    <mergeCell ref="A14:F14"/>
    <mergeCell ref="A1:F1"/>
    <mergeCell ref="A17:F17"/>
    <mergeCell ref="A4:F4"/>
  </mergeCell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F12"/>
  <sheetViews>
    <sheetView workbookViewId="0">
      <selection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32" t="inlineStr">
        <is>
          <t>Bajaj Finance — Asset Quality &amp; Growth (consolidated, ₹ Cr)</t>
        </is>
      </c>
    </row>
    <row r="3">
      <c r="A3" s="11" t="inlineStr">
        <is>
          <t>₹ Crore</t>
        </is>
      </c>
      <c r="B3" s="12" t="inlineStr">
        <is>
          <t>FY2022</t>
        </is>
      </c>
      <c r="C3" s="12" t="inlineStr">
        <is>
          <t>FY2023</t>
        </is>
      </c>
      <c r="D3" s="12" t="inlineStr">
        <is>
          <t>FY2024</t>
        </is>
      </c>
      <c r="E3" s="12" t="inlineStr">
        <is>
          <t>FY2025</t>
        </is>
      </c>
      <c r="F3" s="12" t="inlineStr">
        <is>
          <t>FY2026</t>
        </is>
      </c>
    </row>
    <row r="4">
      <c r="A4" s="3" t="inlineStr">
        <is>
          <t>ASSET QUALITY</t>
        </is>
      </c>
    </row>
    <row r="5">
      <c r="A5" s="6" t="inlineStr">
        <is>
          <t>Gross NPA (%)</t>
        </is>
      </c>
      <c r="B5" s="34" t="n">
        <v>1.6</v>
      </c>
      <c r="C5" s="34" t="n">
        <v>0.9399999999999999</v>
      </c>
      <c r="D5" s="34" t="n">
        <v>0.85</v>
      </c>
      <c r="E5" s="34" t="n">
        <v>0.96</v>
      </c>
      <c r="F5" s="34" t="n">
        <v>1.01</v>
      </c>
    </row>
    <row r="6">
      <c r="A6" s="4" t="inlineStr">
        <is>
          <t>Net NPA (%)</t>
        </is>
      </c>
      <c r="B6" s="37" t="n">
        <v>0.68</v>
      </c>
      <c r="C6" s="37" t="n">
        <v>0.34</v>
      </c>
      <c r="D6" s="37" t="n">
        <v>0.37</v>
      </c>
      <c r="E6" s="37" t="n">
        <v>0.44</v>
      </c>
      <c r="F6" s="37" t="n">
        <v>0.41</v>
      </c>
    </row>
    <row r="7">
      <c r="A7" s="3" t="inlineStr">
        <is>
          <t>GROWTH</t>
        </is>
      </c>
    </row>
    <row r="8">
      <c r="A8" s="4" t="inlineStr">
        <is>
          <t>Total income growth (%)</t>
        </is>
      </c>
      <c r="B8" s="37" t="n">
        <v>18.5</v>
      </c>
      <c r="C8" s="37" t="n">
        <v>30.9</v>
      </c>
      <c r="D8" s="37" t="n">
        <v>32.8</v>
      </c>
      <c r="E8" s="37" t="n">
        <v>25.2</v>
      </c>
      <c r="F8" s="37" t="n">
        <v>19.1</v>
      </c>
    </row>
    <row r="9">
      <c r="A9" s="6" t="inlineStr">
        <is>
          <t>Net profit growth (%)</t>
        </is>
      </c>
      <c r="B9" s="34" t="n">
        <v>59</v>
      </c>
      <c r="C9" s="34" t="n">
        <v>63.7</v>
      </c>
      <c r="D9" s="34" t="n">
        <v>25.6</v>
      </c>
      <c r="E9" s="34" t="n">
        <v>16.1</v>
      </c>
      <c r="F9" s="34" t="n">
        <v>15.2</v>
      </c>
    </row>
    <row r="10">
      <c r="A10" s="4" t="inlineStr">
        <is>
          <t>Net worth growth (%)</t>
        </is>
      </c>
      <c r="B10" s="37" t="n">
        <v>18.9</v>
      </c>
      <c r="C10" s="37" t="n">
        <v>24.4</v>
      </c>
      <c r="D10" s="37" t="n">
        <v>41.1</v>
      </c>
      <c r="E10" s="37" t="n">
        <v>26.1</v>
      </c>
      <c r="F10" s="37" t="n">
        <v>17.9</v>
      </c>
    </row>
    <row r="12" ht="34" customHeight="1">
      <c r="A12" s="14" t="inlineStr">
        <is>
          <t>Asset quality is genuinely excellent and improving — Q1 FY2027 gross NPA of 0.96% and net NPA of 0.39% are among the best in Indian lending, and credit cost fell to 1.31% excluding a one-off macro provision. But note the second block: profit growth has decelerated from 64% to 15% while net worth kept compounding — the arithmetic behind the ROE decline.</t>
        </is>
      </c>
    </row>
  </sheetData>
  <mergeCells count="4">
    <mergeCell ref="A1:F1"/>
    <mergeCell ref="A12:F12"/>
    <mergeCell ref="A4:F4"/>
    <mergeCell ref="A7:F7"/>
  </mergeCells>
  <pageMargins left="0.75" right="0.75" top="1" bottom="1" header="0.5" footer="0.5"/>
  <pageSetup orientation="landscape" fitToHeight="1" fitToWidth="1"/>
</worksheet>
</file>

<file path=xl/worksheets/sheet6.xml><?xml version="1.0" encoding="utf-8"?>
<worksheet xmlns="http://schemas.openxmlformats.org/spreadsheetml/2006/main">
  <sheetPr>
    <outlinePr summaryBelow="1" summaryRight="1"/>
    <pageSetUpPr fitToPage="1"/>
  </sheetPr>
  <dimension ref="A1:F30"/>
  <sheetViews>
    <sheetView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24" customWidth="1" min="6" max="6"/>
  </cols>
  <sheetData>
    <row r="1">
      <c r="A1" s="32" t="inlineStr">
        <is>
          <t>Bajaj Finance — Comparable NBFCs</t>
        </is>
      </c>
    </row>
    <row r="3">
      <c r="A3" s="11" t="inlineStr">
        <is>
          <t>Company</t>
        </is>
      </c>
      <c r="B3" s="12" t="inlineStr">
        <is>
          <t>CMP (₹)</t>
        </is>
      </c>
      <c r="C3" s="12" t="inlineStr">
        <is>
          <t>P/E (x)</t>
        </is>
      </c>
      <c r="D3" s="12" t="inlineStr">
        <is>
          <t>Mkt cap (₹ Cr)</t>
        </is>
      </c>
      <c r="E3" s="12" t="inlineStr">
        <is>
          <t>ROCE (%)</t>
        </is>
      </c>
      <c r="F3" s="12" t="inlineStr">
        <is>
          <t>Note</t>
        </is>
      </c>
    </row>
    <row r="4">
      <c r="A4" s="38" t="inlineStr">
        <is>
          <t>Bajaj Finance</t>
        </is>
      </c>
      <c r="B4" s="39" t="n">
        <v>1078</v>
      </c>
      <c r="C4" s="39" t="n">
        <v>33</v>
      </c>
      <c r="D4" s="33" t="n">
        <v>671055</v>
      </c>
      <c r="E4" s="39" t="n">
        <v>10.9</v>
      </c>
      <c r="F4" s="40" t="inlineStr">
        <is>
          <t>Subject — 5.89x book</t>
        </is>
      </c>
    </row>
    <row r="5">
      <c r="A5" s="6" t="inlineStr">
        <is>
          <t>Shriram Finance</t>
        </is>
      </c>
      <c r="B5" s="41" t="n">
        <v>1141</v>
      </c>
      <c r="C5" s="41" t="n">
        <v>23.7</v>
      </c>
      <c r="D5" s="22" t="n">
        <v>268471</v>
      </c>
      <c r="E5" s="41" t="n">
        <v>11.5</v>
      </c>
      <c r="F5" s="13" t="inlineStr">
        <is>
          <t>Vehicle finance</t>
        </is>
      </c>
    </row>
    <row r="6">
      <c r="A6" s="4" t="inlineStr">
        <is>
          <t>Cholamandalam</t>
        </is>
      </c>
      <c r="B6" s="39" t="n">
        <v>1940</v>
      </c>
      <c r="C6" s="39" t="n">
        <v>28.8</v>
      </c>
      <c r="D6" s="33" t="n">
        <v>165416</v>
      </c>
      <c r="E6" s="39" t="n">
        <v>9.699999999999999</v>
      </c>
      <c r="F6" s="40" t="inlineStr">
        <is>
          <t>Closest quality comparable</t>
        </is>
      </c>
    </row>
    <row r="7">
      <c r="A7" s="6" t="inlineStr">
        <is>
          <t>Tata Capital</t>
        </is>
      </c>
      <c r="B7" s="41" t="n">
        <v>382.7</v>
      </c>
      <c r="C7" s="41" t="n">
        <v>29.9</v>
      </c>
      <c r="D7" s="22" t="n">
        <v>162451</v>
      </c>
      <c r="E7" s="41" t="n">
        <v>8.6</v>
      </c>
      <c r="F7" s="13" t="inlineStr">
        <is>
          <t>Recently listed</t>
        </is>
      </c>
    </row>
    <row r="8">
      <c r="A8" s="4" t="inlineStr">
        <is>
          <t>Muthoot Finance</t>
        </is>
      </c>
      <c r="B8" s="39" t="n">
        <v>2894</v>
      </c>
      <c r="C8" s="39" t="n">
        <v>10.2</v>
      </c>
      <c r="D8" s="33" t="n">
        <v>116193</v>
      </c>
      <c r="E8" s="39" t="n">
        <v>15.8</v>
      </c>
      <c r="F8" s="40" t="inlineStr">
        <is>
          <t>Gold loans — top ROCE</t>
        </is>
      </c>
    </row>
    <row r="9">
      <c r="A9" s="6" t="inlineStr">
        <is>
          <t>L&amp;T Finance</t>
        </is>
      </c>
      <c r="B9" s="41" t="n">
        <v>316.7</v>
      </c>
      <c r="C9" s="41" t="n">
        <v>24.8</v>
      </c>
      <c r="D9" s="22" t="n">
        <v>79354</v>
      </c>
      <c r="E9" s="41" t="n">
        <v>8.4</v>
      </c>
      <c r="F9" s="13" t="inlineStr">
        <is>
          <t>Retail NBFC</t>
        </is>
      </c>
    </row>
    <row r="10">
      <c r="A10" s="4" t="inlineStr">
        <is>
          <t>SBI Cards</t>
        </is>
      </c>
      <c r="B10" s="39" t="n">
        <v>660</v>
      </c>
      <c r="C10" s="39" t="n">
        <v>27.6</v>
      </c>
      <c r="D10" s="33" t="n">
        <v>62808</v>
      </c>
      <c r="E10" s="39" t="n">
        <v>10.1</v>
      </c>
      <c r="F10" s="40" t="inlineStr">
        <is>
          <t>Cards monoline</t>
        </is>
      </c>
    </row>
    <row r="11">
      <c r="A11" s="23" t="inlineStr">
        <is>
          <t>Peer median (ex-Bajaj)</t>
        </is>
      </c>
      <c r="B11" s="42" t="inlineStr">
        <is>
          <t>—</t>
        </is>
      </c>
      <c r="C11" s="41" t="n">
        <v>27.6</v>
      </c>
      <c r="D11" s="42" t="inlineStr">
        <is>
          <t>—</t>
        </is>
      </c>
      <c r="E11" s="41" t="n">
        <v>10.1</v>
      </c>
      <c r="F11" s="13" t="inlineStr"/>
    </row>
    <row r="13" ht="52" customHeight="1">
      <c r="A13" s="14" t="inlineStr">
        <is>
          <t>Bajaj trades at a 26% premium to the peer median on trailing earnings. Some premium is deserved — it has the fastest AUM growth (24%) and the best asset quality (0.96% gross NPA) in the group. But the premium was struck when ROE was 22–23%; at 18.2% the gap between what is paid and what is earned has widened. This desk rates HDFC Bank HOLD and ICICI Bank REDUCE on the same logic: excellent franchises whose prices ran ahead of their returns.</t>
        </is>
      </c>
    </row>
    <row r="15">
      <c r="A15" s="3" t="inlineStr">
        <is>
          <t>STREET TARGET PRICES AFTER Q1 FY2027 (range ₹840–₹1,300)</t>
        </is>
      </c>
    </row>
    <row r="16">
      <c r="A16" s="43" t="inlineStr">
        <is>
          <t>STREET TARGET PRICES AFTER Q1 FY2027 (range ₹840–₹1,300) — vs the 7-Aug close of ₹1,078</t>
        </is>
      </c>
      <c r="B16" s="44" t="inlineStr">
        <is>
          <t>Target (₹)</t>
        </is>
      </c>
      <c r="C16" s="44" t="inlineStr">
        <is>
          <t>vs CMP</t>
        </is>
      </c>
      <c r="D16" s="44" t="inlineStr">
        <is>
          <t>Stance</t>
        </is>
      </c>
    </row>
    <row r="17">
      <c r="A17" s="45" t="inlineStr">
        <is>
          <t>CLSA</t>
        </is>
      </c>
      <c r="B17" s="22" t="n">
        <v>1300</v>
      </c>
      <c r="C17" s="46" t="n">
        <v>0.2059369202226344</v>
      </c>
      <c r="D17" s="47" t="inlineStr">
        <is>
          <t>Buy</t>
        </is>
      </c>
    </row>
    <row r="18">
      <c r="A18" s="45" t="inlineStr">
        <is>
          <t>JPMorgan</t>
        </is>
      </c>
      <c r="B18" s="22" t="n">
        <v>1295</v>
      </c>
      <c r="C18" s="46" t="n">
        <v>0.2012987012987013</v>
      </c>
      <c r="D18" s="47" t="inlineStr">
        <is>
          <t>Buy, tone cut</t>
        </is>
      </c>
    </row>
    <row r="19">
      <c r="A19" s="45" t="inlineStr">
        <is>
          <t>BNP Paribas</t>
        </is>
      </c>
      <c r="B19" s="22" t="n">
        <v>1290</v>
      </c>
      <c r="C19" s="46" t="n">
        <v>0.1966604823747682</v>
      </c>
      <c r="D19" s="47" t="inlineStr">
        <is>
          <t>Buy</t>
        </is>
      </c>
    </row>
    <row r="20">
      <c r="A20" s="45" t="inlineStr">
        <is>
          <t>Jefferies</t>
        </is>
      </c>
      <c r="B20" s="22" t="n">
        <v>1280</v>
      </c>
      <c r="C20" s="46" t="n">
        <v>0.1873840445269017</v>
      </c>
      <c r="D20" s="47" t="inlineStr">
        <is>
          <t>Buy</t>
        </is>
      </c>
    </row>
    <row r="21">
      <c r="A21" s="45" t="inlineStr">
        <is>
          <t>HSBC</t>
        </is>
      </c>
      <c r="B21" s="22" t="n">
        <v>1270</v>
      </c>
      <c r="C21" s="46" t="n">
        <v>0.1781076066790352</v>
      </c>
      <c r="D21" s="47" t="inlineStr">
        <is>
          <t>Buy</t>
        </is>
      </c>
    </row>
    <row r="22">
      <c r="A22" s="45" t="inlineStr">
        <is>
          <t>Six houses (Investec, ICICI Sec, IIFL, JM, Nirmal Bang, Phillip)</t>
        </is>
      </c>
      <c r="B22" s="22" t="n">
        <v>1250</v>
      </c>
      <c r="C22" s="46" t="n">
        <v>0.1595547309833023</v>
      </c>
      <c r="D22" s="47" t="inlineStr">
        <is>
          <t>Buy</t>
        </is>
      </c>
    </row>
    <row r="23">
      <c r="A23" s="31" t="inlineStr">
        <is>
          <t>THIS DESK</t>
        </is>
      </c>
      <c r="B23" s="7" t="n">
        <v>999</v>
      </c>
      <c r="C23" s="48" t="n">
        <v>-0.07328385899814471</v>
      </c>
      <c r="D23" s="47" t="inlineStr">
        <is>
          <t>REDUCE</t>
        </is>
      </c>
    </row>
    <row r="24">
      <c r="A24" s="45" t="inlineStr">
        <is>
          <t>Emkay Global</t>
        </is>
      </c>
      <c r="B24" s="22" t="n">
        <v>1000</v>
      </c>
      <c r="C24" s="46" t="n">
        <v>-0.07235621521335811</v>
      </c>
      <c r="D24" s="47" t="inlineStr">
        <is>
          <t>bear</t>
        </is>
      </c>
    </row>
    <row r="25">
      <c r="A25" s="45" t="inlineStr">
        <is>
          <t>Haitong</t>
        </is>
      </c>
      <c r="B25" s="22" t="n">
        <v>965</v>
      </c>
      <c r="C25" s="46" t="n">
        <v>-0.1048237476808905</v>
      </c>
      <c r="D25" s="47" t="inlineStr">
        <is>
          <t>bear</t>
        </is>
      </c>
    </row>
    <row r="26">
      <c r="A26" s="45" t="inlineStr">
        <is>
          <t>UBS</t>
        </is>
      </c>
      <c r="B26" s="22" t="n">
        <v>910</v>
      </c>
      <c r="C26" s="46" t="n">
        <v>-0.1558441558441559</v>
      </c>
      <c r="D26" s="47" t="inlineStr">
        <is>
          <t>tone cut</t>
        </is>
      </c>
    </row>
    <row r="27">
      <c r="A27" s="45" t="inlineStr">
        <is>
          <t>Macquarie</t>
        </is>
      </c>
      <c r="B27" s="22" t="n">
        <v>850</v>
      </c>
      <c r="C27" s="46" t="n">
        <v>-0.2115027829313544</v>
      </c>
      <c r="D27" s="47" t="inlineStr">
        <is>
          <t>Underperform</t>
        </is>
      </c>
    </row>
    <row r="28">
      <c r="A28" s="45" t="inlineStr">
        <is>
          <t>Bernstein</t>
        </is>
      </c>
      <c r="B28" s="22" t="n">
        <v>840</v>
      </c>
      <c r="C28" s="46" t="n">
        <v>-0.2207792207792207</v>
      </c>
      <c r="D28" s="47" t="inlineStr">
        <is>
          <t>Underperform</t>
        </is>
      </c>
    </row>
    <row r="30" ht="56" customHeight="1">
      <c r="A30" s="14" t="inlineStr">
        <is>
          <t>A 55% spread between the highest and lowest target is extraordinary for a Nifty 50 constituent, and it tells you this is a genuinely contested stock rather than a mispriced one. Our ₹999 sits almost exactly on Emkay's ₹1,000, inside a bear cluster of five houses — and their stated reasoning is ours: rich valuation, questions over growth and return on equity, and funding-cost pressure. Bernstein: 'much of the positives are priced into the stock's rich valuations.' Macquarie: execution is good but 'valuation remains expensive' with rising borrowing costs a risk to margins.</t>
        </is>
      </c>
    </row>
  </sheetData>
  <mergeCells count="4">
    <mergeCell ref="A13:F13"/>
    <mergeCell ref="A30:F30"/>
    <mergeCell ref="A1:F1"/>
    <mergeCell ref="A15:F15"/>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2026-08-07T03:33:18Z</dcterms:created>
  <dcterms:modified xmlns:dcterms="http://purl.org/dc/terms/" xmlns:xsi="http://www.w3.org/2001/XMLSchema-instance" xsi:type="dcterms:W3CDTF">2026-08-07T14:38:12Z</dcterms:modified>
</cp:coreProperties>
</file>